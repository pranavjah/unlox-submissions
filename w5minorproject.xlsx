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ranav Jahagirdar\Downloads\"/>
    </mc:Choice>
  </mc:AlternateContent>
  <xr:revisionPtr revIDLastSave="0" documentId="8_{81830EB7-0BC1-4531-89B1-17C99A291977}" xr6:coauthVersionLast="47" xr6:coauthVersionMax="47" xr10:uidLastSave="{00000000-0000-0000-0000-000000000000}"/>
  <bookViews>
    <workbookView xWindow="-120" yWindow="-120" windowWidth="29040" windowHeight="16440" xr2:uid="{C2F04355-76BA-4D6A-AF31-D11C5186D451}"/>
  </bookViews>
  <sheets>
    <sheet name="data" sheetId="1" r:id="rId1"/>
    <sheet name="analysis" sheetId="2" r:id="rId2"/>
    <sheet name="pivot_tables" sheetId="6" r:id="rId3"/>
    <sheet name="dashboard" sheetId="4" r:id="rId4"/>
    <sheet name="insights" sheetId="5" r:id="rId5"/>
  </sheets>
  <definedNames>
    <definedName name="Slicer_year">#N/A</definedName>
  </definedNames>
  <calcPr calcId="191029"/>
  <pivotCaches>
    <pivotCache cacheId="5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2" l="1"/>
  <c r="B5" i="4" s="1"/>
  <c r="C6" i="2"/>
  <c r="C5" i="4" s="1"/>
  <c r="C27" i="2"/>
  <c r="E5" i="4" s="1"/>
  <c r="C23" i="2"/>
  <c r="C22" i="2"/>
  <c r="C21" i="2"/>
  <c r="C18" i="2"/>
  <c r="C17" i="2"/>
  <c r="C14" i="2"/>
  <c r="C13" i="2"/>
  <c r="C10" i="2"/>
  <c r="C9" i="2"/>
  <c r="C8" i="2"/>
  <c r="C19" i="2"/>
  <c r="C15" i="2"/>
  <c r="C11" i="2"/>
  <c r="D5" i="4" s="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J51" i="1"/>
  <c r="K51" i="1"/>
  <c r="J52" i="1"/>
  <c r="K52" i="1"/>
  <c r="J53" i="1"/>
  <c r="K53"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75" i="1"/>
  <c r="K75" i="1"/>
  <c r="J76" i="1"/>
  <c r="K76" i="1"/>
  <c r="J77" i="1"/>
  <c r="K77" i="1"/>
  <c r="J78" i="1"/>
  <c r="K78" i="1"/>
  <c r="J79" i="1"/>
  <c r="K79" i="1"/>
  <c r="J80" i="1"/>
  <c r="K80" i="1"/>
  <c r="J81" i="1"/>
  <c r="K81" i="1"/>
  <c r="J82" i="1"/>
  <c r="K82" i="1"/>
  <c r="J83" i="1"/>
  <c r="K83" i="1"/>
  <c r="J84" i="1"/>
  <c r="K84" i="1"/>
  <c r="J85" i="1"/>
  <c r="K85" i="1"/>
  <c r="J86" i="1"/>
  <c r="K86"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J102" i="1"/>
  <c r="K102" i="1"/>
  <c r="J103" i="1"/>
  <c r="K103" i="1"/>
  <c r="J104" i="1"/>
  <c r="K104" i="1"/>
  <c r="J105" i="1"/>
  <c r="K105" i="1"/>
  <c r="J106" i="1"/>
  <c r="K106" i="1"/>
  <c r="J107" i="1"/>
  <c r="K107" i="1"/>
  <c r="J108" i="1"/>
  <c r="K108" i="1"/>
  <c r="J109" i="1"/>
  <c r="K109" i="1"/>
  <c r="J110" i="1"/>
  <c r="K110" i="1"/>
  <c r="J111" i="1"/>
  <c r="K111" i="1"/>
  <c r="J112" i="1"/>
  <c r="K112" i="1"/>
  <c r="J113" i="1"/>
  <c r="K113" i="1"/>
  <c r="J114" i="1"/>
  <c r="K114" i="1"/>
  <c r="J115" i="1"/>
  <c r="K115" i="1"/>
  <c r="J116" i="1"/>
  <c r="K116" i="1"/>
  <c r="J117" i="1"/>
  <c r="K117" i="1"/>
  <c r="J118" i="1"/>
  <c r="K118" i="1"/>
  <c r="J119" i="1"/>
  <c r="K119" i="1"/>
  <c r="J120" i="1"/>
  <c r="K120"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J136" i="1"/>
  <c r="K136" i="1"/>
  <c r="J137" i="1"/>
  <c r="K137" i="1"/>
  <c r="J138" i="1"/>
  <c r="K138" i="1"/>
  <c r="J139" i="1"/>
  <c r="K139" i="1"/>
  <c r="J140" i="1"/>
  <c r="K140" i="1"/>
  <c r="J141" i="1"/>
  <c r="K141" i="1"/>
  <c r="J142" i="1"/>
  <c r="K142" i="1"/>
  <c r="J143" i="1"/>
  <c r="K143" i="1"/>
  <c r="J144" i="1"/>
  <c r="K144" i="1"/>
  <c r="J145" i="1"/>
  <c r="K145" i="1"/>
  <c r="J146" i="1"/>
  <c r="K146" i="1"/>
  <c r="J147" i="1"/>
  <c r="K147" i="1"/>
  <c r="J148" i="1"/>
  <c r="K148" i="1"/>
  <c r="J149" i="1"/>
  <c r="K149" i="1"/>
  <c r="J150" i="1"/>
  <c r="K150" i="1"/>
  <c r="J151" i="1"/>
  <c r="K151" i="1"/>
  <c r="J152" i="1"/>
  <c r="K152" i="1"/>
  <c r="J153" i="1"/>
  <c r="K153" i="1"/>
  <c r="J154" i="1"/>
  <c r="K154" i="1"/>
  <c r="J155" i="1"/>
  <c r="K155" i="1"/>
  <c r="J156" i="1"/>
  <c r="K156" i="1"/>
  <c r="J157" i="1"/>
  <c r="K157" i="1"/>
  <c r="J158" i="1"/>
  <c r="K158" i="1"/>
  <c r="J159" i="1"/>
  <c r="K159" i="1"/>
  <c r="J160" i="1"/>
  <c r="K160" i="1"/>
  <c r="J161" i="1"/>
  <c r="K161" i="1"/>
  <c r="J162" i="1"/>
  <c r="K162" i="1"/>
  <c r="J163" i="1"/>
  <c r="K163" i="1"/>
  <c r="J164" i="1"/>
  <c r="K164" i="1"/>
  <c r="J165" i="1"/>
  <c r="K165" i="1"/>
  <c r="J166" i="1"/>
  <c r="K166" i="1"/>
  <c r="J167" i="1"/>
  <c r="K167" i="1"/>
  <c r="J168" i="1"/>
  <c r="K168" i="1"/>
  <c r="J169" i="1"/>
  <c r="K169" i="1"/>
  <c r="J170" i="1"/>
  <c r="K170" i="1"/>
  <c r="J171" i="1"/>
  <c r="K171" i="1"/>
  <c r="J172" i="1"/>
  <c r="K172" i="1"/>
  <c r="J173" i="1"/>
  <c r="K173" i="1"/>
  <c r="J174" i="1"/>
  <c r="K174" i="1"/>
  <c r="J175" i="1"/>
  <c r="K175" i="1"/>
  <c r="J176" i="1"/>
  <c r="K176" i="1"/>
  <c r="J177" i="1"/>
  <c r="K177" i="1"/>
  <c r="J178" i="1"/>
  <c r="K178" i="1"/>
  <c r="J179" i="1"/>
  <c r="K179" i="1"/>
  <c r="J180" i="1"/>
  <c r="K180" i="1"/>
  <c r="J181" i="1"/>
  <c r="K181" i="1"/>
  <c r="J182" i="1"/>
  <c r="K182" i="1"/>
  <c r="J183" i="1"/>
  <c r="K183" i="1"/>
  <c r="J184" i="1"/>
  <c r="K184" i="1"/>
  <c r="J185" i="1"/>
  <c r="K185" i="1"/>
  <c r="J186" i="1"/>
  <c r="K186" i="1"/>
  <c r="J187" i="1"/>
  <c r="K187" i="1"/>
  <c r="J188" i="1"/>
  <c r="K188" i="1"/>
  <c r="J189" i="1"/>
  <c r="K189" i="1"/>
  <c r="J190" i="1"/>
  <c r="K190" i="1"/>
  <c r="J191" i="1"/>
  <c r="K191" i="1"/>
  <c r="J192" i="1"/>
  <c r="K192" i="1"/>
  <c r="J193" i="1"/>
  <c r="K193" i="1"/>
  <c r="J194" i="1"/>
  <c r="K194" i="1"/>
  <c r="J195" i="1"/>
  <c r="K195" i="1"/>
  <c r="J196" i="1"/>
  <c r="K196" i="1"/>
  <c r="J197" i="1"/>
  <c r="K197" i="1"/>
  <c r="J198" i="1"/>
  <c r="K198" i="1"/>
  <c r="J199" i="1"/>
  <c r="K199" i="1"/>
  <c r="J200" i="1"/>
  <c r="K200" i="1"/>
  <c r="J201" i="1"/>
  <c r="K201" i="1"/>
  <c r="J202" i="1"/>
  <c r="K202" i="1"/>
  <c r="J203" i="1"/>
  <c r="K203" i="1"/>
  <c r="J204" i="1"/>
  <c r="K204" i="1"/>
  <c r="J205" i="1"/>
  <c r="K205" i="1"/>
  <c r="J206" i="1"/>
  <c r="K206" i="1"/>
  <c r="J207" i="1"/>
  <c r="K207" i="1"/>
  <c r="J208" i="1"/>
  <c r="K208" i="1"/>
  <c r="J209" i="1"/>
  <c r="K209" i="1"/>
  <c r="J210" i="1"/>
  <c r="K210" i="1"/>
  <c r="J211" i="1"/>
  <c r="K211" i="1"/>
  <c r="J212" i="1"/>
  <c r="K212" i="1"/>
  <c r="J213" i="1"/>
  <c r="K213" i="1"/>
  <c r="J214" i="1"/>
  <c r="K214" i="1"/>
  <c r="J215" i="1"/>
  <c r="K215" i="1"/>
  <c r="J216" i="1"/>
  <c r="K216" i="1"/>
  <c r="J217" i="1"/>
  <c r="K217" i="1"/>
  <c r="J218" i="1"/>
  <c r="K218" i="1"/>
  <c r="J219" i="1"/>
  <c r="K219" i="1"/>
  <c r="J220" i="1"/>
  <c r="K220" i="1"/>
  <c r="J221" i="1"/>
  <c r="K221" i="1"/>
  <c r="J222" i="1"/>
  <c r="K222" i="1"/>
  <c r="J223" i="1"/>
  <c r="K223" i="1"/>
  <c r="J224" i="1"/>
  <c r="K224" i="1"/>
  <c r="J225" i="1"/>
  <c r="K225" i="1"/>
  <c r="J226" i="1"/>
  <c r="K226" i="1"/>
  <c r="J227" i="1"/>
  <c r="K227" i="1"/>
  <c r="J228" i="1"/>
  <c r="K228" i="1"/>
  <c r="J229" i="1"/>
  <c r="K229" i="1"/>
  <c r="J230" i="1"/>
  <c r="K230" i="1"/>
  <c r="J231" i="1"/>
  <c r="K231" i="1"/>
  <c r="J232" i="1"/>
  <c r="K232" i="1"/>
  <c r="J233" i="1"/>
  <c r="K233" i="1"/>
  <c r="J234" i="1"/>
  <c r="K234" i="1"/>
  <c r="J235" i="1"/>
  <c r="K235" i="1"/>
  <c r="J236" i="1"/>
  <c r="K236" i="1"/>
  <c r="J237" i="1"/>
  <c r="K237" i="1"/>
  <c r="J238" i="1"/>
  <c r="K238" i="1"/>
  <c r="J239" i="1"/>
  <c r="K239" i="1"/>
  <c r="J240" i="1"/>
  <c r="K240" i="1"/>
  <c r="J241" i="1"/>
  <c r="K241" i="1"/>
  <c r="J242" i="1"/>
  <c r="K242" i="1"/>
  <c r="J243" i="1"/>
  <c r="K243" i="1"/>
  <c r="J244" i="1"/>
  <c r="K244" i="1"/>
  <c r="J245" i="1"/>
  <c r="K245" i="1"/>
  <c r="J246" i="1"/>
  <c r="K246" i="1"/>
  <c r="J247" i="1"/>
  <c r="K247" i="1"/>
  <c r="J248" i="1"/>
  <c r="K248" i="1"/>
  <c r="J249" i="1"/>
  <c r="K249" i="1"/>
  <c r="J250" i="1"/>
  <c r="K250" i="1"/>
  <c r="J251" i="1"/>
  <c r="K251" i="1"/>
  <c r="J252" i="1"/>
  <c r="K252" i="1"/>
  <c r="J253" i="1"/>
  <c r="K253" i="1"/>
  <c r="J254" i="1"/>
  <c r="K254" i="1"/>
  <c r="J255" i="1"/>
  <c r="K255" i="1"/>
  <c r="J256" i="1"/>
  <c r="K256" i="1"/>
  <c r="J257" i="1"/>
  <c r="K257" i="1"/>
  <c r="J258" i="1"/>
  <c r="K258" i="1"/>
  <c r="J259" i="1"/>
  <c r="K259" i="1"/>
  <c r="J260" i="1"/>
  <c r="K260" i="1"/>
  <c r="J261" i="1"/>
  <c r="K261" i="1"/>
  <c r="J262" i="1"/>
  <c r="K262" i="1"/>
  <c r="J263" i="1"/>
  <c r="K263" i="1"/>
  <c r="J264" i="1"/>
  <c r="K264" i="1"/>
  <c r="J265" i="1"/>
  <c r="K265" i="1"/>
  <c r="J266" i="1"/>
  <c r="K266" i="1"/>
  <c r="J267" i="1"/>
  <c r="K267" i="1"/>
  <c r="J268" i="1"/>
  <c r="K268" i="1"/>
  <c r="J269" i="1"/>
  <c r="K269" i="1"/>
  <c r="J270" i="1"/>
  <c r="K270" i="1"/>
  <c r="J271" i="1"/>
  <c r="K271" i="1"/>
  <c r="J272" i="1"/>
  <c r="K272" i="1"/>
  <c r="J273" i="1"/>
  <c r="K273" i="1"/>
  <c r="J274" i="1"/>
  <c r="K274" i="1"/>
  <c r="J275" i="1"/>
  <c r="K275" i="1"/>
  <c r="J276" i="1"/>
  <c r="K276" i="1"/>
  <c r="J277" i="1"/>
  <c r="K277" i="1"/>
  <c r="J278" i="1"/>
  <c r="K278" i="1"/>
  <c r="J279" i="1"/>
  <c r="K279" i="1"/>
  <c r="J280" i="1"/>
  <c r="K280" i="1"/>
  <c r="J281" i="1"/>
  <c r="K281" i="1"/>
  <c r="J282" i="1"/>
  <c r="K282" i="1"/>
  <c r="J283" i="1"/>
  <c r="K283" i="1"/>
  <c r="J284" i="1"/>
  <c r="K284" i="1"/>
  <c r="J285" i="1"/>
  <c r="K285" i="1"/>
  <c r="J286" i="1"/>
  <c r="K286" i="1"/>
  <c r="J287" i="1"/>
  <c r="K287" i="1"/>
  <c r="J288" i="1"/>
  <c r="K288" i="1"/>
  <c r="J289" i="1"/>
  <c r="K289" i="1"/>
  <c r="J290" i="1"/>
  <c r="K290" i="1"/>
  <c r="J291" i="1"/>
  <c r="K291" i="1"/>
  <c r="J292" i="1"/>
  <c r="K292" i="1"/>
  <c r="J293" i="1"/>
  <c r="K293" i="1"/>
  <c r="J294" i="1"/>
  <c r="K294" i="1"/>
  <c r="J295" i="1"/>
  <c r="K295" i="1"/>
  <c r="J296" i="1"/>
  <c r="K296" i="1"/>
  <c r="J297" i="1"/>
  <c r="K297" i="1"/>
  <c r="J298" i="1"/>
  <c r="K298" i="1"/>
  <c r="J299" i="1"/>
  <c r="K299" i="1"/>
  <c r="J300" i="1"/>
  <c r="K300" i="1"/>
  <c r="J301" i="1"/>
  <c r="K301" i="1"/>
  <c r="J302" i="1"/>
  <c r="K302" i="1"/>
  <c r="J303" i="1"/>
  <c r="K303" i="1"/>
  <c r="J304" i="1"/>
  <c r="K304" i="1"/>
  <c r="J305" i="1"/>
  <c r="K305" i="1"/>
  <c r="J306" i="1"/>
  <c r="K306" i="1"/>
  <c r="J307" i="1"/>
  <c r="K307" i="1"/>
  <c r="J308" i="1"/>
  <c r="K308" i="1"/>
  <c r="J309" i="1"/>
  <c r="K309" i="1"/>
  <c r="J310" i="1"/>
  <c r="K310" i="1"/>
  <c r="J311" i="1"/>
  <c r="K311" i="1"/>
  <c r="J312" i="1"/>
  <c r="K312" i="1"/>
  <c r="J313" i="1"/>
  <c r="K313" i="1"/>
  <c r="J314" i="1"/>
  <c r="K314" i="1"/>
  <c r="J315" i="1"/>
  <c r="K315" i="1"/>
  <c r="J316" i="1"/>
  <c r="K316" i="1"/>
  <c r="J317" i="1"/>
  <c r="K317" i="1"/>
  <c r="J318" i="1"/>
  <c r="K318" i="1"/>
  <c r="J319" i="1"/>
  <c r="K319" i="1"/>
  <c r="J320" i="1"/>
  <c r="K320" i="1"/>
  <c r="J321" i="1"/>
  <c r="K321" i="1"/>
  <c r="J322" i="1"/>
  <c r="K322" i="1"/>
  <c r="J323" i="1"/>
  <c r="K323" i="1"/>
  <c r="J324" i="1"/>
  <c r="K324" i="1"/>
  <c r="J325" i="1"/>
  <c r="K325" i="1"/>
  <c r="J326" i="1"/>
  <c r="K326" i="1"/>
  <c r="J327" i="1"/>
  <c r="K327" i="1"/>
  <c r="J328" i="1"/>
  <c r="K328" i="1"/>
  <c r="J329" i="1"/>
  <c r="K329" i="1"/>
  <c r="J330" i="1"/>
  <c r="K330" i="1"/>
  <c r="J331" i="1"/>
  <c r="K331" i="1"/>
  <c r="J332" i="1"/>
  <c r="K332" i="1"/>
  <c r="J333" i="1"/>
  <c r="K333" i="1"/>
  <c r="J334" i="1"/>
  <c r="K334" i="1"/>
  <c r="J335" i="1"/>
  <c r="K335" i="1"/>
  <c r="J336" i="1"/>
  <c r="K336" i="1"/>
  <c r="J337" i="1"/>
  <c r="K337" i="1"/>
  <c r="J338" i="1"/>
  <c r="K338" i="1"/>
  <c r="J339" i="1"/>
  <c r="K339" i="1"/>
  <c r="J340" i="1"/>
  <c r="K340" i="1"/>
  <c r="J341" i="1"/>
  <c r="K341" i="1"/>
  <c r="J342" i="1"/>
  <c r="K342" i="1"/>
  <c r="J343" i="1"/>
  <c r="K343" i="1"/>
  <c r="J344" i="1"/>
  <c r="K344" i="1"/>
  <c r="J345" i="1"/>
  <c r="K345" i="1"/>
  <c r="J346" i="1"/>
  <c r="K346" i="1"/>
  <c r="J347" i="1"/>
  <c r="K347" i="1"/>
  <c r="J348" i="1"/>
  <c r="K348" i="1"/>
  <c r="J349" i="1"/>
  <c r="K349" i="1"/>
  <c r="J350" i="1"/>
  <c r="K350" i="1"/>
  <c r="J351" i="1"/>
  <c r="K351" i="1"/>
  <c r="J352" i="1"/>
  <c r="K352" i="1"/>
  <c r="J353" i="1"/>
  <c r="K353" i="1"/>
  <c r="J354" i="1"/>
  <c r="K354" i="1"/>
  <c r="J355" i="1"/>
  <c r="K355" i="1"/>
  <c r="J356" i="1"/>
  <c r="K356" i="1"/>
  <c r="J357" i="1"/>
  <c r="K357" i="1"/>
  <c r="J358" i="1"/>
  <c r="K358" i="1"/>
  <c r="J359" i="1"/>
  <c r="K359" i="1"/>
  <c r="J360" i="1"/>
  <c r="K360" i="1"/>
  <c r="J361" i="1"/>
  <c r="K361" i="1"/>
  <c r="J362" i="1"/>
  <c r="K362" i="1"/>
  <c r="J363" i="1"/>
  <c r="K363" i="1"/>
  <c r="J364" i="1"/>
  <c r="K364" i="1"/>
  <c r="J365" i="1"/>
  <c r="K365" i="1"/>
  <c r="J366" i="1"/>
  <c r="K366" i="1"/>
  <c r="J367" i="1"/>
  <c r="K367" i="1"/>
  <c r="J368" i="1"/>
  <c r="K368" i="1"/>
  <c r="J369" i="1"/>
  <c r="K369" i="1"/>
  <c r="J370" i="1"/>
  <c r="K370" i="1"/>
  <c r="J371" i="1"/>
  <c r="K371" i="1"/>
  <c r="J372" i="1"/>
  <c r="K372" i="1"/>
  <c r="J373" i="1"/>
  <c r="K373" i="1"/>
  <c r="J374" i="1"/>
  <c r="K374" i="1"/>
  <c r="J375" i="1"/>
  <c r="K375" i="1"/>
  <c r="J376" i="1"/>
  <c r="K376" i="1"/>
  <c r="J377" i="1"/>
  <c r="K377" i="1"/>
  <c r="J378" i="1"/>
  <c r="K378" i="1"/>
  <c r="J379" i="1"/>
  <c r="K379" i="1"/>
  <c r="J380" i="1"/>
  <c r="K380" i="1"/>
  <c r="J381" i="1"/>
  <c r="K381" i="1"/>
  <c r="J382" i="1"/>
  <c r="K382" i="1"/>
  <c r="J383" i="1"/>
  <c r="K383" i="1"/>
  <c r="J384" i="1"/>
  <c r="K384" i="1"/>
  <c r="J385" i="1"/>
  <c r="K385" i="1"/>
  <c r="J386" i="1"/>
  <c r="K386" i="1"/>
  <c r="J387" i="1"/>
  <c r="K387" i="1"/>
  <c r="J388" i="1"/>
  <c r="K388" i="1"/>
  <c r="J389" i="1"/>
  <c r="K389" i="1"/>
  <c r="J390" i="1"/>
  <c r="K390" i="1"/>
  <c r="J391" i="1"/>
  <c r="K391" i="1"/>
  <c r="J392" i="1"/>
  <c r="K392" i="1"/>
  <c r="J393" i="1"/>
  <c r="K393" i="1"/>
  <c r="J394" i="1"/>
  <c r="K394" i="1"/>
  <c r="J395" i="1"/>
  <c r="K395" i="1"/>
  <c r="J396" i="1"/>
  <c r="K396" i="1"/>
  <c r="J397" i="1"/>
  <c r="K397" i="1"/>
  <c r="J398" i="1"/>
  <c r="K398" i="1"/>
  <c r="J399" i="1"/>
  <c r="K399" i="1"/>
  <c r="J400" i="1"/>
  <c r="K400" i="1"/>
  <c r="J401" i="1"/>
  <c r="K401" i="1"/>
  <c r="J402" i="1"/>
  <c r="K402" i="1"/>
  <c r="J403" i="1"/>
  <c r="K403" i="1"/>
  <c r="J404" i="1"/>
  <c r="K404" i="1"/>
  <c r="J405" i="1"/>
  <c r="K405" i="1"/>
  <c r="J406" i="1"/>
  <c r="K406" i="1"/>
  <c r="J407" i="1"/>
  <c r="K407" i="1"/>
  <c r="J408" i="1"/>
  <c r="K408" i="1"/>
  <c r="J409" i="1"/>
  <c r="K409" i="1"/>
  <c r="J410" i="1"/>
  <c r="K410" i="1"/>
  <c r="J411" i="1"/>
  <c r="K411" i="1"/>
  <c r="J412" i="1"/>
  <c r="K412" i="1"/>
  <c r="J413" i="1"/>
  <c r="K413" i="1"/>
  <c r="J414" i="1"/>
  <c r="K414" i="1"/>
  <c r="J415" i="1"/>
  <c r="K415" i="1"/>
  <c r="J416" i="1"/>
  <c r="K416" i="1"/>
  <c r="J417" i="1"/>
  <c r="K417" i="1"/>
  <c r="J418" i="1"/>
  <c r="K418" i="1"/>
  <c r="J419" i="1"/>
  <c r="K419" i="1"/>
  <c r="J420" i="1"/>
  <c r="K420" i="1"/>
  <c r="J421" i="1"/>
  <c r="K421" i="1"/>
  <c r="J422" i="1"/>
  <c r="K422" i="1"/>
  <c r="J423" i="1"/>
  <c r="K423" i="1"/>
  <c r="J424" i="1"/>
  <c r="K424" i="1"/>
  <c r="J425" i="1"/>
  <c r="K425" i="1"/>
  <c r="J426" i="1"/>
  <c r="K426" i="1"/>
  <c r="J427" i="1"/>
  <c r="K427" i="1"/>
  <c r="J428" i="1"/>
  <c r="K428" i="1"/>
  <c r="J429" i="1"/>
  <c r="K429" i="1"/>
  <c r="J430" i="1"/>
  <c r="K430" i="1"/>
  <c r="J431" i="1"/>
  <c r="K431" i="1"/>
  <c r="J432" i="1"/>
  <c r="K432" i="1"/>
  <c r="J433" i="1"/>
  <c r="K433" i="1"/>
  <c r="J434" i="1"/>
  <c r="K434" i="1"/>
  <c r="J435" i="1"/>
  <c r="K435" i="1"/>
  <c r="J436" i="1"/>
  <c r="K436" i="1"/>
  <c r="J437" i="1"/>
  <c r="K437" i="1"/>
  <c r="J438" i="1"/>
  <c r="K438" i="1"/>
  <c r="J439" i="1"/>
  <c r="K439" i="1"/>
  <c r="J440" i="1"/>
  <c r="K440" i="1"/>
  <c r="J441" i="1"/>
  <c r="K441" i="1"/>
  <c r="J442" i="1"/>
  <c r="K442" i="1"/>
  <c r="J443" i="1"/>
  <c r="K443" i="1"/>
  <c r="J444" i="1"/>
  <c r="K444" i="1"/>
  <c r="J445" i="1"/>
  <c r="K445" i="1"/>
  <c r="J446" i="1"/>
  <c r="K446" i="1"/>
  <c r="J447" i="1"/>
  <c r="K447" i="1"/>
  <c r="J448" i="1"/>
  <c r="K448" i="1"/>
  <c r="J449" i="1"/>
  <c r="K449" i="1"/>
  <c r="J450" i="1"/>
  <c r="K450" i="1"/>
  <c r="J451" i="1"/>
  <c r="K451" i="1"/>
  <c r="J452" i="1"/>
  <c r="K452" i="1"/>
  <c r="J453" i="1"/>
  <c r="K453" i="1"/>
  <c r="J454" i="1"/>
  <c r="K454" i="1"/>
  <c r="J455" i="1"/>
  <c r="K455" i="1"/>
  <c r="J456" i="1"/>
  <c r="K456" i="1"/>
  <c r="J457" i="1"/>
  <c r="K457" i="1"/>
  <c r="J458" i="1"/>
  <c r="K458" i="1"/>
  <c r="J459" i="1"/>
  <c r="K459" i="1"/>
  <c r="J460" i="1"/>
  <c r="K460" i="1"/>
  <c r="J461" i="1"/>
  <c r="K461" i="1"/>
  <c r="J462" i="1"/>
  <c r="K462" i="1"/>
  <c r="J463" i="1"/>
  <c r="K463" i="1"/>
  <c r="J464" i="1"/>
  <c r="K464" i="1"/>
  <c r="J465" i="1"/>
  <c r="K465" i="1"/>
  <c r="J466" i="1"/>
  <c r="K466" i="1"/>
  <c r="J467" i="1"/>
  <c r="K467" i="1"/>
  <c r="J468" i="1"/>
  <c r="K468" i="1"/>
  <c r="J469" i="1"/>
  <c r="K469" i="1"/>
  <c r="J470" i="1"/>
  <c r="K470" i="1"/>
  <c r="J471" i="1"/>
  <c r="K471" i="1"/>
  <c r="J472" i="1"/>
  <c r="K472" i="1"/>
  <c r="J473" i="1"/>
  <c r="K473" i="1"/>
  <c r="J474" i="1"/>
  <c r="K474" i="1"/>
  <c r="J475" i="1"/>
  <c r="K475" i="1"/>
  <c r="J476" i="1"/>
  <c r="K476" i="1"/>
  <c r="J477" i="1"/>
  <c r="K477" i="1"/>
  <c r="J478" i="1"/>
  <c r="K478" i="1"/>
  <c r="J479" i="1"/>
  <c r="K479" i="1"/>
  <c r="J480" i="1"/>
  <c r="K480" i="1"/>
  <c r="J481" i="1"/>
  <c r="K481" i="1"/>
  <c r="J482" i="1"/>
  <c r="K482" i="1"/>
  <c r="J483" i="1"/>
  <c r="K483" i="1"/>
  <c r="J484" i="1"/>
  <c r="K484" i="1"/>
  <c r="J485" i="1"/>
  <c r="K485" i="1"/>
  <c r="J486" i="1"/>
  <c r="K486" i="1"/>
  <c r="J487" i="1"/>
  <c r="K487" i="1"/>
  <c r="J488" i="1"/>
  <c r="K488" i="1"/>
  <c r="J489" i="1"/>
  <c r="K489" i="1"/>
  <c r="J490" i="1"/>
  <c r="K490" i="1"/>
  <c r="J491" i="1"/>
  <c r="K491" i="1"/>
  <c r="J492" i="1"/>
  <c r="K492" i="1"/>
  <c r="J493" i="1"/>
  <c r="K493" i="1"/>
  <c r="J494" i="1"/>
  <c r="K494" i="1"/>
  <c r="J495" i="1"/>
  <c r="K495" i="1"/>
  <c r="J496" i="1"/>
  <c r="K496" i="1"/>
  <c r="J497" i="1"/>
  <c r="K497" i="1"/>
  <c r="J498" i="1"/>
  <c r="K498" i="1"/>
  <c r="J499" i="1"/>
  <c r="K499" i="1"/>
  <c r="J500" i="1"/>
  <c r="K500" i="1"/>
  <c r="J501" i="1"/>
  <c r="K501" i="1"/>
  <c r="J502" i="1"/>
  <c r="K502" i="1"/>
  <c r="J503" i="1"/>
  <c r="K503" i="1"/>
  <c r="J504" i="1"/>
  <c r="K504" i="1"/>
  <c r="J505" i="1"/>
  <c r="K505" i="1"/>
  <c r="J506" i="1"/>
  <c r="K506" i="1"/>
  <c r="J507" i="1"/>
  <c r="K507" i="1"/>
  <c r="J508" i="1"/>
  <c r="K508" i="1"/>
  <c r="J509" i="1"/>
  <c r="K509" i="1"/>
  <c r="J510" i="1"/>
  <c r="K510" i="1"/>
  <c r="J511" i="1"/>
  <c r="K511" i="1"/>
  <c r="J512" i="1"/>
  <c r="K512" i="1"/>
  <c r="J513" i="1"/>
  <c r="K513" i="1"/>
  <c r="J514" i="1"/>
  <c r="K514" i="1"/>
  <c r="J515" i="1"/>
  <c r="K515" i="1"/>
  <c r="J516" i="1"/>
  <c r="K516" i="1"/>
  <c r="J517" i="1"/>
  <c r="K517" i="1"/>
  <c r="J518" i="1"/>
  <c r="K518" i="1"/>
  <c r="J519" i="1"/>
  <c r="K519" i="1"/>
  <c r="J520" i="1"/>
  <c r="K520" i="1"/>
  <c r="J521" i="1"/>
  <c r="K521" i="1"/>
  <c r="J522" i="1"/>
  <c r="K522" i="1"/>
  <c r="J523" i="1"/>
  <c r="K523" i="1"/>
  <c r="J524" i="1"/>
  <c r="K524" i="1"/>
  <c r="J525" i="1"/>
  <c r="K525" i="1"/>
  <c r="J526" i="1"/>
  <c r="K526" i="1"/>
  <c r="J527" i="1"/>
  <c r="K527" i="1"/>
  <c r="J528" i="1"/>
  <c r="K528" i="1"/>
  <c r="J529" i="1"/>
  <c r="K529" i="1"/>
  <c r="J530" i="1"/>
  <c r="K530" i="1"/>
  <c r="J531" i="1"/>
  <c r="K531" i="1"/>
  <c r="J532" i="1"/>
  <c r="K532" i="1"/>
  <c r="J533" i="1"/>
  <c r="K533" i="1"/>
  <c r="J534" i="1"/>
  <c r="K534" i="1"/>
  <c r="J535" i="1"/>
  <c r="K535" i="1"/>
  <c r="J536" i="1"/>
  <c r="K536" i="1"/>
  <c r="J537" i="1"/>
  <c r="K537" i="1"/>
  <c r="J538" i="1"/>
  <c r="K538" i="1"/>
  <c r="J539" i="1"/>
  <c r="K539" i="1"/>
  <c r="J540" i="1"/>
  <c r="K540" i="1"/>
  <c r="J541" i="1"/>
  <c r="K541" i="1"/>
  <c r="J542" i="1"/>
  <c r="K542" i="1"/>
  <c r="J543" i="1"/>
  <c r="K543" i="1"/>
  <c r="J544" i="1"/>
  <c r="K544" i="1"/>
  <c r="J545" i="1"/>
  <c r="K545" i="1"/>
  <c r="J546" i="1"/>
  <c r="K546" i="1"/>
  <c r="J547" i="1"/>
  <c r="K547" i="1"/>
  <c r="J548" i="1"/>
  <c r="K548" i="1"/>
  <c r="J549" i="1"/>
  <c r="K549" i="1"/>
  <c r="J550" i="1"/>
  <c r="K550" i="1"/>
  <c r="J551" i="1"/>
  <c r="K551" i="1"/>
  <c r="J552" i="1"/>
  <c r="K552" i="1"/>
  <c r="J553" i="1"/>
  <c r="K553" i="1"/>
  <c r="J554" i="1"/>
  <c r="K554" i="1"/>
  <c r="J555" i="1"/>
  <c r="K555" i="1"/>
  <c r="J556" i="1"/>
  <c r="K556" i="1"/>
  <c r="J557" i="1"/>
  <c r="K557" i="1"/>
  <c r="J558" i="1"/>
  <c r="K558" i="1"/>
  <c r="J559" i="1"/>
  <c r="K559" i="1"/>
  <c r="J560" i="1"/>
  <c r="K560" i="1"/>
  <c r="J561" i="1"/>
  <c r="K561" i="1"/>
  <c r="J562" i="1"/>
  <c r="K562" i="1"/>
  <c r="J563" i="1"/>
  <c r="K563" i="1"/>
  <c r="J564" i="1"/>
  <c r="K564" i="1"/>
  <c r="J565" i="1"/>
  <c r="K565" i="1"/>
  <c r="J566" i="1"/>
  <c r="K566" i="1"/>
  <c r="J567" i="1"/>
  <c r="K567" i="1"/>
  <c r="J568" i="1"/>
  <c r="K568" i="1"/>
  <c r="J569" i="1"/>
  <c r="K569" i="1"/>
  <c r="J570" i="1"/>
  <c r="K570" i="1"/>
  <c r="J571" i="1"/>
  <c r="K571" i="1"/>
  <c r="J572" i="1"/>
  <c r="K572" i="1"/>
  <c r="J573" i="1"/>
  <c r="K573" i="1"/>
  <c r="J574" i="1"/>
  <c r="K574" i="1"/>
  <c r="J575" i="1"/>
  <c r="K575" i="1"/>
  <c r="J576" i="1"/>
  <c r="K576" i="1"/>
  <c r="J577" i="1"/>
  <c r="K577" i="1"/>
  <c r="J578" i="1"/>
  <c r="K578" i="1"/>
  <c r="J579" i="1"/>
  <c r="K579" i="1"/>
  <c r="J580" i="1"/>
  <c r="K580" i="1"/>
  <c r="J581" i="1"/>
  <c r="K581" i="1"/>
  <c r="J582" i="1"/>
  <c r="K582" i="1"/>
  <c r="J583" i="1"/>
  <c r="K583" i="1"/>
  <c r="J584" i="1"/>
  <c r="K584" i="1"/>
  <c r="J585" i="1"/>
  <c r="K585" i="1"/>
  <c r="J586" i="1"/>
  <c r="K586" i="1"/>
  <c r="J587" i="1"/>
  <c r="K587" i="1"/>
  <c r="J588" i="1"/>
  <c r="K588" i="1"/>
  <c r="J589" i="1"/>
  <c r="K589" i="1"/>
  <c r="J590" i="1"/>
  <c r="K590" i="1"/>
  <c r="J591" i="1"/>
  <c r="K591" i="1"/>
  <c r="J592" i="1"/>
  <c r="K592" i="1"/>
  <c r="J593" i="1"/>
  <c r="K593" i="1"/>
  <c r="J594" i="1"/>
  <c r="K594" i="1"/>
  <c r="J595" i="1"/>
  <c r="K595" i="1"/>
  <c r="J596" i="1"/>
  <c r="K596" i="1"/>
  <c r="J597" i="1"/>
  <c r="K597" i="1"/>
  <c r="J598" i="1"/>
  <c r="K598" i="1"/>
  <c r="J599" i="1"/>
  <c r="K599" i="1"/>
  <c r="J600" i="1"/>
  <c r="K600" i="1"/>
  <c r="J601" i="1"/>
  <c r="K601" i="1"/>
  <c r="J602" i="1"/>
  <c r="K602" i="1"/>
  <c r="J603" i="1"/>
  <c r="K603" i="1"/>
  <c r="J604" i="1"/>
  <c r="K604" i="1"/>
  <c r="J605" i="1"/>
  <c r="K605" i="1"/>
  <c r="J606" i="1"/>
  <c r="K606" i="1"/>
  <c r="J607" i="1"/>
  <c r="K607" i="1"/>
  <c r="J608" i="1"/>
  <c r="K608" i="1"/>
  <c r="J609" i="1"/>
  <c r="K609" i="1"/>
  <c r="J610" i="1"/>
  <c r="K610" i="1"/>
  <c r="J611" i="1"/>
  <c r="K611" i="1"/>
  <c r="J612" i="1"/>
  <c r="K612" i="1"/>
  <c r="J613" i="1"/>
  <c r="K613" i="1"/>
  <c r="J614" i="1"/>
  <c r="K614" i="1"/>
  <c r="J615" i="1"/>
  <c r="K615" i="1"/>
  <c r="J616" i="1"/>
  <c r="K616" i="1"/>
  <c r="J617" i="1"/>
  <c r="K617" i="1"/>
  <c r="J618" i="1"/>
  <c r="K618" i="1"/>
  <c r="J619" i="1"/>
  <c r="K619" i="1"/>
  <c r="J620" i="1"/>
  <c r="K620" i="1"/>
  <c r="J621" i="1"/>
  <c r="K621" i="1"/>
  <c r="J622" i="1"/>
  <c r="K622" i="1"/>
  <c r="J623" i="1"/>
  <c r="K623" i="1"/>
  <c r="J624" i="1"/>
  <c r="K624" i="1"/>
  <c r="J625" i="1"/>
  <c r="K625" i="1"/>
  <c r="J626" i="1"/>
  <c r="K626" i="1"/>
  <c r="J627" i="1"/>
  <c r="K627" i="1"/>
  <c r="J628" i="1"/>
  <c r="K628" i="1"/>
  <c r="J629" i="1"/>
  <c r="K629" i="1"/>
  <c r="J630" i="1"/>
  <c r="K630" i="1"/>
  <c r="J631" i="1"/>
  <c r="K631" i="1"/>
  <c r="J632" i="1"/>
  <c r="K632" i="1"/>
  <c r="J633" i="1"/>
  <c r="K633" i="1"/>
  <c r="J634" i="1"/>
  <c r="K634" i="1"/>
  <c r="J635" i="1"/>
  <c r="K635" i="1"/>
  <c r="J636" i="1"/>
  <c r="K636" i="1"/>
  <c r="J637" i="1"/>
  <c r="K637" i="1"/>
  <c r="J638" i="1"/>
  <c r="K638" i="1"/>
  <c r="J639" i="1"/>
  <c r="K639" i="1"/>
  <c r="J640" i="1"/>
  <c r="K640" i="1"/>
  <c r="J641" i="1"/>
  <c r="K641" i="1"/>
  <c r="J642" i="1"/>
  <c r="K642" i="1"/>
  <c r="J643" i="1"/>
  <c r="K643" i="1"/>
  <c r="J644" i="1"/>
  <c r="K644" i="1"/>
  <c r="J645" i="1"/>
  <c r="K645" i="1"/>
  <c r="J646" i="1"/>
  <c r="K646" i="1"/>
  <c r="J647" i="1"/>
  <c r="K647" i="1"/>
  <c r="J648" i="1"/>
  <c r="K648" i="1"/>
  <c r="J649" i="1"/>
  <c r="K649" i="1"/>
  <c r="J650" i="1"/>
  <c r="K650" i="1"/>
  <c r="J651" i="1"/>
  <c r="K651" i="1"/>
  <c r="J652" i="1"/>
  <c r="K652" i="1"/>
  <c r="J653" i="1"/>
  <c r="K653" i="1"/>
  <c r="J654" i="1"/>
  <c r="K654" i="1"/>
  <c r="J655" i="1"/>
  <c r="K655" i="1"/>
  <c r="J656" i="1"/>
  <c r="K656" i="1"/>
  <c r="J657" i="1"/>
  <c r="K657" i="1"/>
  <c r="J658" i="1"/>
  <c r="K658" i="1"/>
  <c r="J659" i="1"/>
  <c r="K659" i="1"/>
  <c r="J660" i="1"/>
  <c r="K660" i="1"/>
  <c r="J661" i="1"/>
  <c r="K661" i="1"/>
  <c r="J662" i="1"/>
  <c r="K662" i="1"/>
  <c r="J663" i="1"/>
  <c r="K663" i="1"/>
  <c r="J664" i="1"/>
  <c r="K664" i="1"/>
  <c r="J665" i="1"/>
  <c r="K665" i="1"/>
  <c r="J666" i="1"/>
  <c r="K666" i="1"/>
  <c r="J667" i="1"/>
  <c r="K667" i="1"/>
  <c r="J668" i="1"/>
  <c r="K668" i="1"/>
  <c r="J669" i="1"/>
  <c r="K669" i="1"/>
  <c r="J670" i="1"/>
  <c r="K670" i="1"/>
  <c r="J671" i="1"/>
  <c r="K671" i="1"/>
  <c r="J672" i="1"/>
  <c r="K672" i="1"/>
  <c r="J673" i="1"/>
  <c r="K673" i="1"/>
  <c r="J674" i="1"/>
  <c r="K674" i="1"/>
  <c r="J675" i="1"/>
  <c r="K675" i="1"/>
  <c r="J676" i="1"/>
  <c r="K676" i="1"/>
  <c r="J677" i="1"/>
  <c r="K677" i="1"/>
  <c r="J678" i="1"/>
  <c r="K678" i="1"/>
  <c r="J679" i="1"/>
  <c r="K679" i="1"/>
  <c r="J680" i="1"/>
  <c r="K680" i="1"/>
  <c r="J681" i="1"/>
  <c r="K681" i="1"/>
  <c r="J682" i="1"/>
  <c r="K682" i="1"/>
  <c r="J683" i="1"/>
  <c r="K683" i="1"/>
  <c r="J684" i="1"/>
  <c r="K684" i="1"/>
  <c r="J685" i="1"/>
  <c r="K685" i="1"/>
  <c r="J686" i="1"/>
  <c r="K686" i="1"/>
  <c r="J687" i="1"/>
  <c r="K687" i="1"/>
  <c r="J688" i="1"/>
  <c r="K688" i="1"/>
  <c r="J689" i="1"/>
  <c r="K689" i="1"/>
  <c r="J690" i="1"/>
  <c r="K690" i="1"/>
  <c r="J691" i="1"/>
  <c r="K691" i="1"/>
  <c r="J692" i="1"/>
  <c r="K692" i="1"/>
  <c r="J693" i="1"/>
  <c r="K693" i="1"/>
  <c r="J694" i="1"/>
  <c r="K694" i="1"/>
  <c r="J695" i="1"/>
  <c r="K695" i="1"/>
  <c r="J696" i="1"/>
  <c r="K696" i="1"/>
  <c r="J697" i="1"/>
  <c r="K697" i="1"/>
  <c r="J698" i="1"/>
  <c r="K698" i="1"/>
  <c r="J699" i="1"/>
  <c r="K699" i="1"/>
  <c r="J700" i="1"/>
  <c r="K700" i="1"/>
  <c r="J701" i="1"/>
  <c r="K701" i="1"/>
  <c r="J702" i="1"/>
  <c r="K702" i="1"/>
  <c r="J703" i="1"/>
  <c r="K703" i="1"/>
  <c r="J704" i="1"/>
  <c r="K704" i="1"/>
  <c r="J705" i="1"/>
  <c r="K705" i="1"/>
  <c r="J706" i="1"/>
  <c r="K706" i="1"/>
  <c r="J707" i="1"/>
  <c r="K707" i="1"/>
  <c r="J708" i="1"/>
  <c r="K708" i="1"/>
  <c r="J709" i="1"/>
  <c r="K709" i="1"/>
  <c r="J710" i="1"/>
  <c r="K710" i="1"/>
  <c r="J711" i="1"/>
  <c r="K711" i="1"/>
  <c r="J712" i="1"/>
  <c r="K712" i="1"/>
  <c r="J713" i="1"/>
  <c r="K713" i="1"/>
  <c r="J714" i="1"/>
  <c r="K714" i="1"/>
  <c r="J715" i="1"/>
  <c r="K715" i="1"/>
  <c r="J716" i="1"/>
  <c r="K716" i="1"/>
  <c r="J717" i="1"/>
  <c r="K717" i="1"/>
  <c r="J718" i="1"/>
  <c r="K718" i="1"/>
  <c r="J719" i="1"/>
  <c r="K719" i="1"/>
  <c r="J720" i="1"/>
  <c r="K720" i="1"/>
  <c r="J721" i="1"/>
  <c r="K721" i="1"/>
  <c r="J722" i="1"/>
  <c r="K722" i="1"/>
  <c r="J723" i="1"/>
  <c r="K723" i="1"/>
  <c r="J724" i="1"/>
  <c r="K724" i="1"/>
  <c r="J725" i="1"/>
  <c r="K725" i="1"/>
  <c r="J726" i="1"/>
  <c r="K726" i="1"/>
  <c r="J727" i="1"/>
  <c r="K727" i="1"/>
  <c r="J728" i="1"/>
  <c r="K728" i="1"/>
  <c r="J729" i="1"/>
  <c r="K729" i="1"/>
  <c r="J730" i="1"/>
  <c r="K730" i="1"/>
  <c r="J731" i="1"/>
  <c r="K731" i="1"/>
  <c r="J732" i="1"/>
  <c r="K732" i="1"/>
  <c r="J733" i="1"/>
  <c r="K733" i="1"/>
  <c r="J734" i="1"/>
  <c r="K734" i="1"/>
  <c r="J735" i="1"/>
  <c r="K735" i="1"/>
  <c r="J736" i="1"/>
  <c r="K736" i="1"/>
  <c r="J737" i="1"/>
  <c r="K737" i="1"/>
  <c r="J738" i="1"/>
  <c r="K738" i="1"/>
  <c r="J739" i="1"/>
  <c r="K739" i="1"/>
  <c r="J740" i="1"/>
  <c r="K740" i="1"/>
  <c r="J741" i="1"/>
  <c r="K741" i="1"/>
  <c r="J742" i="1"/>
  <c r="K742" i="1"/>
  <c r="J743" i="1"/>
  <c r="K743" i="1"/>
  <c r="J744" i="1"/>
  <c r="K744" i="1"/>
  <c r="J745" i="1"/>
  <c r="K745" i="1"/>
  <c r="J746" i="1"/>
  <c r="K746" i="1"/>
  <c r="J747" i="1"/>
  <c r="K747" i="1"/>
  <c r="J748" i="1"/>
  <c r="K748" i="1"/>
  <c r="J749" i="1"/>
  <c r="K749" i="1"/>
  <c r="J750" i="1"/>
  <c r="K750" i="1"/>
  <c r="J751" i="1"/>
  <c r="K751" i="1"/>
  <c r="J752" i="1"/>
  <c r="K752" i="1"/>
  <c r="J753" i="1"/>
  <c r="K753" i="1"/>
  <c r="J754" i="1"/>
  <c r="K754" i="1"/>
  <c r="J755" i="1"/>
  <c r="K755" i="1"/>
  <c r="J756" i="1"/>
  <c r="K756" i="1"/>
  <c r="J757" i="1"/>
  <c r="K757" i="1"/>
  <c r="J758" i="1"/>
  <c r="K758" i="1"/>
  <c r="J759" i="1"/>
  <c r="K759" i="1"/>
  <c r="J760" i="1"/>
  <c r="K760" i="1"/>
  <c r="J761" i="1"/>
  <c r="K761" i="1"/>
  <c r="J762" i="1"/>
  <c r="K762" i="1"/>
  <c r="J763" i="1"/>
  <c r="K763" i="1"/>
  <c r="J764" i="1"/>
  <c r="K764" i="1"/>
  <c r="J765" i="1"/>
  <c r="K765" i="1"/>
  <c r="J766" i="1"/>
  <c r="K766" i="1"/>
  <c r="J767" i="1"/>
  <c r="K767" i="1"/>
  <c r="J768" i="1"/>
  <c r="K768" i="1"/>
  <c r="J769" i="1"/>
  <c r="K769" i="1"/>
  <c r="J770" i="1"/>
  <c r="K770" i="1"/>
  <c r="J771" i="1"/>
  <c r="K771" i="1"/>
  <c r="J772" i="1"/>
  <c r="K772" i="1"/>
  <c r="J773" i="1"/>
  <c r="K773" i="1"/>
  <c r="J774" i="1"/>
  <c r="K774" i="1"/>
  <c r="J775" i="1"/>
  <c r="K775" i="1"/>
  <c r="J776" i="1"/>
  <c r="K776" i="1"/>
  <c r="J777" i="1"/>
  <c r="K777" i="1"/>
  <c r="J778" i="1"/>
  <c r="K778" i="1"/>
  <c r="J779" i="1"/>
  <c r="K779" i="1"/>
  <c r="J780" i="1"/>
  <c r="K780" i="1"/>
  <c r="J781" i="1"/>
  <c r="K781" i="1"/>
  <c r="J782" i="1"/>
  <c r="K782" i="1"/>
  <c r="J783" i="1"/>
  <c r="K783" i="1"/>
  <c r="J784" i="1"/>
  <c r="K784" i="1"/>
  <c r="J785" i="1"/>
  <c r="K785" i="1"/>
  <c r="J786" i="1"/>
  <c r="K786" i="1"/>
  <c r="J787" i="1"/>
  <c r="K787" i="1"/>
  <c r="J788" i="1"/>
  <c r="K788" i="1"/>
  <c r="J789" i="1"/>
  <c r="K789" i="1"/>
  <c r="J790" i="1"/>
  <c r="K790" i="1"/>
  <c r="J791" i="1"/>
  <c r="K791" i="1"/>
  <c r="J792" i="1"/>
  <c r="K792" i="1"/>
  <c r="J793" i="1"/>
  <c r="K793" i="1"/>
  <c r="J794" i="1"/>
  <c r="K794" i="1"/>
  <c r="J795" i="1"/>
  <c r="K795" i="1"/>
  <c r="J796" i="1"/>
  <c r="K796" i="1"/>
  <c r="J797" i="1"/>
  <c r="K797" i="1"/>
  <c r="J798" i="1"/>
  <c r="K798" i="1"/>
  <c r="J799" i="1"/>
  <c r="K799" i="1"/>
  <c r="J800" i="1"/>
  <c r="K800" i="1"/>
  <c r="J801" i="1"/>
  <c r="K801" i="1"/>
  <c r="J802" i="1"/>
  <c r="K802" i="1"/>
  <c r="J803" i="1"/>
  <c r="K803" i="1"/>
  <c r="J804" i="1"/>
  <c r="K804" i="1"/>
  <c r="J805" i="1"/>
  <c r="K805" i="1"/>
  <c r="J806" i="1"/>
  <c r="K806" i="1"/>
  <c r="J807" i="1"/>
  <c r="K807" i="1"/>
  <c r="J808" i="1"/>
  <c r="K808" i="1"/>
  <c r="J809" i="1"/>
  <c r="K809" i="1"/>
  <c r="J810" i="1"/>
  <c r="K810" i="1"/>
  <c r="J811" i="1"/>
  <c r="K811" i="1"/>
  <c r="J812" i="1"/>
  <c r="K812" i="1"/>
  <c r="J813" i="1"/>
  <c r="K813" i="1"/>
  <c r="J814" i="1"/>
  <c r="K814" i="1"/>
  <c r="J815" i="1"/>
  <c r="K815" i="1"/>
  <c r="J816" i="1"/>
  <c r="K816" i="1"/>
  <c r="J817" i="1"/>
  <c r="K817" i="1"/>
  <c r="J818" i="1"/>
  <c r="K818" i="1"/>
  <c r="J819" i="1"/>
  <c r="K819" i="1"/>
  <c r="J820" i="1"/>
  <c r="K820" i="1"/>
  <c r="J821" i="1"/>
  <c r="K821" i="1"/>
  <c r="J822" i="1"/>
  <c r="K822" i="1"/>
  <c r="J823" i="1"/>
  <c r="K823" i="1"/>
  <c r="J824" i="1"/>
  <c r="K824" i="1"/>
  <c r="J825" i="1"/>
  <c r="K825" i="1"/>
  <c r="J826" i="1"/>
  <c r="K826" i="1"/>
  <c r="J827" i="1"/>
  <c r="K827" i="1"/>
  <c r="J828" i="1"/>
  <c r="K828" i="1"/>
  <c r="J829" i="1"/>
  <c r="K829" i="1"/>
  <c r="J830" i="1"/>
  <c r="K830" i="1"/>
  <c r="J831" i="1"/>
  <c r="K831" i="1"/>
  <c r="J832" i="1"/>
  <c r="K832" i="1"/>
  <c r="J833" i="1"/>
  <c r="K833" i="1"/>
  <c r="J834" i="1"/>
  <c r="K834" i="1"/>
  <c r="J835" i="1"/>
  <c r="K835" i="1"/>
  <c r="J836" i="1"/>
  <c r="K836" i="1"/>
  <c r="J837" i="1"/>
  <c r="K837" i="1"/>
  <c r="J838" i="1"/>
  <c r="K838" i="1"/>
  <c r="J839" i="1"/>
  <c r="K839" i="1"/>
  <c r="J840" i="1"/>
  <c r="K840" i="1"/>
  <c r="J841" i="1"/>
  <c r="K841" i="1"/>
  <c r="J842" i="1"/>
  <c r="K842" i="1"/>
  <c r="J843" i="1"/>
  <c r="K843" i="1"/>
  <c r="J844" i="1"/>
  <c r="K844" i="1"/>
  <c r="J845" i="1"/>
  <c r="K845" i="1"/>
  <c r="J846" i="1"/>
  <c r="K846" i="1"/>
  <c r="J847" i="1"/>
  <c r="K847" i="1"/>
  <c r="J848" i="1"/>
  <c r="K848" i="1"/>
  <c r="J849" i="1"/>
  <c r="K849" i="1"/>
  <c r="J850" i="1"/>
  <c r="K850" i="1"/>
  <c r="J851" i="1"/>
  <c r="K851" i="1"/>
  <c r="J852" i="1"/>
  <c r="K852" i="1"/>
  <c r="J853" i="1"/>
  <c r="K853" i="1"/>
  <c r="J854" i="1"/>
  <c r="K854" i="1"/>
  <c r="J855" i="1"/>
  <c r="K855" i="1"/>
  <c r="J856" i="1"/>
  <c r="K856" i="1"/>
  <c r="J857" i="1"/>
  <c r="K857" i="1"/>
  <c r="J858" i="1"/>
  <c r="K858" i="1"/>
  <c r="J859" i="1"/>
  <c r="K859" i="1"/>
  <c r="J860" i="1"/>
  <c r="K860" i="1"/>
  <c r="J861" i="1"/>
  <c r="K861" i="1"/>
  <c r="J862" i="1"/>
  <c r="K862" i="1"/>
  <c r="J863" i="1"/>
  <c r="K863" i="1"/>
  <c r="J864" i="1"/>
  <c r="K864" i="1"/>
  <c r="J865" i="1"/>
  <c r="K865" i="1"/>
  <c r="J866" i="1"/>
  <c r="K866" i="1"/>
  <c r="J867" i="1"/>
  <c r="K867" i="1"/>
  <c r="J868" i="1"/>
  <c r="K868" i="1"/>
  <c r="J869" i="1"/>
  <c r="K869" i="1"/>
  <c r="J870" i="1"/>
  <c r="K870" i="1"/>
  <c r="J871" i="1"/>
  <c r="K871" i="1"/>
  <c r="J872" i="1"/>
  <c r="K872" i="1"/>
  <c r="J873" i="1"/>
  <c r="K873" i="1"/>
  <c r="J874" i="1"/>
  <c r="K874" i="1"/>
  <c r="J875" i="1"/>
  <c r="K875" i="1"/>
  <c r="J876" i="1"/>
  <c r="K876" i="1"/>
  <c r="J877" i="1"/>
  <c r="K877" i="1"/>
  <c r="J878" i="1"/>
  <c r="K878" i="1"/>
  <c r="J879" i="1"/>
  <c r="K879" i="1"/>
  <c r="J880" i="1"/>
  <c r="K880" i="1"/>
  <c r="J881" i="1"/>
  <c r="K881" i="1"/>
  <c r="J882" i="1"/>
  <c r="K882" i="1"/>
  <c r="J883" i="1"/>
  <c r="K883" i="1"/>
  <c r="J884" i="1"/>
  <c r="K884" i="1"/>
  <c r="J885" i="1"/>
  <c r="K885" i="1"/>
  <c r="J886" i="1"/>
  <c r="K886" i="1"/>
  <c r="J887" i="1"/>
  <c r="K887" i="1"/>
  <c r="J888" i="1"/>
  <c r="K888" i="1"/>
  <c r="J889" i="1"/>
  <c r="K889" i="1"/>
  <c r="J890" i="1"/>
  <c r="K890" i="1"/>
  <c r="J891" i="1"/>
  <c r="K891" i="1"/>
  <c r="J892" i="1"/>
  <c r="K892" i="1"/>
  <c r="J893" i="1"/>
  <c r="K893" i="1"/>
  <c r="J894" i="1"/>
  <c r="K894" i="1"/>
  <c r="J895" i="1"/>
  <c r="K895" i="1"/>
  <c r="J896" i="1"/>
  <c r="K896" i="1"/>
  <c r="J897" i="1"/>
  <c r="K897" i="1"/>
  <c r="J898" i="1"/>
  <c r="K898" i="1"/>
  <c r="J899" i="1"/>
  <c r="K899" i="1"/>
  <c r="J900" i="1"/>
  <c r="K900" i="1"/>
  <c r="J901" i="1"/>
  <c r="K901" i="1"/>
  <c r="J902" i="1"/>
  <c r="K902" i="1"/>
  <c r="J903" i="1"/>
  <c r="K903" i="1"/>
  <c r="J904" i="1"/>
  <c r="K904" i="1"/>
  <c r="J905" i="1"/>
  <c r="K905" i="1"/>
  <c r="J906" i="1"/>
  <c r="K906" i="1"/>
  <c r="J907" i="1"/>
  <c r="K907" i="1"/>
  <c r="J908" i="1"/>
  <c r="K908" i="1"/>
  <c r="J909" i="1"/>
  <c r="K909" i="1"/>
  <c r="J910" i="1"/>
  <c r="K910" i="1"/>
  <c r="J911" i="1"/>
  <c r="K911" i="1"/>
  <c r="J912" i="1"/>
  <c r="K912" i="1"/>
  <c r="J913" i="1"/>
  <c r="K913" i="1"/>
  <c r="J914" i="1"/>
  <c r="K914" i="1"/>
  <c r="J915" i="1"/>
  <c r="K915" i="1"/>
  <c r="J916" i="1"/>
  <c r="K916" i="1"/>
  <c r="J917" i="1"/>
  <c r="K917" i="1"/>
  <c r="J918" i="1"/>
  <c r="K918" i="1"/>
  <c r="J919" i="1"/>
  <c r="K919" i="1"/>
  <c r="J920" i="1"/>
  <c r="K920" i="1"/>
  <c r="J921" i="1"/>
  <c r="K921" i="1"/>
  <c r="J922" i="1"/>
  <c r="K922" i="1"/>
  <c r="J923" i="1"/>
  <c r="K923" i="1"/>
  <c r="J924" i="1"/>
  <c r="K924" i="1"/>
  <c r="J925" i="1"/>
  <c r="K925" i="1"/>
  <c r="J926" i="1"/>
  <c r="K926" i="1"/>
  <c r="J927" i="1"/>
  <c r="K927" i="1"/>
  <c r="J928" i="1"/>
  <c r="K928" i="1"/>
  <c r="J929" i="1"/>
  <c r="K929" i="1"/>
  <c r="J930" i="1"/>
  <c r="K930" i="1"/>
  <c r="J931" i="1"/>
  <c r="K931" i="1"/>
  <c r="J932" i="1"/>
  <c r="K932" i="1"/>
  <c r="J933" i="1"/>
  <c r="K933" i="1"/>
  <c r="J934" i="1"/>
  <c r="K934" i="1"/>
  <c r="J935" i="1"/>
  <c r="K935" i="1"/>
  <c r="J936" i="1"/>
  <c r="K936" i="1"/>
  <c r="J937" i="1"/>
  <c r="K937" i="1"/>
  <c r="J938" i="1"/>
  <c r="K938" i="1"/>
  <c r="J939" i="1"/>
  <c r="K939" i="1"/>
  <c r="J940" i="1"/>
  <c r="K940" i="1"/>
  <c r="J941" i="1"/>
  <c r="K941" i="1"/>
  <c r="J942" i="1"/>
  <c r="K942" i="1"/>
  <c r="J943" i="1"/>
  <c r="K943" i="1"/>
  <c r="J944" i="1"/>
  <c r="K944" i="1"/>
  <c r="J945" i="1"/>
  <c r="K945" i="1"/>
  <c r="J946" i="1"/>
  <c r="K946" i="1"/>
  <c r="J947" i="1"/>
  <c r="K947" i="1"/>
  <c r="J948" i="1"/>
  <c r="K948" i="1"/>
  <c r="J949" i="1"/>
  <c r="K949" i="1"/>
  <c r="J950" i="1"/>
  <c r="K950" i="1"/>
  <c r="J951" i="1"/>
  <c r="K951" i="1"/>
  <c r="J952" i="1"/>
  <c r="K952" i="1"/>
  <c r="J953" i="1"/>
  <c r="K953" i="1"/>
  <c r="J954" i="1"/>
  <c r="K954" i="1"/>
  <c r="J955" i="1"/>
  <c r="K955" i="1"/>
  <c r="J956" i="1"/>
  <c r="K956" i="1"/>
  <c r="J957" i="1"/>
  <c r="K957" i="1"/>
  <c r="J958" i="1"/>
  <c r="K958" i="1"/>
  <c r="J959" i="1"/>
  <c r="K959" i="1"/>
  <c r="J960" i="1"/>
  <c r="K960" i="1"/>
  <c r="J961" i="1"/>
  <c r="K961" i="1"/>
  <c r="J962" i="1"/>
  <c r="K962" i="1"/>
  <c r="J963" i="1"/>
  <c r="K963" i="1"/>
  <c r="J964" i="1"/>
  <c r="K964" i="1"/>
  <c r="J965" i="1"/>
  <c r="K965" i="1"/>
  <c r="J966" i="1"/>
  <c r="K966" i="1"/>
  <c r="J967" i="1"/>
  <c r="K967" i="1"/>
  <c r="J968" i="1"/>
  <c r="K968" i="1"/>
  <c r="J969" i="1"/>
  <c r="K969" i="1"/>
  <c r="J970" i="1"/>
  <c r="K970" i="1"/>
  <c r="J971" i="1"/>
  <c r="K971" i="1"/>
  <c r="J972" i="1"/>
  <c r="K972" i="1"/>
  <c r="J973" i="1"/>
  <c r="K973" i="1"/>
  <c r="J974" i="1"/>
  <c r="K974" i="1"/>
  <c r="J975" i="1"/>
  <c r="K975" i="1"/>
  <c r="J976" i="1"/>
  <c r="K976" i="1"/>
  <c r="J977" i="1"/>
  <c r="K977" i="1"/>
  <c r="J978" i="1"/>
  <c r="K978" i="1"/>
  <c r="J979" i="1"/>
  <c r="K979" i="1"/>
  <c r="J980" i="1"/>
  <c r="K980" i="1"/>
  <c r="J981" i="1"/>
  <c r="K981" i="1"/>
  <c r="J982" i="1"/>
  <c r="K982" i="1"/>
  <c r="J983" i="1"/>
  <c r="K983" i="1"/>
  <c r="J984" i="1"/>
  <c r="K984" i="1"/>
  <c r="J985" i="1"/>
  <c r="K985" i="1"/>
  <c r="J986" i="1"/>
  <c r="K986" i="1"/>
  <c r="J987" i="1"/>
  <c r="K987" i="1"/>
  <c r="J988" i="1"/>
  <c r="K988" i="1"/>
  <c r="J989" i="1"/>
  <c r="K989" i="1"/>
  <c r="J990" i="1"/>
  <c r="K990" i="1"/>
  <c r="J991" i="1"/>
  <c r="K991" i="1"/>
  <c r="J992" i="1"/>
  <c r="K992" i="1"/>
  <c r="J993" i="1"/>
  <c r="K993" i="1"/>
  <c r="J994" i="1"/>
  <c r="K994" i="1"/>
  <c r="J995" i="1"/>
  <c r="K995" i="1"/>
  <c r="J996" i="1"/>
  <c r="K996" i="1"/>
  <c r="J997" i="1"/>
  <c r="K997" i="1"/>
  <c r="J998" i="1"/>
  <c r="K998" i="1"/>
  <c r="J999" i="1"/>
  <c r="K999" i="1"/>
  <c r="J1000" i="1"/>
  <c r="K1000" i="1"/>
  <c r="J1001" i="1"/>
  <c r="K1001" i="1"/>
  <c r="J1002" i="1"/>
  <c r="K1002" i="1"/>
  <c r="J1003" i="1"/>
  <c r="K1003" i="1"/>
  <c r="J1004" i="1"/>
  <c r="K1004" i="1"/>
  <c r="J1005" i="1"/>
  <c r="K1005" i="1"/>
  <c r="J1006" i="1"/>
  <c r="K1006" i="1"/>
  <c r="J1007" i="1"/>
  <c r="K1007" i="1"/>
  <c r="J1008" i="1"/>
  <c r="K1008" i="1"/>
  <c r="J1009" i="1"/>
  <c r="K1009" i="1"/>
  <c r="J1010" i="1"/>
  <c r="K1010" i="1"/>
  <c r="J1011" i="1"/>
  <c r="K1011" i="1"/>
  <c r="J1012" i="1"/>
  <c r="K1012" i="1"/>
  <c r="J1013" i="1"/>
  <c r="K1013" i="1"/>
  <c r="J1014" i="1"/>
  <c r="K1014" i="1"/>
  <c r="J1015" i="1"/>
  <c r="K1015" i="1"/>
  <c r="J1016" i="1"/>
  <c r="K1016" i="1"/>
  <c r="J1017" i="1"/>
  <c r="K1017" i="1"/>
  <c r="J1018" i="1"/>
  <c r="K1018" i="1"/>
  <c r="J1019" i="1"/>
  <c r="K1019" i="1"/>
  <c r="J1020" i="1"/>
  <c r="K1020" i="1"/>
  <c r="J1021" i="1"/>
  <c r="K1021" i="1"/>
  <c r="J1022" i="1"/>
  <c r="K1022" i="1"/>
  <c r="J1023" i="1"/>
  <c r="K1023" i="1"/>
  <c r="J1024" i="1"/>
  <c r="K1024" i="1"/>
  <c r="J1025" i="1"/>
  <c r="K1025" i="1"/>
  <c r="J1026" i="1"/>
  <c r="K1026" i="1"/>
  <c r="J1027" i="1"/>
  <c r="K1027" i="1"/>
  <c r="J1028" i="1"/>
  <c r="K1028" i="1"/>
  <c r="J1029" i="1"/>
  <c r="K1029" i="1"/>
  <c r="J1030" i="1"/>
  <c r="K1030" i="1"/>
  <c r="J1031" i="1"/>
  <c r="K1031" i="1"/>
  <c r="J1032" i="1"/>
  <c r="K1032" i="1"/>
  <c r="J1033" i="1"/>
  <c r="K1033" i="1"/>
  <c r="J1034" i="1"/>
  <c r="K1034" i="1"/>
  <c r="J1035" i="1"/>
  <c r="K1035" i="1"/>
  <c r="J1036" i="1"/>
  <c r="K1036" i="1"/>
  <c r="J1037" i="1"/>
  <c r="K1037" i="1"/>
  <c r="J1038" i="1"/>
  <c r="K1038" i="1"/>
  <c r="J1039" i="1"/>
  <c r="K1039" i="1"/>
  <c r="J1040" i="1"/>
  <c r="K1040" i="1"/>
  <c r="J1041" i="1"/>
  <c r="K1041" i="1"/>
  <c r="J1042" i="1"/>
  <c r="K1042" i="1"/>
  <c r="J1043" i="1"/>
  <c r="K1043" i="1"/>
  <c r="J1044" i="1"/>
  <c r="K1044" i="1"/>
  <c r="J1045" i="1"/>
  <c r="K1045" i="1"/>
  <c r="J1046" i="1"/>
  <c r="K1046" i="1"/>
  <c r="J1047" i="1"/>
  <c r="K1047" i="1"/>
  <c r="J1048" i="1"/>
  <c r="K1048" i="1"/>
  <c r="J1049" i="1"/>
  <c r="K1049" i="1"/>
  <c r="J1050" i="1"/>
  <c r="K1050" i="1"/>
  <c r="J1051" i="1"/>
  <c r="K1051" i="1"/>
  <c r="J1052" i="1"/>
  <c r="K1052" i="1"/>
  <c r="J1053" i="1"/>
  <c r="K1053" i="1"/>
  <c r="J1054" i="1"/>
  <c r="K1054" i="1"/>
  <c r="J1055" i="1"/>
  <c r="K1055" i="1"/>
  <c r="J1056" i="1"/>
  <c r="K1056" i="1"/>
  <c r="J1057" i="1"/>
  <c r="K1057" i="1"/>
  <c r="J1058" i="1"/>
  <c r="K1058" i="1"/>
  <c r="J1059" i="1"/>
  <c r="K1059" i="1"/>
  <c r="J1060" i="1"/>
  <c r="K1060" i="1"/>
  <c r="J1061" i="1"/>
  <c r="K1061" i="1"/>
  <c r="J1062" i="1"/>
  <c r="K1062" i="1"/>
  <c r="J1063" i="1"/>
  <c r="K1063" i="1"/>
  <c r="J1064" i="1"/>
  <c r="K1064" i="1"/>
  <c r="J1065" i="1"/>
  <c r="K1065" i="1"/>
  <c r="J1066" i="1"/>
  <c r="K1066" i="1"/>
  <c r="J1067" i="1"/>
  <c r="K1067" i="1"/>
  <c r="J1068" i="1"/>
  <c r="K1068" i="1"/>
  <c r="J1069" i="1"/>
  <c r="K1069" i="1"/>
  <c r="J1070" i="1"/>
  <c r="K1070" i="1"/>
  <c r="J1071" i="1"/>
  <c r="K1071" i="1"/>
  <c r="J1072" i="1"/>
  <c r="K1072" i="1"/>
  <c r="J1073" i="1"/>
  <c r="K1073" i="1"/>
  <c r="J1074" i="1"/>
  <c r="K1074" i="1"/>
  <c r="J1075" i="1"/>
  <c r="K1075" i="1"/>
  <c r="J1076" i="1"/>
  <c r="K1076" i="1"/>
  <c r="J1077" i="1"/>
  <c r="K1077" i="1"/>
  <c r="J1078" i="1"/>
  <c r="K1078" i="1"/>
  <c r="J1079" i="1"/>
  <c r="K1079" i="1"/>
  <c r="J1080" i="1"/>
  <c r="K1080" i="1"/>
  <c r="J1081" i="1"/>
  <c r="K1081" i="1"/>
  <c r="J1082" i="1"/>
  <c r="K1082" i="1"/>
  <c r="J1083" i="1"/>
  <c r="K1083" i="1"/>
  <c r="J1084" i="1"/>
  <c r="K1084" i="1"/>
  <c r="J1085" i="1"/>
  <c r="K1085" i="1"/>
  <c r="J1086" i="1"/>
  <c r="K1086" i="1"/>
  <c r="J1087" i="1"/>
  <c r="K1087" i="1"/>
  <c r="J1088" i="1"/>
  <c r="K1088" i="1"/>
  <c r="J1089" i="1"/>
  <c r="K1089" i="1"/>
  <c r="J1090" i="1"/>
  <c r="K1090" i="1"/>
  <c r="J1091" i="1"/>
  <c r="K1091" i="1"/>
  <c r="J1092" i="1"/>
  <c r="K1092" i="1"/>
  <c r="J1093" i="1"/>
  <c r="K1093" i="1"/>
  <c r="J1094" i="1"/>
  <c r="K1094" i="1"/>
  <c r="J1095" i="1"/>
  <c r="K1095" i="1"/>
  <c r="J1096" i="1"/>
  <c r="K1096" i="1"/>
  <c r="J1097" i="1"/>
  <c r="K1097" i="1"/>
  <c r="J1098" i="1"/>
  <c r="K1098" i="1"/>
  <c r="J1099" i="1"/>
  <c r="K1099" i="1"/>
  <c r="J1100" i="1"/>
  <c r="K1100" i="1"/>
  <c r="J1101" i="1"/>
  <c r="K1101" i="1"/>
  <c r="J1102" i="1"/>
  <c r="K1102" i="1"/>
  <c r="J1103" i="1"/>
  <c r="K1103" i="1"/>
  <c r="J1104" i="1"/>
  <c r="K1104" i="1"/>
  <c r="J1105" i="1"/>
  <c r="K1105" i="1"/>
  <c r="J1106" i="1"/>
  <c r="K1106" i="1"/>
  <c r="J1107" i="1"/>
  <c r="K1107" i="1"/>
  <c r="J1108" i="1"/>
  <c r="K1108" i="1"/>
  <c r="J1109" i="1"/>
  <c r="K1109" i="1"/>
  <c r="J1110" i="1"/>
  <c r="K1110" i="1"/>
  <c r="J1111" i="1"/>
  <c r="K1111" i="1"/>
  <c r="J1112" i="1"/>
  <c r="K1112" i="1"/>
  <c r="J1113" i="1"/>
  <c r="K1113" i="1"/>
  <c r="J1114" i="1"/>
  <c r="K1114" i="1"/>
  <c r="J1115" i="1"/>
  <c r="K1115" i="1"/>
  <c r="J1116" i="1"/>
  <c r="K1116" i="1"/>
  <c r="J1117" i="1"/>
  <c r="K1117" i="1"/>
  <c r="J1118" i="1"/>
  <c r="K1118" i="1"/>
  <c r="J1119" i="1"/>
  <c r="K1119" i="1"/>
  <c r="J1120" i="1"/>
  <c r="K1120" i="1"/>
  <c r="J1121" i="1"/>
  <c r="K1121" i="1"/>
  <c r="J1122" i="1"/>
  <c r="K1122" i="1"/>
  <c r="J1123" i="1"/>
  <c r="K1123" i="1"/>
  <c r="J1124" i="1"/>
  <c r="K1124" i="1"/>
  <c r="J1125" i="1"/>
  <c r="K1125" i="1"/>
  <c r="J1126" i="1"/>
  <c r="K1126" i="1"/>
  <c r="J1127" i="1"/>
  <c r="K1127" i="1"/>
  <c r="J1128" i="1"/>
  <c r="K1128" i="1"/>
  <c r="J1129" i="1"/>
  <c r="K1129" i="1"/>
  <c r="J1130" i="1"/>
  <c r="K1130" i="1"/>
  <c r="J1131" i="1"/>
  <c r="K1131" i="1"/>
  <c r="J1132" i="1"/>
  <c r="K1132" i="1"/>
  <c r="J1133" i="1"/>
  <c r="K1133" i="1"/>
  <c r="J1134" i="1"/>
  <c r="K1134" i="1"/>
  <c r="J1135" i="1"/>
  <c r="K1135" i="1"/>
  <c r="J1136" i="1"/>
  <c r="K1136" i="1"/>
  <c r="J1137" i="1"/>
  <c r="K1137" i="1"/>
  <c r="J1138" i="1"/>
  <c r="K1138" i="1"/>
  <c r="J1139" i="1"/>
  <c r="K1139" i="1"/>
  <c r="J1140" i="1"/>
  <c r="K1140" i="1"/>
  <c r="J1141" i="1"/>
  <c r="K1141" i="1"/>
  <c r="J1142" i="1"/>
  <c r="K1142" i="1"/>
  <c r="J1143" i="1"/>
  <c r="K1143" i="1"/>
  <c r="J1144" i="1"/>
  <c r="K1144" i="1"/>
  <c r="J1145" i="1"/>
  <c r="K1145" i="1"/>
  <c r="J1146" i="1"/>
  <c r="K1146" i="1"/>
  <c r="J1147" i="1"/>
  <c r="K1147" i="1"/>
  <c r="J1148" i="1"/>
  <c r="K1148" i="1"/>
  <c r="J1149" i="1"/>
  <c r="K1149" i="1"/>
  <c r="J1150" i="1"/>
  <c r="K1150" i="1"/>
  <c r="J1151" i="1"/>
  <c r="K1151" i="1"/>
  <c r="J1152" i="1"/>
  <c r="K1152" i="1"/>
  <c r="J1153" i="1"/>
  <c r="K1153" i="1"/>
  <c r="J1154" i="1"/>
  <c r="K1154" i="1"/>
  <c r="J1155" i="1"/>
  <c r="K1155" i="1"/>
  <c r="J1156" i="1"/>
  <c r="K1156" i="1"/>
  <c r="J1157" i="1"/>
  <c r="K1157" i="1"/>
  <c r="J1158" i="1"/>
  <c r="K1158" i="1"/>
  <c r="J1159" i="1"/>
  <c r="K1159" i="1"/>
  <c r="J1160" i="1"/>
  <c r="K1160" i="1"/>
  <c r="J1161" i="1"/>
  <c r="K1161" i="1"/>
  <c r="J1162" i="1"/>
  <c r="K1162" i="1"/>
  <c r="J1163" i="1"/>
  <c r="K1163" i="1"/>
  <c r="J1164" i="1"/>
  <c r="K1164" i="1"/>
  <c r="J1165" i="1"/>
  <c r="K1165" i="1"/>
  <c r="J1166" i="1"/>
  <c r="K1166" i="1"/>
  <c r="J1167" i="1"/>
  <c r="K1167" i="1"/>
  <c r="J1168" i="1"/>
  <c r="K1168" i="1"/>
  <c r="J1169" i="1"/>
  <c r="K1169" i="1"/>
  <c r="J1170" i="1"/>
  <c r="K1170" i="1"/>
  <c r="J1171" i="1"/>
  <c r="K1171" i="1"/>
  <c r="J1172" i="1"/>
  <c r="K1172" i="1"/>
  <c r="J1173" i="1"/>
  <c r="K1173" i="1"/>
  <c r="J1174" i="1"/>
  <c r="K1174" i="1"/>
  <c r="J1175" i="1"/>
  <c r="K1175" i="1"/>
  <c r="J1176" i="1"/>
  <c r="K1176" i="1"/>
  <c r="J1177" i="1"/>
  <c r="K1177" i="1"/>
  <c r="J1178" i="1"/>
  <c r="K1178" i="1"/>
  <c r="J1179" i="1"/>
  <c r="K1179" i="1"/>
  <c r="J1180" i="1"/>
  <c r="K1180" i="1"/>
  <c r="J1181" i="1"/>
  <c r="K1181" i="1"/>
  <c r="J1182" i="1"/>
  <c r="K1182" i="1"/>
  <c r="J1183" i="1"/>
  <c r="K1183" i="1"/>
  <c r="J1184" i="1"/>
  <c r="K1184" i="1"/>
  <c r="J1185" i="1"/>
  <c r="K1185" i="1"/>
  <c r="J1186" i="1"/>
  <c r="K1186" i="1"/>
  <c r="J1187" i="1"/>
  <c r="K1187" i="1"/>
  <c r="J1188" i="1"/>
  <c r="K1188" i="1"/>
  <c r="J1189" i="1"/>
  <c r="K1189" i="1"/>
  <c r="J1190" i="1"/>
  <c r="K1190" i="1"/>
  <c r="J1191" i="1"/>
  <c r="K1191" i="1"/>
  <c r="J1192" i="1"/>
  <c r="K1192" i="1"/>
  <c r="J1193" i="1"/>
  <c r="K1193" i="1"/>
  <c r="J1194" i="1"/>
  <c r="K1194" i="1"/>
  <c r="J1195" i="1"/>
  <c r="K1195" i="1"/>
  <c r="J1196" i="1"/>
  <c r="K1196" i="1"/>
  <c r="J1197" i="1"/>
  <c r="K1197" i="1"/>
  <c r="J1198" i="1"/>
  <c r="K1198" i="1"/>
  <c r="J1199" i="1"/>
  <c r="K1199" i="1"/>
  <c r="J1200" i="1"/>
  <c r="K1200" i="1"/>
  <c r="J1201" i="1"/>
  <c r="K1201" i="1"/>
  <c r="J1202" i="1"/>
  <c r="K1202" i="1"/>
  <c r="J1203" i="1"/>
  <c r="K1203" i="1"/>
  <c r="J1204" i="1"/>
  <c r="K1204" i="1"/>
  <c r="J1205" i="1"/>
  <c r="K1205" i="1"/>
  <c r="J1206" i="1"/>
  <c r="K1206" i="1"/>
  <c r="J1207" i="1"/>
  <c r="K1207" i="1"/>
  <c r="J1208" i="1"/>
  <c r="K1208" i="1"/>
  <c r="J1209" i="1"/>
  <c r="K1209" i="1"/>
  <c r="J1210" i="1"/>
  <c r="K1210" i="1"/>
  <c r="J1211" i="1"/>
  <c r="K1211" i="1"/>
  <c r="J1212" i="1"/>
  <c r="K1212" i="1"/>
  <c r="J1213" i="1"/>
  <c r="K1213" i="1"/>
  <c r="J1214" i="1"/>
  <c r="K1214" i="1"/>
  <c r="J1215" i="1"/>
  <c r="K1215" i="1"/>
  <c r="J1216" i="1"/>
  <c r="K1216" i="1"/>
  <c r="J1217" i="1"/>
  <c r="K1217" i="1"/>
  <c r="J1218" i="1"/>
  <c r="K1218" i="1"/>
  <c r="J1219" i="1"/>
  <c r="K1219" i="1"/>
  <c r="J1220" i="1"/>
  <c r="K1220" i="1"/>
  <c r="J1221" i="1"/>
  <c r="K1221" i="1"/>
  <c r="J1222" i="1"/>
  <c r="K1222" i="1"/>
  <c r="J1223" i="1"/>
  <c r="K1223" i="1"/>
  <c r="J1224" i="1"/>
  <c r="K1224" i="1"/>
  <c r="J1225" i="1"/>
  <c r="K1225" i="1"/>
  <c r="J1226" i="1"/>
  <c r="K1226" i="1"/>
  <c r="J1227" i="1"/>
  <c r="K1227" i="1"/>
  <c r="J1228" i="1"/>
  <c r="K1228" i="1"/>
  <c r="J1229" i="1"/>
  <c r="K1229" i="1"/>
  <c r="J1230" i="1"/>
  <c r="K1230" i="1"/>
  <c r="J1231" i="1"/>
  <c r="K1231" i="1"/>
  <c r="J1232" i="1"/>
  <c r="K1232" i="1"/>
  <c r="J1233" i="1"/>
  <c r="K1233" i="1"/>
  <c r="J1234" i="1"/>
  <c r="K1234" i="1"/>
  <c r="J1235" i="1"/>
  <c r="K1235" i="1"/>
  <c r="J1236" i="1"/>
  <c r="K1236" i="1"/>
  <c r="J1237" i="1"/>
  <c r="K1237" i="1"/>
  <c r="J1238" i="1"/>
  <c r="K1238" i="1"/>
  <c r="J1239" i="1"/>
  <c r="K1239" i="1"/>
  <c r="J1240" i="1"/>
  <c r="K1240" i="1"/>
  <c r="J1241" i="1"/>
  <c r="K1241" i="1"/>
  <c r="J1242" i="1"/>
  <c r="K1242" i="1"/>
  <c r="J1243" i="1"/>
  <c r="K1243" i="1"/>
  <c r="J1244" i="1"/>
  <c r="K1244" i="1"/>
  <c r="J1245" i="1"/>
  <c r="K1245" i="1"/>
  <c r="J1246" i="1"/>
  <c r="K1246" i="1"/>
  <c r="J1247" i="1"/>
  <c r="K1247" i="1"/>
  <c r="J1248" i="1"/>
  <c r="K1248" i="1"/>
  <c r="J1249" i="1"/>
  <c r="K1249" i="1"/>
  <c r="J1250" i="1"/>
  <c r="K1250" i="1"/>
  <c r="J1251" i="1"/>
  <c r="K1251" i="1"/>
  <c r="J1252" i="1"/>
  <c r="K1252" i="1"/>
  <c r="J1253" i="1"/>
  <c r="K1253" i="1"/>
  <c r="J1254" i="1"/>
  <c r="K1254" i="1"/>
  <c r="J1255" i="1"/>
  <c r="K1255" i="1"/>
  <c r="J1256" i="1"/>
  <c r="K1256" i="1"/>
  <c r="J1257" i="1"/>
  <c r="K1257" i="1"/>
  <c r="J1258" i="1"/>
  <c r="K1258" i="1"/>
  <c r="J1259" i="1"/>
  <c r="K1259" i="1"/>
  <c r="J1260" i="1"/>
  <c r="K1260" i="1"/>
  <c r="J1261" i="1"/>
  <c r="K1261" i="1"/>
  <c r="J1262" i="1"/>
  <c r="K1262" i="1"/>
  <c r="J1263" i="1"/>
  <c r="K1263" i="1"/>
  <c r="J1264" i="1"/>
  <c r="K1264" i="1"/>
  <c r="J1265" i="1"/>
  <c r="K1265" i="1"/>
  <c r="J1266" i="1"/>
  <c r="K1266" i="1"/>
  <c r="J1267" i="1"/>
  <c r="K1267" i="1"/>
  <c r="J1268" i="1"/>
  <c r="K1268" i="1"/>
  <c r="J1269" i="1"/>
  <c r="K1269" i="1"/>
  <c r="J1270" i="1"/>
  <c r="K1270" i="1"/>
  <c r="J1271" i="1"/>
  <c r="K1271" i="1"/>
  <c r="J1272" i="1"/>
  <c r="K1272" i="1"/>
  <c r="J1273" i="1"/>
  <c r="K1273" i="1"/>
  <c r="J1274" i="1"/>
  <c r="K1274" i="1"/>
  <c r="J1275" i="1"/>
  <c r="K1275" i="1"/>
  <c r="J1276" i="1"/>
  <c r="K1276" i="1"/>
  <c r="J1277" i="1"/>
  <c r="K1277" i="1"/>
  <c r="J1278" i="1"/>
  <c r="K1278" i="1"/>
  <c r="J1279" i="1"/>
  <c r="K1279" i="1"/>
  <c r="J1280" i="1"/>
  <c r="K1280" i="1"/>
  <c r="J1281" i="1"/>
  <c r="K1281" i="1"/>
  <c r="J1282" i="1"/>
  <c r="K1282" i="1"/>
  <c r="J1283" i="1"/>
  <c r="K1283" i="1"/>
  <c r="J1284" i="1"/>
  <c r="K1284" i="1"/>
  <c r="J1285" i="1"/>
  <c r="K1285" i="1"/>
  <c r="J1286" i="1"/>
  <c r="K1286" i="1"/>
  <c r="J1287" i="1"/>
  <c r="K1287" i="1"/>
  <c r="J1288" i="1"/>
  <c r="K1288" i="1"/>
  <c r="J1289" i="1"/>
  <c r="K1289" i="1"/>
  <c r="J1290" i="1"/>
  <c r="K1290" i="1"/>
  <c r="J1291" i="1"/>
  <c r="K1291" i="1"/>
  <c r="J1292" i="1"/>
  <c r="K1292" i="1"/>
  <c r="J1293" i="1"/>
  <c r="K1293" i="1"/>
  <c r="J1294" i="1"/>
  <c r="K1294" i="1"/>
  <c r="J1295" i="1"/>
  <c r="K1295" i="1"/>
  <c r="J1296" i="1"/>
  <c r="K1296" i="1"/>
  <c r="J1297" i="1"/>
  <c r="K1297" i="1"/>
  <c r="J1298" i="1"/>
  <c r="K1298" i="1"/>
  <c r="J1299" i="1"/>
  <c r="K1299" i="1"/>
  <c r="J1300" i="1"/>
  <c r="K1300" i="1"/>
  <c r="J1301" i="1"/>
  <c r="K1301" i="1"/>
  <c r="J1302" i="1"/>
  <c r="K1302" i="1"/>
  <c r="J1303" i="1"/>
  <c r="K1303" i="1"/>
  <c r="J1304" i="1"/>
  <c r="K1304" i="1"/>
  <c r="J1305" i="1"/>
  <c r="K1305" i="1"/>
  <c r="J1306" i="1"/>
  <c r="K1306" i="1"/>
  <c r="J1307" i="1"/>
  <c r="K1307" i="1"/>
  <c r="J1308" i="1"/>
  <c r="K1308" i="1"/>
  <c r="J1309" i="1"/>
  <c r="K1309" i="1"/>
  <c r="J1310" i="1"/>
  <c r="K1310" i="1"/>
  <c r="J1311" i="1"/>
  <c r="K1311" i="1"/>
  <c r="J1312" i="1"/>
  <c r="K1312" i="1"/>
  <c r="J1313" i="1"/>
  <c r="K1313" i="1"/>
  <c r="J1314" i="1"/>
  <c r="K1314" i="1"/>
  <c r="J1315" i="1"/>
  <c r="K1315" i="1"/>
  <c r="J1316" i="1"/>
  <c r="K1316" i="1"/>
  <c r="J1317" i="1"/>
  <c r="K1317" i="1"/>
  <c r="J1318" i="1"/>
  <c r="K1318" i="1"/>
  <c r="J1319" i="1"/>
  <c r="K1319" i="1"/>
  <c r="J1320" i="1"/>
  <c r="K1320" i="1"/>
  <c r="J1321" i="1"/>
  <c r="K1321" i="1"/>
  <c r="J1322" i="1"/>
  <c r="K1322" i="1"/>
  <c r="J1323" i="1"/>
  <c r="K1323" i="1"/>
  <c r="J1324" i="1"/>
  <c r="K1324" i="1"/>
  <c r="J1325" i="1"/>
  <c r="K1325" i="1"/>
  <c r="J1326" i="1"/>
  <c r="K1326" i="1"/>
  <c r="J1327" i="1"/>
  <c r="K1327" i="1"/>
  <c r="J1328" i="1"/>
  <c r="K1328" i="1"/>
  <c r="J1329" i="1"/>
  <c r="K1329" i="1"/>
  <c r="J1330" i="1"/>
  <c r="K1330" i="1"/>
  <c r="J1331" i="1"/>
  <c r="K1331" i="1"/>
  <c r="J1332" i="1"/>
  <c r="K1332" i="1"/>
  <c r="J1333" i="1"/>
  <c r="K1333" i="1"/>
  <c r="J1334" i="1"/>
  <c r="K1334" i="1"/>
  <c r="J1335" i="1"/>
  <c r="K1335" i="1"/>
  <c r="J1336" i="1"/>
  <c r="K1336" i="1"/>
  <c r="J1337" i="1"/>
  <c r="K1337" i="1"/>
  <c r="J1338" i="1"/>
  <c r="K1338" i="1"/>
  <c r="J1339" i="1"/>
  <c r="K1339" i="1"/>
  <c r="J1340" i="1"/>
  <c r="K1340" i="1"/>
  <c r="J1341" i="1"/>
  <c r="K1341" i="1"/>
  <c r="J1342" i="1"/>
  <c r="K1342" i="1"/>
  <c r="J1343" i="1"/>
  <c r="K1343" i="1"/>
  <c r="J1344" i="1"/>
  <c r="K1344" i="1"/>
  <c r="J1345" i="1"/>
  <c r="K1345" i="1"/>
  <c r="J1346" i="1"/>
  <c r="K1346" i="1"/>
  <c r="J1347" i="1"/>
  <c r="K1347" i="1"/>
  <c r="J1348" i="1"/>
  <c r="K1348" i="1"/>
  <c r="J1349" i="1"/>
  <c r="K1349" i="1"/>
  <c r="J1350" i="1"/>
  <c r="K1350" i="1"/>
  <c r="J1351" i="1"/>
  <c r="K1351" i="1"/>
  <c r="J1352" i="1"/>
  <c r="K1352" i="1"/>
  <c r="J1353" i="1"/>
  <c r="K1353" i="1"/>
  <c r="J1354" i="1"/>
  <c r="K1354" i="1"/>
  <c r="J1355" i="1"/>
  <c r="K1355" i="1"/>
  <c r="J1356" i="1"/>
  <c r="K1356" i="1"/>
  <c r="J1357" i="1"/>
  <c r="K1357" i="1"/>
  <c r="J1358" i="1"/>
  <c r="K1358" i="1"/>
  <c r="J1359" i="1"/>
  <c r="K1359" i="1"/>
  <c r="J1360" i="1"/>
  <c r="K1360" i="1"/>
  <c r="J1361" i="1"/>
  <c r="K1361" i="1"/>
  <c r="J1362" i="1"/>
  <c r="K1362" i="1"/>
  <c r="J1363" i="1"/>
  <c r="K1363" i="1"/>
  <c r="J1364" i="1"/>
  <c r="K1364" i="1"/>
  <c r="J1365" i="1"/>
  <c r="K1365" i="1"/>
  <c r="J1366" i="1"/>
  <c r="K1366" i="1"/>
  <c r="J1367" i="1"/>
  <c r="K1367" i="1"/>
  <c r="J1368" i="1"/>
  <c r="K1368" i="1"/>
  <c r="J1369" i="1"/>
  <c r="K1369" i="1"/>
  <c r="J1370" i="1"/>
  <c r="K1370" i="1"/>
  <c r="J1371" i="1"/>
  <c r="K1371" i="1"/>
  <c r="J1372" i="1"/>
  <c r="K1372" i="1"/>
  <c r="J1373" i="1"/>
  <c r="K1373" i="1"/>
  <c r="J1374" i="1"/>
  <c r="K1374" i="1"/>
  <c r="J1375" i="1"/>
  <c r="K1375" i="1"/>
  <c r="J1376" i="1"/>
  <c r="K1376" i="1"/>
  <c r="J1377" i="1"/>
  <c r="K1377" i="1"/>
  <c r="J1378" i="1"/>
  <c r="K1378" i="1"/>
  <c r="J1379" i="1"/>
  <c r="K1379" i="1"/>
  <c r="J1380" i="1"/>
  <c r="K1380" i="1"/>
  <c r="J1381" i="1"/>
  <c r="K1381" i="1"/>
  <c r="J1382" i="1"/>
  <c r="K1382" i="1"/>
  <c r="J1383" i="1"/>
  <c r="K1383" i="1"/>
  <c r="J1384" i="1"/>
  <c r="K1384" i="1"/>
  <c r="J1385" i="1"/>
  <c r="K1385" i="1"/>
  <c r="J1386" i="1"/>
  <c r="K1386" i="1"/>
  <c r="J1387" i="1"/>
  <c r="K1387" i="1"/>
  <c r="J1388" i="1"/>
  <c r="K1388" i="1"/>
  <c r="J1389" i="1"/>
  <c r="K1389" i="1"/>
  <c r="J1390" i="1"/>
  <c r="K1390" i="1"/>
  <c r="J1391" i="1"/>
  <c r="K1391" i="1"/>
  <c r="J1392" i="1"/>
  <c r="K1392" i="1"/>
  <c r="J1393" i="1"/>
  <c r="K1393" i="1"/>
  <c r="J1394" i="1"/>
  <c r="K1394" i="1"/>
  <c r="J1395" i="1"/>
  <c r="K1395" i="1"/>
  <c r="J1396" i="1"/>
  <c r="K1396" i="1"/>
  <c r="J1397" i="1"/>
  <c r="K1397" i="1"/>
  <c r="J1398" i="1"/>
  <c r="K1398" i="1"/>
  <c r="J1399" i="1"/>
  <c r="K1399" i="1"/>
  <c r="J1400" i="1"/>
  <c r="K1400" i="1"/>
  <c r="J1401" i="1"/>
  <c r="K1401" i="1"/>
  <c r="J1402" i="1"/>
  <c r="K1402" i="1"/>
  <c r="J1403" i="1"/>
  <c r="K1403" i="1"/>
  <c r="J1404" i="1"/>
  <c r="K1404" i="1"/>
  <c r="J1405" i="1"/>
  <c r="K1405" i="1"/>
  <c r="J1406" i="1"/>
  <c r="K1406" i="1"/>
  <c r="J1407" i="1"/>
  <c r="K1407" i="1"/>
  <c r="J1408" i="1"/>
  <c r="K1408" i="1"/>
  <c r="J1409" i="1"/>
  <c r="K1409" i="1"/>
  <c r="J1410" i="1"/>
  <c r="K1410" i="1"/>
  <c r="J1411" i="1"/>
  <c r="K1411" i="1"/>
  <c r="J1412" i="1"/>
  <c r="K1412" i="1"/>
  <c r="J1413" i="1"/>
  <c r="K1413" i="1"/>
  <c r="J1414" i="1"/>
  <c r="K1414" i="1"/>
  <c r="J1415" i="1"/>
  <c r="K1415" i="1"/>
  <c r="J1416" i="1"/>
  <c r="K1416" i="1"/>
  <c r="J1417" i="1"/>
  <c r="K1417" i="1"/>
  <c r="J1418" i="1"/>
  <c r="K1418" i="1"/>
  <c r="J1419" i="1"/>
  <c r="K1419" i="1"/>
  <c r="J1420" i="1"/>
  <c r="K1420" i="1"/>
  <c r="J1421" i="1"/>
  <c r="K1421" i="1"/>
  <c r="J1422" i="1"/>
  <c r="K1422" i="1"/>
  <c r="J1423" i="1"/>
  <c r="K1423" i="1"/>
  <c r="J1424" i="1"/>
  <c r="K1424" i="1"/>
  <c r="J1425" i="1"/>
  <c r="K1425" i="1"/>
  <c r="J1426" i="1"/>
  <c r="K1426" i="1"/>
  <c r="J1427" i="1"/>
  <c r="K1427" i="1"/>
  <c r="J1428" i="1"/>
  <c r="K1428" i="1"/>
  <c r="J1429" i="1"/>
  <c r="K1429" i="1"/>
  <c r="J1430" i="1"/>
  <c r="K1430" i="1"/>
  <c r="J1431" i="1"/>
  <c r="K1431" i="1"/>
  <c r="J1432" i="1"/>
  <c r="K1432" i="1"/>
  <c r="J1433" i="1"/>
  <c r="K1433" i="1"/>
  <c r="J1434" i="1"/>
  <c r="K1434" i="1"/>
  <c r="J1435" i="1"/>
  <c r="K1435" i="1"/>
  <c r="J1436" i="1"/>
  <c r="K1436" i="1"/>
  <c r="J1437" i="1"/>
  <c r="K1437" i="1"/>
  <c r="J1438" i="1"/>
  <c r="K1438" i="1"/>
  <c r="J1439" i="1"/>
  <c r="K1439" i="1"/>
  <c r="J1440" i="1"/>
  <c r="K1440" i="1"/>
  <c r="J1441" i="1"/>
  <c r="K1441" i="1"/>
  <c r="J1442" i="1"/>
  <c r="K1442" i="1"/>
  <c r="J1443" i="1"/>
  <c r="K1443" i="1"/>
  <c r="J1444" i="1"/>
  <c r="K1444" i="1"/>
  <c r="J1445" i="1"/>
  <c r="K1445" i="1"/>
  <c r="J1446" i="1"/>
  <c r="K1446" i="1"/>
  <c r="J1447" i="1"/>
  <c r="K1447" i="1"/>
  <c r="J1448" i="1"/>
  <c r="K1448" i="1"/>
  <c r="J1449" i="1"/>
  <c r="K1449" i="1"/>
  <c r="J1450" i="1"/>
  <c r="K1450" i="1"/>
  <c r="J1451" i="1"/>
  <c r="K1451" i="1"/>
  <c r="J1452" i="1"/>
  <c r="K1452" i="1"/>
  <c r="J1453" i="1"/>
  <c r="K1453" i="1"/>
  <c r="J1454" i="1"/>
  <c r="K1454" i="1"/>
  <c r="J1455" i="1"/>
  <c r="K1455" i="1"/>
  <c r="J1456" i="1"/>
  <c r="K1456" i="1"/>
  <c r="J1457" i="1"/>
  <c r="K1457" i="1"/>
  <c r="J1458" i="1"/>
  <c r="K1458" i="1"/>
  <c r="J1459" i="1"/>
  <c r="K1459" i="1"/>
  <c r="J1460" i="1"/>
  <c r="K1460" i="1"/>
  <c r="J1461" i="1"/>
  <c r="K1461" i="1"/>
  <c r="J1462" i="1"/>
  <c r="K1462" i="1"/>
  <c r="J1463" i="1"/>
  <c r="K1463" i="1"/>
  <c r="J1464" i="1"/>
  <c r="K1464" i="1"/>
  <c r="J1465" i="1"/>
  <c r="K1465" i="1"/>
  <c r="J1466" i="1"/>
  <c r="K1466" i="1"/>
  <c r="J1467" i="1"/>
  <c r="K1467" i="1"/>
  <c r="J1468" i="1"/>
  <c r="K1468" i="1"/>
  <c r="J1469" i="1"/>
  <c r="K1469" i="1"/>
  <c r="J1470" i="1"/>
  <c r="K1470" i="1"/>
  <c r="J1471" i="1"/>
  <c r="K1471" i="1"/>
  <c r="J1472" i="1"/>
  <c r="K1472" i="1"/>
  <c r="J1473" i="1"/>
  <c r="K1473" i="1"/>
  <c r="J1474" i="1"/>
  <c r="K1474" i="1"/>
  <c r="J1475" i="1"/>
  <c r="K1475" i="1"/>
  <c r="J1476" i="1"/>
  <c r="K1476" i="1"/>
  <c r="J1477" i="1"/>
  <c r="K1477" i="1"/>
  <c r="J1478" i="1"/>
  <c r="K1478" i="1"/>
  <c r="J1479" i="1"/>
  <c r="K1479" i="1"/>
  <c r="J1480" i="1"/>
  <c r="K1480" i="1"/>
  <c r="J1481" i="1"/>
  <c r="K1481" i="1"/>
  <c r="J1482" i="1"/>
  <c r="K1482" i="1"/>
  <c r="J1483" i="1"/>
  <c r="K1483" i="1"/>
  <c r="J1484" i="1"/>
  <c r="K1484" i="1"/>
  <c r="J1485" i="1"/>
  <c r="K1485" i="1"/>
  <c r="J1486" i="1"/>
  <c r="K1486" i="1"/>
  <c r="J1487" i="1"/>
  <c r="K1487" i="1"/>
  <c r="J1488" i="1"/>
  <c r="K1488" i="1"/>
  <c r="J1489" i="1"/>
  <c r="K1489" i="1"/>
  <c r="J1490" i="1"/>
  <c r="K1490" i="1"/>
  <c r="J1491" i="1"/>
  <c r="K1491" i="1"/>
  <c r="J1492" i="1"/>
  <c r="K1492" i="1"/>
  <c r="J1493" i="1"/>
  <c r="K1493" i="1"/>
  <c r="J1494" i="1"/>
  <c r="K1494" i="1"/>
  <c r="J1495" i="1"/>
  <c r="K1495" i="1"/>
  <c r="J1496" i="1"/>
  <c r="K1496" i="1"/>
  <c r="J1497" i="1"/>
  <c r="K1497" i="1"/>
  <c r="J1498" i="1"/>
  <c r="K1498" i="1"/>
  <c r="J1499" i="1"/>
  <c r="K1499" i="1"/>
  <c r="J1500" i="1"/>
  <c r="K1500" i="1"/>
  <c r="J1501" i="1"/>
  <c r="K1501" i="1"/>
  <c r="J1502" i="1"/>
  <c r="K1502" i="1"/>
  <c r="J1503" i="1"/>
  <c r="K1503" i="1"/>
  <c r="J1504" i="1"/>
  <c r="K1504" i="1"/>
  <c r="J1505" i="1"/>
  <c r="K1505" i="1"/>
  <c r="J1506" i="1"/>
  <c r="K1506" i="1"/>
  <c r="J1507" i="1"/>
  <c r="K1507" i="1"/>
  <c r="J1508" i="1"/>
  <c r="K1508" i="1"/>
  <c r="J1509" i="1"/>
  <c r="K1509" i="1"/>
  <c r="J1510" i="1"/>
  <c r="K1510" i="1"/>
  <c r="J1511" i="1"/>
  <c r="K1511" i="1"/>
  <c r="J1512" i="1"/>
  <c r="K1512" i="1"/>
  <c r="J1513" i="1"/>
  <c r="K1513" i="1"/>
  <c r="J1514" i="1"/>
  <c r="K1514" i="1"/>
  <c r="J1515" i="1"/>
  <c r="K1515" i="1"/>
  <c r="J1516" i="1"/>
  <c r="K1516" i="1"/>
  <c r="J1517" i="1"/>
  <c r="K1517" i="1"/>
  <c r="J1518" i="1"/>
  <c r="K1518" i="1"/>
  <c r="J1519" i="1"/>
  <c r="K1519" i="1"/>
  <c r="J1520" i="1"/>
  <c r="K1520" i="1"/>
  <c r="J1521" i="1"/>
  <c r="K1521" i="1"/>
  <c r="J1522" i="1"/>
  <c r="K1522" i="1"/>
  <c r="J1523" i="1"/>
  <c r="K1523" i="1"/>
  <c r="J1524" i="1"/>
  <c r="K1524" i="1"/>
  <c r="J1525" i="1"/>
  <c r="K1525" i="1"/>
  <c r="J1526" i="1"/>
  <c r="K1526" i="1"/>
  <c r="J1527" i="1"/>
  <c r="K1527" i="1"/>
  <c r="J1528" i="1"/>
  <c r="K1528" i="1"/>
  <c r="J1529" i="1"/>
  <c r="K1529" i="1"/>
  <c r="J1530" i="1"/>
  <c r="K1530" i="1"/>
  <c r="J1531" i="1"/>
  <c r="K1531" i="1"/>
  <c r="J1532" i="1"/>
  <c r="K1532" i="1"/>
  <c r="J1533" i="1"/>
  <c r="K1533" i="1"/>
  <c r="J1534" i="1"/>
  <c r="K1534" i="1"/>
  <c r="J1535" i="1"/>
  <c r="K1535" i="1"/>
  <c r="J1536" i="1"/>
  <c r="K1536" i="1"/>
  <c r="J1537" i="1"/>
  <c r="K1537" i="1"/>
  <c r="J1538" i="1"/>
  <c r="K1538" i="1"/>
  <c r="J1539" i="1"/>
  <c r="K1539" i="1"/>
  <c r="J1540" i="1"/>
  <c r="K1540" i="1"/>
  <c r="J1541" i="1"/>
  <c r="K1541" i="1"/>
  <c r="J1542" i="1"/>
  <c r="K1542" i="1"/>
  <c r="J1543" i="1"/>
  <c r="K1543" i="1"/>
  <c r="J1544" i="1"/>
  <c r="K1544" i="1"/>
  <c r="J1545" i="1"/>
  <c r="K1545" i="1"/>
  <c r="J1546" i="1"/>
  <c r="K1546" i="1"/>
  <c r="J1547" i="1"/>
  <c r="K1547" i="1"/>
  <c r="J1548" i="1"/>
  <c r="K1548" i="1"/>
  <c r="J1549" i="1"/>
  <c r="K1549" i="1"/>
  <c r="J1550" i="1"/>
  <c r="K1550" i="1"/>
  <c r="J1551" i="1"/>
  <c r="K1551" i="1"/>
  <c r="J1552" i="1"/>
  <c r="K1552" i="1"/>
  <c r="J1553" i="1"/>
  <c r="K1553" i="1"/>
  <c r="J1554" i="1"/>
  <c r="K1554" i="1"/>
  <c r="J1555" i="1"/>
  <c r="K1555" i="1"/>
  <c r="J1556" i="1"/>
  <c r="K1556" i="1"/>
  <c r="J1557" i="1"/>
  <c r="K1557" i="1"/>
  <c r="J1558" i="1"/>
  <c r="K1558" i="1"/>
  <c r="J1559" i="1"/>
  <c r="K1559" i="1"/>
  <c r="J1560" i="1"/>
  <c r="K1560" i="1"/>
  <c r="J1561" i="1"/>
  <c r="K1561" i="1"/>
  <c r="J1562" i="1"/>
  <c r="K1562" i="1"/>
  <c r="J1563" i="1"/>
  <c r="K1563" i="1"/>
  <c r="J1564" i="1"/>
  <c r="K1564" i="1"/>
  <c r="J1565" i="1"/>
  <c r="K1565" i="1"/>
  <c r="J1566" i="1"/>
  <c r="K1566" i="1"/>
  <c r="J1567" i="1"/>
  <c r="K1567" i="1"/>
  <c r="J1568" i="1"/>
  <c r="K1568" i="1"/>
  <c r="J1569" i="1"/>
  <c r="K1569" i="1"/>
  <c r="J1570" i="1"/>
  <c r="K1570" i="1"/>
  <c r="J1571" i="1"/>
  <c r="K1571" i="1"/>
  <c r="J1572" i="1"/>
  <c r="K1572" i="1"/>
  <c r="J1573" i="1"/>
  <c r="K1573" i="1"/>
  <c r="J1574" i="1"/>
  <c r="K1574" i="1"/>
  <c r="J1575" i="1"/>
  <c r="K1575" i="1"/>
  <c r="J1576" i="1"/>
  <c r="K1576" i="1"/>
  <c r="J1577" i="1"/>
  <c r="K1577" i="1"/>
  <c r="J1578" i="1"/>
  <c r="K1578" i="1"/>
  <c r="J1579" i="1"/>
  <c r="K1579" i="1"/>
  <c r="J1580" i="1"/>
  <c r="K1580" i="1"/>
  <c r="J1581" i="1"/>
  <c r="K1581" i="1"/>
  <c r="J1582" i="1"/>
  <c r="K1582" i="1"/>
  <c r="J1583" i="1"/>
  <c r="K1583" i="1"/>
  <c r="J1584" i="1"/>
  <c r="K1584" i="1"/>
  <c r="J1585" i="1"/>
  <c r="K1585" i="1"/>
  <c r="J1586" i="1"/>
  <c r="K1586" i="1"/>
  <c r="J1587" i="1"/>
  <c r="K1587" i="1"/>
  <c r="J1588" i="1"/>
  <c r="K1588" i="1"/>
  <c r="J1589" i="1"/>
  <c r="K1589" i="1"/>
  <c r="J1590" i="1"/>
  <c r="K1590" i="1"/>
  <c r="J1591" i="1"/>
  <c r="K1591" i="1"/>
  <c r="J1592" i="1"/>
  <c r="K1592" i="1"/>
  <c r="J1593" i="1"/>
  <c r="K1593" i="1"/>
  <c r="J1594" i="1"/>
  <c r="K1594" i="1"/>
  <c r="J1595" i="1"/>
  <c r="K1595" i="1"/>
  <c r="J1596" i="1"/>
  <c r="K1596" i="1"/>
  <c r="J1597" i="1"/>
  <c r="K1597" i="1"/>
  <c r="J1598" i="1"/>
  <c r="K1598" i="1"/>
  <c r="J1599" i="1"/>
  <c r="K1599" i="1"/>
  <c r="J1600" i="1"/>
  <c r="K1600" i="1"/>
  <c r="J1601" i="1"/>
  <c r="K1601" i="1"/>
  <c r="J1602" i="1"/>
  <c r="K1602" i="1"/>
  <c r="J1603" i="1"/>
  <c r="K1603" i="1"/>
  <c r="J1604" i="1"/>
  <c r="K1604" i="1"/>
  <c r="J1605" i="1"/>
  <c r="K1605" i="1"/>
  <c r="J1606" i="1"/>
  <c r="K1606" i="1"/>
  <c r="J1607" i="1"/>
  <c r="K1607" i="1"/>
  <c r="J1608" i="1"/>
  <c r="K1608" i="1"/>
  <c r="J1609" i="1"/>
  <c r="K1609" i="1"/>
  <c r="J1610" i="1"/>
  <c r="K1610" i="1"/>
  <c r="J1611" i="1"/>
  <c r="K1611" i="1"/>
  <c r="J1612" i="1"/>
  <c r="K1612" i="1"/>
  <c r="J1613" i="1"/>
  <c r="K1613" i="1"/>
  <c r="J1614" i="1"/>
  <c r="K1614" i="1"/>
  <c r="J1615" i="1"/>
  <c r="K1615" i="1"/>
  <c r="J1616" i="1"/>
  <c r="K1616" i="1"/>
  <c r="J1617" i="1"/>
  <c r="K1617" i="1"/>
  <c r="J1618" i="1"/>
  <c r="K1618" i="1"/>
  <c r="J1619" i="1"/>
  <c r="K1619" i="1"/>
  <c r="J1620" i="1"/>
  <c r="K1620" i="1"/>
  <c r="J1621" i="1"/>
  <c r="K1621" i="1"/>
  <c r="J1622" i="1"/>
  <c r="K1622" i="1"/>
  <c r="J1623" i="1"/>
  <c r="K1623" i="1"/>
  <c r="J1624" i="1"/>
  <c r="K1624" i="1"/>
  <c r="J1625" i="1"/>
  <c r="K1625" i="1"/>
  <c r="J1626" i="1"/>
  <c r="K1626" i="1"/>
  <c r="J1627" i="1"/>
  <c r="K1627" i="1"/>
  <c r="J1628" i="1"/>
  <c r="K1628" i="1"/>
  <c r="J1629" i="1"/>
  <c r="K1629" i="1"/>
  <c r="J1630" i="1"/>
  <c r="K1630" i="1"/>
  <c r="J1631" i="1"/>
  <c r="K1631" i="1"/>
  <c r="J1632" i="1"/>
  <c r="K1632" i="1"/>
  <c r="J1633" i="1"/>
  <c r="K1633" i="1"/>
  <c r="J1634" i="1"/>
  <c r="K1634" i="1"/>
  <c r="J1635" i="1"/>
  <c r="K1635" i="1"/>
  <c r="J1636" i="1"/>
  <c r="K1636" i="1"/>
  <c r="J1637" i="1"/>
  <c r="K1637" i="1"/>
  <c r="J1638" i="1"/>
  <c r="K1638" i="1"/>
  <c r="J1639" i="1"/>
  <c r="K1639" i="1"/>
  <c r="J1640" i="1"/>
  <c r="K1640" i="1"/>
  <c r="J1641" i="1"/>
  <c r="K1641" i="1"/>
  <c r="J1642" i="1"/>
  <c r="K1642" i="1"/>
  <c r="J1643" i="1"/>
  <c r="K1643" i="1"/>
  <c r="J1644" i="1"/>
  <c r="K1644" i="1"/>
  <c r="J1645" i="1"/>
  <c r="K1645" i="1"/>
  <c r="J1646" i="1"/>
  <c r="K1646" i="1"/>
  <c r="J1647" i="1"/>
  <c r="K1647" i="1"/>
  <c r="J1648" i="1"/>
  <c r="K1648" i="1"/>
  <c r="J1649" i="1"/>
  <c r="K1649" i="1"/>
  <c r="J1650" i="1"/>
  <c r="K1650" i="1"/>
  <c r="J1651" i="1"/>
  <c r="K1651" i="1"/>
  <c r="J1652" i="1"/>
  <c r="K1652" i="1"/>
  <c r="J1653" i="1"/>
  <c r="K1653" i="1"/>
  <c r="J1654" i="1"/>
  <c r="K1654" i="1"/>
  <c r="J1655" i="1"/>
  <c r="K1655" i="1"/>
  <c r="J1656" i="1"/>
  <c r="K1656" i="1"/>
  <c r="J1657" i="1"/>
  <c r="K1657" i="1"/>
  <c r="J1658" i="1"/>
  <c r="K1658" i="1"/>
  <c r="J1659" i="1"/>
  <c r="K1659" i="1"/>
  <c r="J1660" i="1"/>
  <c r="K1660" i="1"/>
  <c r="J1661" i="1"/>
  <c r="K1661" i="1"/>
  <c r="J1662" i="1"/>
  <c r="K1662" i="1"/>
  <c r="J1663" i="1"/>
  <c r="K1663" i="1"/>
  <c r="J1664" i="1"/>
  <c r="K1664" i="1"/>
  <c r="J1665" i="1"/>
  <c r="K1665" i="1"/>
  <c r="J1666" i="1"/>
  <c r="K1666" i="1"/>
  <c r="J1667" i="1"/>
  <c r="K1667" i="1"/>
  <c r="J1668" i="1"/>
  <c r="K1668" i="1"/>
  <c r="J1669" i="1"/>
  <c r="K1669" i="1"/>
  <c r="J1670" i="1"/>
  <c r="K1670" i="1"/>
  <c r="J1671" i="1"/>
  <c r="K1671" i="1"/>
  <c r="J1672" i="1"/>
  <c r="K1672" i="1"/>
  <c r="J1673" i="1"/>
  <c r="K1673" i="1"/>
  <c r="J1674" i="1"/>
  <c r="K1674" i="1"/>
  <c r="J1675" i="1"/>
  <c r="K1675" i="1"/>
  <c r="J1676" i="1"/>
  <c r="K1676" i="1"/>
  <c r="J1677" i="1"/>
  <c r="K1677" i="1"/>
  <c r="J1678" i="1"/>
  <c r="K1678" i="1"/>
  <c r="J1679" i="1"/>
  <c r="K1679" i="1"/>
  <c r="J1680" i="1"/>
  <c r="K1680" i="1"/>
  <c r="J1681" i="1"/>
  <c r="K1681" i="1"/>
  <c r="J1682" i="1"/>
  <c r="K1682" i="1"/>
  <c r="J1683" i="1"/>
  <c r="K1683" i="1"/>
  <c r="J1684" i="1"/>
  <c r="K1684" i="1"/>
  <c r="J1685" i="1"/>
  <c r="K1685" i="1"/>
  <c r="J1686" i="1"/>
  <c r="K1686" i="1"/>
  <c r="J1687" i="1"/>
  <c r="K1687" i="1"/>
  <c r="J1688" i="1"/>
  <c r="K1688" i="1"/>
  <c r="J1689" i="1"/>
  <c r="K1689" i="1"/>
  <c r="J1690" i="1"/>
  <c r="K1690" i="1"/>
  <c r="J1691" i="1"/>
  <c r="K1691" i="1"/>
  <c r="J1692" i="1"/>
  <c r="K1692" i="1"/>
  <c r="J1693" i="1"/>
  <c r="K1693" i="1"/>
  <c r="J1694" i="1"/>
  <c r="K1694" i="1"/>
  <c r="J1695" i="1"/>
  <c r="K1695" i="1"/>
  <c r="J1696" i="1"/>
  <c r="K1696" i="1"/>
  <c r="J1697" i="1"/>
  <c r="K1697" i="1"/>
  <c r="J1698" i="1"/>
  <c r="K1698" i="1"/>
  <c r="J1699" i="1"/>
  <c r="K1699" i="1"/>
  <c r="J1700" i="1"/>
  <c r="K1700" i="1"/>
  <c r="J1701" i="1"/>
  <c r="K1701" i="1"/>
  <c r="J1702" i="1"/>
  <c r="K1702" i="1"/>
  <c r="J1703" i="1"/>
  <c r="K1703" i="1"/>
  <c r="J1704" i="1"/>
  <c r="K1704" i="1"/>
  <c r="J1705" i="1"/>
  <c r="K1705" i="1"/>
  <c r="J1706" i="1"/>
  <c r="K1706" i="1"/>
  <c r="J1707" i="1"/>
  <c r="K1707" i="1"/>
  <c r="J1708" i="1"/>
  <c r="K1708" i="1"/>
  <c r="J1709" i="1"/>
  <c r="K1709" i="1"/>
  <c r="J1710" i="1"/>
  <c r="K1710" i="1"/>
  <c r="J1711" i="1"/>
  <c r="K1711" i="1"/>
  <c r="J1712" i="1"/>
  <c r="K1712" i="1"/>
  <c r="J1713" i="1"/>
  <c r="K1713" i="1"/>
  <c r="J1714" i="1"/>
  <c r="K1714" i="1"/>
  <c r="J1715" i="1"/>
  <c r="K1715" i="1"/>
  <c r="J1716" i="1"/>
  <c r="K1716" i="1"/>
  <c r="J1717" i="1"/>
  <c r="K1717" i="1"/>
  <c r="J1718" i="1"/>
  <c r="K1718" i="1"/>
  <c r="J1719" i="1"/>
  <c r="K1719" i="1"/>
  <c r="J1720" i="1"/>
  <c r="K1720" i="1"/>
  <c r="J1721" i="1"/>
  <c r="K1721" i="1"/>
  <c r="J1722" i="1"/>
  <c r="K1722" i="1"/>
  <c r="J1723" i="1"/>
  <c r="K1723" i="1"/>
  <c r="J1724" i="1"/>
  <c r="K1724" i="1"/>
  <c r="J1725" i="1"/>
  <c r="K1725" i="1"/>
  <c r="J1726" i="1"/>
  <c r="K1726" i="1"/>
  <c r="J1727" i="1"/>
  <c r="K1727" i="1"/>
  <c r="J1728" i="1"/>
  <c r="K1728" i="1"/>
  <c r="J1729" i="1"/>
  <c r="K1729" i="1"/>
  <c r="J1730" i="1"/>
  <c r="K1730" i="1"/>
  <c r="J1731" i="1"/>
  <c r="K1731" i="1"/>
  <c r="J1732" i="1"/>
  <c r="K1732" i="1"/>
  <c r="J1733" i="1"/>
  <c r="K1733" i="1"/>
  <c r="J1734" i="1"/>
  <c r="K1734" i="1"/>
  <c r="J1735" i="1"/>
  <c r="K1735" i="1"/>
  <c r="J1736" i="1"/>
  <c r="K1736" i="1"/>
  <c r="J1737" i="1"/>
  <c r="K1737" i="1"/>
  <c r="J1738" i="1"/>
  <c r="K1738" i="1"/>
  <c r="J1739" i="1"/>
  <c r="K1739" i="1"/>
  <c r="J1740" i="1"/>
  <c r="K1740" i="1"/>
  <c r="J1741" i="1"/>
  <c r="K1741" i="1"/>
  <c r="J1742" i="1"/>
  <c r="K1742" i="1"/>
  <c r="J1743" i="1"/>
  <c r="K1743" i="1"/>
  <c r="J1744" i="1"/>
  <c r="K1744" i="1"/>
  <c r="J1745" i="1"/>
  <c r="K1745" i="1"/>
  <c r="J1746" i="1"/>
  <c r="K1746" i="1"/>
  <c r="J1747" i="1"/>
  <c r="K1747" i="1"/>
  <c r="J1748" i="1"/>
  <c r="K1748" i="1"/>
  <c r="J1749" i="1"/>
  <c r="K1749" i="1"/>
  <c r="J1750" i="1"/>
  <c r="K1750" i="1"/>
  <c r="J1751" i="1"/>
  <c r="K1751" i="1"/>
  <c r="J1752" i="1"/>
  <c r="K1752" i="1"/>
  <c r="J1753" i="1"/>
  <c r="K1753" i="1"/>
  <c r="J1754" i="1"/>
  <c r="K1754" i="1"/>
  <c r="J1755" i="1"/>
  <c r="K1755" i="1"/>
  <c r="J1756" i="1"/>
  <c r="K1756" i="1"/>
  <c r="J1757" i="1"/>
  <c r="K1757" i="1"/>
  <c r="J1758" i="1"/>
  <c r="K1758" i="1"/>
  <c r="J1759" i="1"/>
  <c r="K1759" i="1"/>
  <c r="J1760" i="1"/>
  <c r="K1760" i="1"/>
  <c r="J1761" i="1"/>
  <c r="K1761" i="1"/>
  <c r="J1762" i="1"/>
  <c r="K1762" i="1"/>
  <c r="J1763" i="1"/>
  <c r="K1763" i="1"/>
  <c r="J1764" i="1"/>
  <c r="K1764" i="1"/>
  <c r="J1765" i="1"/>
  <c r="K1765" i="1"/>
  <c r="J1766" i="1"/>
  <c r="K1766" i="1"/>
  <c r="J1767" i="1"/>
  <c r="K1767" i="1"/>
  <c r="J1768" i="1"/>
  <c r="K1768" i="1"/>
  <c r="J1769" i="1"/>
  <c r="K1769" i="1"/>
  <c r="J1770" i="1"/>
  <c r="K1770" i="1"/>
  <c r="J1771" i="1"/>
  <c r="K1771" i="1"/>
  <c r="J1772" i="1"/>
  <c r="K1772" i="1"/>
  <c r="J1773" i="1"/>
  <c r="K1773" i="1"/>
  <c r="J1774" i="1"/>
  <c r="K1774" i="1"/>
  <c r="J1775" i="1"/>
  <c r="K1775" i="1"/>
  <c r="J1776" i="1"/>
  <c r="K1776" i="1"/>
  <c r="J1777" i="1"/>
  <c r="K1777" i="1"/>
  <c r="J1778" i="1"/>
  <c r="K1778" i="1"/>
  <c r="J1779" i="1"/>
  <c r="K1779" i="1"/>
  <c r="J1780" i="1"/>
  <c r="K1780" i="1"/>
  <c r="J1781" i="1"/>
  <c r="K1781" i="1"/>
  <c r="J1782" i="1"/>
  <c r="K1782" i="1"/>
  <c r="J1783" i="1"/>
  <c r="K1783" i="1"/>
  <c r="J1784" i="1"/>
  <c r="K1784" i="1"/>
  <c r="J1785" i="1"/>
  <c r="K1785" i="1"/>
  <c r="J1786" i="1"/>
  <c r="K1786" i="1"/>
  <c r="J1787" i="1"/>
  <c r="K1787" i="1"/>
  <c r="J1788" i="1"/>
  <c r="K1788" i="1"/>
  <c r="J1789" i="1"/>
  <c r="K1789" i="1"/>
  <c r="J1790" i="1"/>
  <c r="K1790" i="1"/>
  <c r="J1791" i="1"/>
  <c r="K1791" i="1"/>
  <c r="J1792" i="1"/>
  <c r="K1792" i="1"/>
  <c r="J1793" i="1"/>
  <c r="K1793" i="1"/>
  <c r="J1794" i="1"/>
  <c r="K1794" i="1"/>
  <c r="J1795" i="1"/>
  <c r="K1795" i="1"/>
  <c r="J1796" i="1"/>
  <c r="K1796" i="1"/>
  <c r="J1797" i="1"/>
  <c r="K1797" i="1"/>
  <c r="J1798" i="1"/>
  <c r="K1798" i="1"/>
  <c r="J1799" i="1"/>
  <c r="K1799" i="1"/>
  <c r="J1800" i="1"/>
  <c r="K1800" i="1"/>
  <c r="J1801" i="1"/>
  <c r="K1801" i="1"/>
  <c r="J1802" i="1"/>
  <c r="K1802" i="1"/>
  <c r="J1803" i="1"/>
  <c r="K1803" i="1"/>
  <c r="J1804" i="1"/>
  <c r="K1804" i="1"/>
  <c r="J1805" i="1"/>
  <c r="K1805" i="1"/>
  <c r="J1806" i="1"/>
  <c r="K1806" i="1"/>
  <c r="J1807" i="1"/>
  <c r="K1807" i="1"/>
  <c r="J1808" i="1"/>
  <c r="K1808" i="1"/>
  <c r="J1809" i="1"/>
  <c r="K1809" i="1"/>
  <c r="J1810" i="1"/>
  <c r="K1810" i="1"/>
  <c r="J1811" i="1"/>
  <c r="K1811" i="1"/>
  <c r="J1812" i="1"/>
  <c r="K1812" i="1"/>
  <c r="J1813" i="1"/>
  <c r="K1813" i="1"/>
  <c r="J1814" i="1"/>
  <c r="K1814" i="1"/>
  <c r="J1815" i="1"/>
  <c r="K1815" i="1"/>
  <c r="J1816" i="1"/>
  <c r="K1816" i="1"/>
  <c r="J1817" i="1"/>
  <c r="K1817" i="1"/>
  <c r="J1818" i="1"/>
  <c r="K1818" i="1"/>
  <c r="J1819" i="1"/>
  <c r="K1819" i="1"/>
  <c r="J1820" i="1"/>
  <c r="K1820" i="1"/>
  <c r="J1821" i="1"/>
  <c r="K1821" i="1"/>
  <c r="J1822" i="1"/>
  <c r="K1822" i="1"/>
  <c r="J1823" i="1"/>
  <c r="K1823" i="1"/>
  <c r="J1824" i="1"/>
  <c r="K1824" i="1"/>
  <c r="J1825" i="1"/>
  <c r="K1825" i="1"/>
  <c r="J1826" i="1"/>
  <c r="K1826" i="1"/>
  <c r="J1827" i="1"/>
  <c r="K1827" i="1"/>
  <c r="J1828" i="1"/>
  <c r="K1828" i="1"/>
  <c r="J1829" i="1"/>
  <c r="K1829" i="1"/>
  <c r="J1830" i="1"/>
  <c r="K1830" i="1"/>
  <c r="J1831" i="1"/>
  <c r="K1831" i="1"/>
  <c r="J1832" i="1"/>
  <c r="K1832" i="1"/>
  <c r="J1833" i="1"/>
  <c r="K1833" i="1"/>
  <c r="J1834" i="1"/>
  <c r="K1834" i="1"/>
  <c r="J1835" i="1"/>
  <c r="K1835" i="1"/>
  <c r="J1836" i="1"/>
  <c r="K1836" i="1"/>
  <c r="J1837" i="1"/>
  <c r="K1837" i="1"/>
  <c r="J1838" i="1"/>
  <c r="K1838" i="1"/>
  <c r="J1839" i="1"/>
  <c r="K1839" i="1"/>
  <c r="J1840" i="1"/>
  <c r="K1840" i="1"/>
  <c r="J1841" i="1"/>
  <c r="K1841" i="1"/>
  <c r="J1842" i="1"/>
  <c r="K1842" i="1"/>
  <c r="J1843" i="1"/>
  <c r="K1843" i="1"/>
  <c r="J1844" i="1"/>
  <c r="K1844" i="1"/>
  <c r="J1845" i="1"/>
  <c r="K1845" i="1"/>
  <c r="J1846" i="1"/>
  <c r="K1846" i="1"/>
  <c r="J1847" i="1"/>
  <c r="K1847" i="1"/>
  <c r="J1848" i="1"/>
  <c r="K1848" i="1"/>
  <c r="J1849" i="1"/>
  <c r="K1849" i="1"/>
  <c r="J1850" i="1"/>
  <c r="K1850" i="1"/>
  <c r="J1851" i="1"/>
  <c r="K1851" i="1"/>
  <c r="J1852" i="1"/>
  <c r="K1852" i="1"/>
  <c r="J1853" i="1"/>
  <c r="K1853" i="1"/>
  <c r="J1854" i="1"/>
  <c r="K1854" i="1"/>
  <c r="J1855" i="1"/>
  <c r="K1855" i="1"/>
  <c r="J1856" i="1"/>
  <c r="K1856" i="1"/>
  <c r="J1857" i="1"/>
  <c r="K1857" i="1"/>
  <c r="J1858" i="1"/>
  <c r="K1858" i="1"/>
  <c r="J1859" i="1"/>
  <c r="K1859" i="1"/>
  <c r="J1860" i="1"/>
  <c r="K1860" i="1"/>
  <c r="J1861" i="1"/>
  <c r="K1861" i="1"/>
  <c r="J1862" i="1"/>
  <c r="K1862" i="1"/>
  <c r="J1863" i="1"/>
  <c r="K1863" i="1"/>
  <c r="J1864" i="1"/>
  <c r="K1864" i="1"/>
  <c r="J1865" i="1"/>
  <c r="K1865" i="1"/>
  <c r="J1866" i="1"/>
  <c r="K1866" i="1"/>
  <c r="J1867" i="1"/>
  <c r="K1867" i="1"/>
  <c r="J1868" i="1"/>
  <c r="K1868" i="1"/>
  <c r="J1869" i="1"/>
  <c r="K1869" i="1"/>
  <c r="J1870" i="1"/>
  <c r="K1870" i="1"/>
  <c r="J1871" i="1"/>
  <c r="K1871" i="1"/>
  <c r="J1872" i="1"/>
  <c r="K1872" i="1"/>
  <c r="J1873" i="1"/>
  <c r="K1873" i="1"/>
  <c r="J1874" i="1"/>
  <c r="K1874" i="1"/>
  <c r="J1875" i="1"/>
  <c r="K1875" i="1"/>
  <c r="J1876" i="1"/>
  <c r="K1876" i="1"/>
  <c r="J1877" i="1"/>
  <c r="K1877" i="1"/>
  <c r="J1878" i="1"/>
  <c r="K1878" i="1"/>
  <c r="J1879" i="1"/>
  <c r="K1879" i="1"/>
  <c r="J1880" i="1"/>
  <c r="K1880" i="1"/>
  <c r="J1881" i="1"/>
  <c r="K1881" i="1"/>
  <c r="J1882" i="1"/>
  <c r="K1882" i="1"/>
  <c r="J1883" i="1"/>
  <c r="K1883" i="1"/>
  <c r="J1884" i="1"/>
  <c r="K1884" i="1"/>
  <c r="J1885" i="1"/>
  <c r="K1885" i="1"/>
  <c r="J1886" i="1"/>
  <c r="K1886" i="1"/>
  <c r="J1887" i="1"/>
  <c r="K1887" i="1"/>
  <c r="J1888" i="1"/>
  <c r="K1888" i="1"/>
  <c r="J1889" i="1"/>
  <c r="K1889" i="1"/>
  <c r="J1890" i="1"/>
  <c r="K1890" i="1"/>
  <c r="J1891" i="1"/>
  <c r="K1891" i="1"/>
  <c r="J1892" i="1"/>
  <c r="K1892" i="1"/>
  <c r="J1893" i="1"/>
  <c r="K1893" i="1"/>
  <c r="J1894" i="1"/>
  <c r="K1894" i="1"/>
  <c r="J1895" i="1"/>
  <c r="K1895" i="1"/>
  <c r="J1896" i="1"/>
  <c r="K1896" i="1"/>
  <c r="J1897" i="1"/>
  <c r="K1897" i="1"/>
  <c r="J1898" i="1"/>
  <c r="K1898" i="1"/>
  <c r="J1899" i="1"/>
  <c r="K1899" i="1"/>
  <c r="J1900" i="1"/>
  <c r="K1900" i="1"/>
  <c r="J1901" i="1"/>
  <c r="K1901" i="1"/>
  <c r="J1902" i="1"/>
  <c r="K1902" i="1"/>
  <c r="J1903" i="1"/>
  <c r="K1903" i="1"/>
  <c r="J1904" i="1"/>
  <c r="K1904" i="1"/>
  <c r="J1905" i="1"/>
  <c r="K1905" i="1"/>
  <c r="J1906" i="1"/>
  <c r="K1906" i="1"/>
  <c r="J1907" i="1"/>
  <c r="K1907" i="1"/>
  <c r="J1908" i="1"/>
  <c r="K1908" i="1"/>
  <c r="J1909" i="1"/>
  <c r="K1909" i="1"/>
  <c r="J1910" i="1"/>
  <c r="K1910" i="1"/>
  <c r="J1911" i="1"/>
  <c r="K1911" i="1"/>
  <c r="J1912" i="1"/>
  <c r="K1912" i="1"/>
  <c r="J1913" i="1"/>
  <c r="K1913" i="1"/>
  <c r="J1914" i="1"/>
  <c r="K1914" i="1"/>
  <c r="J1915" i="1"/>
  <c r="K1915" i="1"/>
  <c r="J1916" i="1"/>
  <c r="K1916" i="1"/>
  <c r="J1917" i="1"/>
  <c r="K1917" i="1"/>
  <c r="J1918" i="1"/>
  <c r="K1918" i="1"/>
  <c r="J1919" i="1"/>
  <c r="K1919" i="1"/>
  <c r="J1920" i="1"/>
  <c r="K1920" i="1"/>
  <c r="J1921" i="1"/>
  <c r="K1921" i="1"/>
  <c r="J1922" i="1"/>
  <c r="K1922" i="1"/>
  <c r="J1923" i="1"/>
  <c r="K1923" i="1"/>
  <c r="J1924" i="1"/>
  <c r="K1924" i="1"/>
  <c r="J1925" i="1"/>
  <c r="K1925" i="1"/>
  <c r="J1926" i="1"/>
  <c r="K1926" i="1"/>
  <c r="J1927" i="1"/>
  <c r="K1927" i="1"/>
  <c r="J1928" i="1"/>
  <c r="K1928" i="1"/>
  <c r="J1929" i="1"/>
  <c r="K1929" i="1"/>
  <c r="J1930" i="1"/>
  <c r="K1930" i="1"/>
  <c r="J1931" i="1"/>
  <c r="K1931" i="1"/>
  <c r="J1932" i="1"/>
  <c r="K1932" i="1"/>
  <c r="J1933" i="1"/>
  <c r="K1933" i="1"/>
  <c r="J1934" i="1"/>
  <c r="K1934" i="1"/>
  <c r="J1935" i="1"/>
  <c r="K1935" i="1"/>
  <c r="J1936" i="1"/>
  <c r="K1936" i="1"/>
  <c r="J1937" i="1"/>
  <c r="K1937" i="1"/>
  <c r="J1938" i="1"/>
  <c r="K1938" i="1"/>
  <c r="J1939" i="1"/>
  <c r="K1939" i="1"/>
  <c r="J1940" i="1"/>
  <c r="K1940" i="1"/>
  <c r="J1941" i="1"/>
  <c r="K1941" i="1"/>
  <c r="J1942" i="1"/>
  <c r="K1942" i="1"/>
  <c r="J1943" i="1"/>
  <c r="K1943" i="1"/>
  <c r="J1944" i="1"/>
  <c r="K1944" i="1"/>
  <c r="J1945" i="1"/>
  <c r="K1945" i="1"/>
  <c r="J1946" i="1"/>
  <c r="K1946" i="1"/>
  <c r="J1947" i="1"/>
  <c r="K1947" i="1"/>
  <c r="J1948" i="1"/>
  <c r="K1948" i="1"/>
  <c r="J1949" i="1"/>
  <c r="K1949" i="1"/>
  <c r="J1950" i="1"/>
  <c r="K1950" i="1"/>
  <c r="J1951" i="1"/>
  <c r="K1951" i="1"/>
  <c r="J1952" i="1"/>
  <c r="K1952" i="1"/>
  <c r="J1953" i="1"/>
  <c r="K1953" i="1"/>
  <c r="J1954" i="1"/>
  <c r="K1954" i="1"/>
  <c r="J1955" i="1"/>
  <c r="K1955" i="1"/>
  <c r="J1956" i="1"/>
  <c r="K1956" i="1"/>
  <c r="J1957" i="1"/>
  <c r="K1957" i="1"/>
  <c r="J1958" i="1"/>
  <c r="K1958" i="1"/>
  <c r="J1959" i="1"/>
  <c r="K1959" i="1"/>
  <c r="J1960" i="1"/>
  <c r="K1960" i="1"/>
  <c r="J1961" i="1"/>
  <c r="K1961" i="1"/>
  <c r="J1962" i="1"/>
  <c r="K1962" i="1"/>
  <c r="J1963" i="1"/>
  <c r="K1963" i="1"/>
  <c r="J1964" i="1"/>
  <c r="K1964" i="1"/>
  <c r="J1965" i="1"/>
  <c r="K1965" i="1"/>
  <c r="J1966" i="1"/>
  <c r="K1966" i="1"/>
  <c r="J1967" i="1"/>
  <c r="K1967" i="1"/>
  <c r="J1968" i="1"/>
  <c r="K1968" i="1"/>
  <c r="J1969" i="1"/>
  <c r="K1969" i="1"/>
  <c r="J1970" i="1"/>
  <c r="K1970" i="1"/>
  <c r="J1971" i="1"/>
  <c r="K1971" i="1"/>
  <c r="J1972" i="1"/>
  <c r="K1972" i="1"/>
  <c r="J1973" i="1"/>
  <c r="K1973" i="1"/>
  <c r="J1974" i="1"/>
  <c r="K1974" i="1"/>
  <c r="J1975" i="1"/>
  <c r="K1975" i="1"/>
  <c r="J1976" i="1"/>
  <c r="K1976" i="1"/>
  <c r="J1977" i="1"/>
  <c r="K1977" i="1"/>
  <c r="J1978" i="1"/>
  <c r="K1978" i="1"/>
  <c r="J1979" i="1"/>
  <c r="K1979" i="1"/>
  <c r="J1980" i="1"/>
  <c r="K1980" i="1"/>
  <c r="J1981" i="1"/>
  <c r="K1981" i="1"/>
  <c r="J1982" i="1"/>
  <c r="K1982" i="1"/>
  <c r="J1983" i="1"/>
  <c r="K1983" i="1"/>
  <c r="J1984" i="1"/>
  <c r="K1984" i="1"/>
  <c r="J1985" i="1"/>
  <c r="K1985" i="1"/>
  <c r="J1986" i="1"/>
  <c r="K1986" i="1"/>
  <c r="J1987" i="1"/>
  <c r="K1987" i="1"/>
  <c r="J1988" i="1"/>
  <c r="K1988" i="1"/>
  <c r="J1989" i="1"/>
  <c r="K1989" i="1"/>
  <c r="J1990" i="1"/>
  <c r="K1990" i="1"/>
  <c r="J1991" i="1"/>
  <c r="K1991" i="1"/>
  <c r="J1992" i="1"/>
  <c r="K1992" i="1"/>
  <c r="J1993" i="1"/>
  <c r="K1993" i="1"/>
  <c r="J1994" i="1"/>
  <c r="K1994" i="1"/>
  <c r="J1995" i="1"/>
  <c r="K1995" i="1"/>
  <c r="J1996" i="1"/>
  <c r="K1996" i="1"/>
  <c r="J1997" i="1"/>
  <c r="K1997" i="1"/>
  <c r="J1998" i="1"/>
  <c r="K1998" i="1"/>
  <c r="J1999" i="1"/>
  <c r="K1999" i="1"/>
  <c r="J2000" i="1"/>
  <c r="K2000" i="1"/>
  <c r="J2001" i="1"/>
  <c r="K2001" i="1"/>
  <c r="J2002" i="1"/>
  <c r="K2002" i="1"/>
  <c r="J2003" i="1"/>
  <c r="K2003" i="1"/>
  <c r="J2004" i="1"/>
  <c r="K2004" i="1"/>
  <c r="J2005" i="1"/>
  <c r="K2005" i="1"/>
  <c r="J2006" i="1"/>
  <c r="K2006" i="1"/>
  <c r="J2007" i="1"/>
  <c r="K2007" i="1"/>
  <c r="J2008" i="1"/>
  <c r="K2008" i="1"/>
  <c r="J2009" i="1"/>
  <c r="K2009" i="1"/>
  <c r="J2010" i="1"/>
  <c r="K2010" i="1"/>
  <c r="J2011" i="1"/>
  <c r="K2011" i="1"/>
  <c r="J2012" i="1"/>
  <c r="K2012" i="1"/>
  <c r="J2013" i="1"/>
  <c r="K2013" i="1"/>
  <c r="J2014" i="1"/>
  <c r="K2014" i="1"/>
  <c r="J2015" i="1"/>
  <c r="K2015" i="1"/>
  <c r="J2016" i="1"/>
  <c r="K2016" i="1"/>
  <c r="J2017" i="1"/>
  <c r="K2017" i="1"/>
  <c r="J2018" i="1"/>
  <c r="K2018" i="1"/>
  <c r="J2019" i="1"/>
  <c r="K2019" i="1"/>
  <c r="J2020" i="1"/>
  <c r="K2020" i="1"/>
  <c r="J2021" i="1"/>
  <c r="K2021" i="1"/>
  <c r="J2022" i="1"/>
  <c r="K2022" i="1"/>
  <c r="J2023" i="1"/>
  <c r="K2023" i="1"/>
  <c r="J2024" i="1"/>
  <c r="K2024" i="1"/>
  <c r="J2025" i="1"/>
  <c r="K2025" i="1"/>
  <c r="J2026" i="1"/>
  <c r="K2026" i="1"/>
  <c r="J2027" i="1"/>
  <c r="K2027" i="1"/>
  <c r="J2028" i="1"/>
  <c r="K2028" i="1"/>
  <c r="J2029" i="1"/>
  <c r="K2029" i="1"/>
  <c r="J2030" i="1"/>
  <c r="K2030" i="1"/>
  <c r="J2031" i="1"/>
  <c r="K2031" i="1"/>
  <c r="J2032" i="1"/>
  <c r="K2032" i="1"/>
  <c r="J2033" i="1"/>
  <c r="K2033" i="1"/>
  <c r="J2034" i="1"/>
  <c r="K2034" i="1"/>
  <c r="J2035" i="1"/>
  <c r="K2035" i="1"/>
  <c r="J2036" i="1"/>
  <c r="K2036" i="1"/>
  <c r="J2037" i="1"/>
  <c r="K2037" i="1"/>
  <c r="J2038" i="1"/>
  <c r="K2038" i="1"/>
  <c r="J2039" i="1"/>
  <c r="K2039" i="1"/>
  <c r="J2040" i="1"/>
  <c r="K2040" i="1"/>
  <c r="J2041" i="1"/>
  <c r="K2041" i="1"/>
  <c r="J2042" i="1"/>
  <c r="K2042" i="1"/>
  <c r="J2043" i="1"/>
  <c r="K2043" i="1"/>
  <c r="J2044" i="1"/>
  <c r="K2044" i="1"/>
  <c r="J2045" i="1"/>
  <c r="K2045" i="1"/>
  <c r="J2046" i="1"/>
  <c r="K2046" i="1"/>
  <c r="J2047" i="1"/>
  <c r="K2047" i="1"/>
  <c r="J2048" i="1"/>
  <c r="K2048" i="1"/>
  <c r="J2049" i="1"/>
  <c r="K2049" i="1"/>
  <c r="J2050" i="1"/>
  <c r="K2050" i="1"/>
  <c r="J2051" i="1"/>
  <c r="K2051" i="1"/>
  <c r="J2052" i="1"/>
  <c r="K2052" i="1"/>
  <c r="J2053" i="1"/>
  <c r="K2053" i="1"/>
  <c r="J2054" i="1"/>
  <c r="K2054" i="1"/>
  <c r="J2055" i="1"/>
  <c r="K2055" i="1"/>
  <c r="J2056" i="1"/>
  <c r="K2056" i="1"/>
  <c r="J2057" i="1"/>
  <c r="K2057" i="1"/>
  <c r="J2058" i="1"/>
  <c r="K2058" i="1"/>
  <c r="J2059" i="1"/>
  <c r="K2059" i="1"/>
  <c r="J2060" i="1"/>
  <c r="K2060" i="1"/>
  <c r="J2061" i="1"/>
  <c r="K2061" i="1"/>
  <c r="J2062" i="1"/>
  <c r="K2062" i="1"/>
  <c r="J2063" i="1"/>
  <c r="K2063" i="1"/>
  <c r="J2064" i="1"/>
  <c r="K2064" i="1"/>
  <c r="J2065" i="1"/>
  <c r="K2065" i="1"/>
  <c r="J2066" i="1"/>
  <c r="K2066" i="1"/>
  <c r="J2067" i="1"/>
  <c r="K2067" i="1"/>
  <c r="J2068" i="1"/>
  <c r="K2068" i="1"/>
  <c r="J2069" i="1"/>
  <c r="K2069" i="1"/>
  <c r="J2070" i="1"/>
  <c r="K2070" i="1"/>
  <c r="J2071" i="1"/>
  <c r="K2071" i="1"/>
  <c r="J2072" i="1"/>
  <c r="K2072" i="1"/>
  <c r="J2073" i="1"/>
  <c r="K2073" i="1"/>
  <c r="J2074" i="1"/>
  <c r="K2074" i="1"/>
  <c r="J2075" i="1"/>
  <c r="K2075" i="1"/>
  <c r="J2076" i="1"/>
  <c r="K2076" i="1"/>
  <c r="J2077" i="1"/>
  <c r="K2077" i="1"/>
  <c r="J2078" i="1"/>
  <c r="K2078" i="1"/>
  <c r="J2079" i="1"/>
  <c r="K2079" i="1"/>
  <c r="J2080" i="1"/>
  <c r="K2080" i="1"/>
  <c r="J2081" i="1"/>
  <c r="K2081" i="1"/>
  <c r="J2082" i="1"/>
  <c r="K2082" i="1"/>
  <c r="J2083" i="1"/>
  <c r="K2083" i="1"/>
  <c r="J2084" i="1"/>
  <c r="K2084" i="1"/>
  <c r="J2085" i="1"/>
  <c r="K2085" i="1"/>
  <c r="J2086" i="1"/>
  <c r="K2086" i="1"/>
  <c r="J2087" i="1"/>
  <c r="K2087" i="1"/>
  <c r="J2088" i="1"/>
  <c r="K2088" i="1"/>
  <c r="J2089" i="1"/>
  <c r="K2089" i="1"/>
  <c r="J2090" i="1"/>
  <c r="K2090" i="1"/>
  <c r="J2091" i="1"/>
  <c r="K2091" i="1"/>
  <c r="J2092" i="1"/>
  <c r="K2092" i="1"/>
  <c r="J2093" i="1"/>
  <c r="K2093" i="1"/>
  <c r="J2094" i="1"/>
  <c r="K2094" i="1"/>
  <c r="J2095" i="1"/>
  <c r="K2095" i="1"/>
  <c r="J2096" i="1"/>
  <c r="K2096" i="1"/>
  <c r="J2097" i="1"/>
  <c r="K2097" i="1"/>
  <c r="J2098" i="1"/>
  <c r="K2098" i="1"/>
  <c r="J2099" i="1"/>
  <c r="K2099" i="1"/>
  <c r="J2100" i="1"/>
  <c r="K2100" i="1"/>
  <c r="J2101" i="1"/>
  <c r="K2101" i="1"/>
  <c r="J2102" i="1"/>
  <c r="K2102" i="1"/>
  <c r="J2103" i="1"/>
  <c r="K2103" i="1"/>
  <c r="J2104" i="1"/>
  <c r="K2104" i="1"/>
  <c r="J2105" i="1"/>
  <c r="K2105" i="1"/>
  <c r="J2106" i="1"/>
  <c r="K2106" i="1"/>
  <c r="J2107" i="1"/>
  <c r="K2107" i="1"/>
  <c r="J2108" i="1"/>
  <c r="K2108" i="1"/>
  <c r="J2109" i="1"/>
  <c r="K2109" i="1"/>
  <c r="J2110" i="1"/>
  <c r="K2110" i="1"/>
  <c r="J2111" i="1"/>
  <c r="K2111" i="1"/>
  <c r="J2112" i="1"/>
  <c r="K2112" i="1"/>
  <c r="J2113" i="1"/>
  <c r="K2113" i="1"/>
  <c r="J2114" i="1"/>
  <c r="K2114" i="1"/>
  <c r="J2115" i="1"/>
  <c r="K2115" i="1"/>
  <c r="J2116" i="1"/>
  <c r="K2116" i="1"/>
  <c r="J2117" i="1"/>
  <c r="K2117" i="1"/>
  <c r="J2118" i="1"/>
  <c r="K2118" i="1"/>
  <c r="J2119" i="1"/>
  <c r="K2119" i="1"/>
  <c r="J2120" i="1"/>
  <c r="K2120" i="1"/>
  <c r="J2121" i="1"/>
  <c r="K2121" i="1"/>
  <c r="J2122" i="1"/>
  <c r="K2122" i="1"/>
  <c r="J2123" i="1"/>
  <c r="K2123" i="1"/>
  <c r="J2124" i="1"/>
  <c r="K2124" i="1"/>
  <c r="J2125" i="1"/>
  <c r="K2125" i="1"/>
  <c r="J2126" i="1"/>
  <c r="K2126" i="1"/>
  <c r="J2127" i="1"/>
  <c r="K2127" i="1"/>
  <c r="J2128" i="1"/>
  <c r="K2128" i="1"/>
  <c r="J2129" i="1"/>
  <c r="K2129" i="1"/>
  <c r="J2130" i="1"/>
  <c r="K2130" i="1"/>
  <c r="J2131" i="1"/>
  <c r="K2131" i="1"/>
  <c r="J2132" i="1"/>
  <c r="K2132" i="1"/>
  <c r="J2133" i="1"/>
  <c r="K2133" i="1"/>
  <c r="J2134" i="1"/>
  <c r="K2134" i="1"/>
  <c r="J2135" i="1"/>
  <c r="K2135" i="1"/>
  <c r="J2136" i="1"/>
  <c r="K2136" i="1"/>
  <c r="J2137" i="1"/>
  <c r="K2137" i="1"/>
  <c r="J2138" i="1"/>
  <c r="K2138" i="1"/>
  <c r="J2139" i="1"/>
  <c r="K2139" i="1"/>
  <c r="J2140" i="1"/>
  <c r="K2140" i="1"/>
  <c r="J2141" i="1"/>
  <c r="K2141" i="1"/>
  <c r="J2142" i="1"/>
  <c r="K2142" i="1"/>
  <c r="J2143" i="1"/>
  <c r="K2143" i="1"/>
  <c r="J2144" i="1"/>
  <c r="K2144" i="1"/>
  <c r="J2145" i="1"/>
  <c r="K2145" i="1"/>
  <c r="J2146" i="1"/>
  <c r="K2146" i="1"/>
  <c r="J2147" i="1"/>
  <c r="K2147" i="1"/>
  <c r="J2148" i="1"/>
  <c r="K2148" i="1"/>
  <c r="J2149" i="1"/>
  <c r="K2149" i="1"/>
  <c r="J2150" i="1"/>
  <c r="K2150" i="1"/>
  <c r="J2151" i="1"/>
  <c r="K2151" i="1"/>
  <c r="J2152" i="1"/>
  <c r="K2152" i="1"/>
  <c r="J2153" i="1"/>
  <c r="K2153" i="1"/>
  <c r="J2154" i="1"/>
  <c r="K2154" i="1"/>
  <c r="J2155" i="1"/>
  <c r="K2155" i="1"/>
  <c r="J2156" i="1"/>
  <c r="K2156" i="1"/>
  <c r="J2157" i="1"/>
  <c r="K2157" i="1"/>
  <c r="J2158" i="1"/>
  <c r="K2158" i="1"/>
  <c r="J2159" i="1"/>
  <c r="K2159" i="1"/>
  <c r="J2160" i="1"/>
  <c r="K2160" i="1"/>
  <c r="J2161" i="1"/>
  <c r="K2161" i="1"/>
  <c r="J2162" i="1"/>
  <c r="K2162" i="1"/>
  <c r="J2163" i="1"/>
  <c r="K2163" i="1"/>
  <c r="J2164" i="1"/>
  <c r="K2164" i="1"/>
  <c r="J2165" i="1"/>
  <c r="K2165" i="1"/>
  <c r="J2166" i="1"/>
  <c r="K2166" i="1"/>
  <c r="J2167" i="1"/>
  <c r="K2167" i="1"/>
  <c r="J2168" i="1"/>
  <c r="K2168" i="1"/>
  <c r="J2169" i="1"/>
  <c r="K2169" i="1"/>
  <c r="J2170" i="1"/>
  <c r="K2170" i="1"/>
  <c r="J2171" i="1"/>
  <c r="K2171" i="1"/>
  <c r="J2172" i="1"/>
  <c r="K2172" i="1"/>
  <c r="J2173" i="1"/>
  <c r="K2173" i="1"/>
  <c r="J2174" i="1"/>
  <c r="K2174" i="1"/>
  <c r="J2175" i="1"/>
  <c r="K2175" i="1"/>
  <c r="J2176" i="1"/>
  <c r="K2176" i="1"/>
  <c r="J2177" i="1"/>
  <c r="K2177" i="1"/>
  <c r="J2178" i="1"/>
  <c r="K2178" i="1"/>
  <c r="J2179" i="1"/>
  <c r="K2179" i="1"/>
  <c r="J2180" i="1"/>
  <c r="K2180" i="1"/>
  <c r="J2181" i="1"/>
  <c r="K2181" i="1"/>
  <c r="J2182" i="1"/>
  <c r="K2182" i="1"/>
  <c r="J2183" i="1"/>
  <c r="K2183" i="1"/>
  <c r="J2184" i="1"/>
  <c r="K2184" i="1"/>
  <c r="J2185" i="1"/>
  <c r="K2185" i="1"/>
  <c r="J2186" i="1"/>
  <c r="K2186" i="1"/>
  <c r="J2187" i="1"/>
  <c r="K2187" i="1"/>
  <c r="J2188" i="1"/>
  <c r="K2188" i="1"/>
  <c r="J2189" i="1"/>
  <c r="K2189" i="1"/>
  <c r="J2190" i="1"/>
  <c r="K2190" i="1"/>
  <c r="J2191" i="1"/>
  <c r="K2191" i="1"/>
  <c r="J2192" i="1"/>
  <c r="K2192" i="1"/>
  <c r="J2193" i="1"/>
  <c r="K2193" i="1"/>
  <c r="J2194" i="1"/>
  <c r="K2194" i="1"/>
  <c r="J2195" i="1"/>
  <c r="K2195" i="1"/>
  <c r="J2196" i="1"/>
  <c r="K2196" i="1"/>
  <c r="J2197" i="1"/>
  <c r="K2197" i="1"/>
  <c r="J2198" i="1"/>
  <c r="K2198" i="1"/>
  <c r="J2199" i="1"/>
  <c r="K2199" i="1"/>
  <c r="J2200" i="1"/>
  <c r="K2200" i="1"/>
  <c r="J2201" i="1"/>
  <c r="K2201" i="1"/>
  <c r="J2202" i="1"/>
  <c r="K2202" i="1"/>
  <c r="J2203" i="1"/>
  <c r="K2203" i="1"/>
  <c r="J2204" i="1"/>
  <c r="K2204" i="1"/>
  <c r="J2205" i="1"/>
  <c r="K2205" i="1"/>
  <c r="J2206" i="1"/>
  <c r="K2206" i="1"/>
  <c r="J2207" i="1"/>
  <c r="K2207" i="1"/>
  <c r="J2208" i="1"/>
  <c r="K2208" i="1"/>
  <c r="J2209" i="1"/>
  <c r="K2209" i="1"/>
  <c r="J2210" i="1"/>
  <c r="K2210" i="1"/>
  <c r="J2211" i="1"/>
  <c r="K2211" i="1"/>
  <c r="J2212" i="1"/>
  <c r="K2212" i="1"/>
  <c r="J2213" i="1"/>
  <c r="K2213" i="1"/>
  <c r="J2214" i="1"/>
  <c r="K2214" i="1"/>
  <c r="J2215" i="1"/>
  <c r="K2215" i="1"/>
  <c r="J2216" i="1"/>
  <c r="K2216" i="1"/>
  <c r="J2217" i="1"/>
  <c r="K2217" i="1"/>
  <c r="J2218" i="1"/>
  <c r="K2218" i="1"/>
  <c r="J2219" i="1"/>
  <c r="K2219" i="1"/>
  <c r="J2220" i="1"/>
  <c r="K2220" i="1"/>
  <c r="J2221" i="1"/>
  <c r="K2221" i="1"/>
  <c r="J2222" i="1"/>
  <c r="K2222" i="1"/>
  <c r="J2223" i="1"/>
  <c r="K2223" i="1"/>
  <c r="J2224" i="1"/>
  <c r="K2224" i="1"/>
  <c r="J2225" i="1"/>
  <c r="K2225" i="1"/>
  <c r="J2226" i="1"/>
  <c r="K2226" i="1"/>
  <c r="J2227" i="1"/>
  <c r="K2227" i="1"/>
  <c r="J2228" i="1"/>
  <c r="K2228" i="1"/>
  <c r="J2229" i="1"/>
  <c r="K2229" i="1"/>
  <c r="J2230" i="1"/>
  <c r="K2230" i="1"/>
  <c r="J2231" i="1"/>
  <c r="K2231" i="1"/>
  <c r="J2232" i="1"/>
  <c r="K2232" i="1"/>
  <c r="J2233" i="1"/>
  <c r="K2233" i="1"/>
  <c r="J2234" i="1"/>
  <c r="K2234" i="1"/>
  <c r="J2235" i="1"/>
  <c r="K2235" i="1"/>
  <c r="J2236" i="1"/>
  <c r="K2236" i="1"/>
  <c r="J2237" i="1"/>
  <c r="K2237" i="1"/>
  <c r="J2238" i="1"/>
  <c r="K2238" i="1"/>
  <c r="J2239" i="1"/>
  <c r="K2239" i="1"/>
  <c r="J2240" i="1"/>
  <c r="K2240" i="1"/>
  <c r="J2241" i="1"/>
  <c r="K2241" i="1"/>
  <c r="J2242" i="1"/>
  <c r="K2242" i="1"/>
  <c r="J2243" i="1"/>
  <c r="K2243" i="1"/>
  <c r="J2244" i="1"/>
  <c r="K2244" i="1"/>
  <c r="J2245" i="1"/>
  <c r="K2245" i="1"/>
  <c r="J2246" i="1"/>
  <c r="K2246" i="1"/>
  <c r="J2247" i="1"/>
  <c r="K2247" i="1"/>
  <c r="J2248" i="1"/>
  <c r="K2248" i="1"/>
  <c r="J2249" i="1"/>
  <c r="K2249" i="1"/>
  <c r="J2250" i="1"/>
  <c r="K2250" i="1"/>
  <c r="J2251" i="1"/>
  <c r="K2251" i="1"/>
  <c r="J2252" i="1"/>
  <c r="K2252" i="1"/>
  <c r="J2253" i="1"/>
  <c r="K2253" i="1"/>
  <c r="J2254" i="1"/>
  <c r="K2254" i="1"/>
  <c r="J2255" i="1"/>
  <c r="K2255" i="1"/>
  <c r="J2256" i="1"/>
  <c r="K2256" i="1"/>
  <c r="J2257" i="1"/>
  <c r="K2257" i="1"/>
  <c r="J2258" i="1"/>
  <c r="K2258" i="1"/>
  <c r="J2259" i="1"/>
  <c r="K2259" i="1"/>
  <c r="J2260" i="1"/>
  <c r="K2260" i="1"/>
  <c r="J2261" i="1"/>
  <c r="K2261" i="1"/>
  <c r="J2262" i="1"/>
  <c r="K2262" i="1"/>
  <c r="J2263" i="1"/>
  <c r="K2263" i="1"/>
  <c r="J2264" i="1"/>
  <c r="K2264" i="1"/>
  <c r="J2265" i="1"/>
  <c r="K2265" i="1"/>
  <c r="J2266" i="1"/>
  <c r="K2266" i="1"/>
  <c r="J2267" i="1"/>
  <c r="K2267" i="1"/>
  <c r="J2268" i="1"/>
  <c r="K2268" i="1"/>
  <c r="J2269" i="1"/>
  <c r="K2269" i="1"/>
  <c r="J2270" i="1"/>
  <c r="K2270" i="1"/>
  <c r="J2271" i="1"/>
  <c r="K2271" i="1"/>
  <c r="J2272" i="1"/>
  <c r="K2272" i="1"/>
  <c r="J2273" i="1"/>
  <c r="K2273" i="1"/>
  <c r="J2274" i="1"/>
  <c r="K2274" i="1"/>
  <c r="J2275" i="1"/>
  <c r="K2275" i="1"/>
  <c r="J2276" i="1"/>
  <c r="K2276" i="1"/>
  <c r="J2277" i="1"/>
  <c r="K2277" i="1"/>
  <c r="J2278" i="1"/>
  <c r="K2278" i="1"/>
  <c r="J2279" i="1"/>
  <c r="K2279" i="1"/>
  <c r="J2280" i="1"/>
  <c r="K2280" i="1"/>
  <c r="J2281" i="1"/>
  <c r="K2281" i="1"/>
  <c r="J2282" i="1"/>
  <c r="K2282" i="1"/>
  <c r="J2283" i="1"/>
  <c r="K2283" i="1"/>
  <c r="J2284" i="1"/>
  <c r="K2284" i="1"/>
  <c r="J2285" i="1"/>
  <c r="K2285" i="1"/>
  <c r="J2286" i="1"/>
  <c r="K2286" i="1"/>
  <c r="J2287" i="1"/>
  <c r="K2287" i="1"/>
  <c r="J2288" i="1"/>
  <c r="K2288" i="1"/>
  <c r="J2289" i="1"/>
  <c r="K2289" i="1"/>
  <c r="J2290" i="1"/>
  <c r="K2290" i="1"/>
  <c r="J2291" i="1"/>
  <c r="K2291" i="1"/>
  <c r="J2292" i="1"/>
  <c r="K2292" i="1"/>
  <c r="J2293" i="1"/>
  <c r="K2293" i="1"/>
  <c r="J2294" i="1"/>
  <c r="K2294" i="1"/>
  <c r="J2295" i="1"/>
  <c r="K2295" i="1"/>
  <c r="J2296" i="1"/>
  <c r="K2296" i="1"/>
  <c r="J2297" i="1"/>
  <c r="K2297" i="1"/>
  <c r="J2298" i="1"/>
  <c r="K2298" i="1"/>
  <c r="J2299" i="1"/>
  <c r="K2299" i="1"/>
  <c r="J2300" i="1"/>
  <c r="K2300" i="1"/>
  <c r="J2301" i="1"/>
  <c r="K2301" i="1"/>
  <c r="J2302" i="1"/>
  <c r="K2302" i="1"/>
  <c r="J2303" i="1"/>
  <c r="K2303" i="1"/>
  <c r="J2304" i="1"/>
  <c r="K2304" i="1"/>
  <c r="J2305" i="1"/>
  <c r="K2305" i="1"/>
  <c r="J2306" i="1"/>
  <c r="K2306" i="1"/>
  <c r="J2307" i="1"/>
  <c r="K2307" i="1"/>
  <c r="J2308" i="1"/>
  <c r="K2308" i="1"/>
  <c r="J2309" i="1"/>
  <c r="K2309" i="1"/>
  <c r="J2310" i="1"/>
  <c r="K2310" i="1"/>
  <c r="J2311" i="1"/>
  <c r="K2311" i="1"/>
  <c r="J2312" i="1"/>
  <c r="K2312" i="1"/>
  <c r="J2313" i="1"/>
  <c r="K2313" i="1"/>
  <c r="J2314" i="1"/>
  <c r="K2314" i="1"/>
  <c r="J2315" i="1"/>
  <c r="K2315" i="1"/>
  <c r="J2316" i="1"/>
  <c r="K2316" i="1"/>
  <c r="J2317" i="1"/>
  <c r="K2317" i="1"/>
  <c r="J2318" i="1"/>
  <c r="K2318" i="1"/>
  <c r="J2319" i="1"/>
  <c r="K2319" i="1"/>
  <c r="J2320" i="1"/>
  <c r="K2320" i="1"/>
  <c r="J2321" i="1"/>
  <c r="K2321" i="1"/>
  <c r="J2322" i="1"/>
  <c r="K2322" i="1"/>
  <c r="J2323" i="1"/>
  <c r="K2323" i="1"/>
  <c r="J2324" i="1"/>
  <c r="K2324" i="1"/>
  <c r="J2325" i="1"/>
  <c r="K2325" i="1"/>
  <c r="J2326" i="1"/>
  <c r="K2326" i="1"/>
  <c r="J2327" i="1"/>
  <c r="K2327" i="1"/>
  <c r="J2328" i="1"/>
  <c r="K2328" i="1"/>
  <c r="J2329" i="1"/>
  <c r="K2329" i="1"/>
  <c r="J2330" i="1"/>
  <c r="K2330" i="1"/>
  <c r="J2331" i="1"/>
  <c r="K2331" i="1"/>
  <c r="J2332" i="1"/>
  <c r="K2332" i="1"/>
  <c r="J2333" i="1"/>
  <c r="K2333" i="1"/>
  <c r="J2334" i="1"/>
  <c r="K2334" i="1"/>
  <c r="J2335" i="1"/>
  <c r="K2335" i="1"/>
  <c r="J2336" i="1"/>
  <c r="K2336" i="1"/>
  <c r="J2337" i="1"/>
  <c r="K2337" i="1"/>
  <c r="J2338" i="1"/>
  <c r="K2338" i="1"/>
  <c r="J2339" i="1"/>
  <c r="K2339" i="1"/>
  <c r="J2340" i="1"/>
  <c r="K2340" i="1"/>
  <c r="J2341" i="1"/>
  <c r="K2341" i="1"/>
  <c r="J2342" i="1"/>
  <c r="K2342" i="1"/>
  <c r="J2343" i="1"/>
  <c r="K2343" i="1"/>
  <c r="J2344" i="1"/>
  <c r="K2344" i="1"/>
  <c r="J2345" i="1"/>
  <c r="K2345" i="1"/>
  <c r="J2346" i="1"/>
  <c r="K2346" i="1"/>
  <c r="J2347" i="1"/>
  <c r="K2347" i="1"/>
  <c r="J2348" i="1"/>
  <c r="K2348" i="1"/>
  <c r="J2349" i="1"/>
  <c r="K2349" i="1"/>
  <c r="J2350" i="1"/>
  <c r="K2350" i="1"/>
  <c r="J2351" i="1"/>
  <c r="K2351" i="1"/>
  <c r="J2352" i="1"/>
  <c r="K2352" i="1"/>
  <c r="J2353" i="1"/>
  <c r="K2353" i="1"/>
  <c r="J2354" i="1"/>
  <c r="K2354" i="1"/>
  <c r="J2355" i="1"/>
  <c r="K2355" i="1"/>
  <c r="J2356" i="1"/>
  <c r="K2356" i="1"/>
  <c r="J2357" i="1"/>
  <c r="K2357" i="1"/>
  <c r="J2358" i="1"/>
  <c r="K2358" i="1"/>
  <c r="J2359" i="1"/>
  <c r="K2359" i="1"/>
  <c r="J2360" i="1"/>
  <c r="K2360" i="1"/>
  <c r="J2361" i="1"/>
  <c r="K2361" i="1"/>
  <c r="J2362" i="1"/>
  <c r="K2362" i="1"/>
  <c r="J2363" i="1"/>
  <c r="K2363" i="1"/>
  <c r="J2364" i="1"/>
  <c r="K2364" i="1"/>
  <c r="J2365" i="1"/>
  <c r="K2365" i="1"/>
  <c r="J2366" i="1"/>
  <c r="K2366" i="1"/>
  <c r="J2367" i="1"/>
  <c r="K2367" i="1"/>
  <c r="J2368" i="1"/>
  <c r="K2368" i="1"/>
  <c r="J2369" i="1"/>
  <c r="K2369" i="1"/>
  <c r="J2370" i="1"/>
  <c r="K2370" i="1"/>
  <c r="J2371" i="1"/>
  <c r="K2371" i="1"/>
  <c r="J2372" i="1"/>
  <c r="K2372" i="1"/>
  <c r="J2373" i="1"/>
  <c r="K2373" i="1"/>
  <c r="J2374" i="1"/>
  <c r="K2374" i="1"/>
  <c r="J2375" i="1"/>
  <c r="K2375" i="1"/>
  <c r="J2376" i="1"/>
  <c r="K2376" i="1"/>
  <c r="J2377" i="1"/>
  <c r="K2377" i="1"/>
  <c r="J2378" i="1"/>
  <c r="K2378" i="1"/>
  <c r="J2379" i="1"/>
  <c r="K2379" i="1"/>
  <c r="J2380" i="1"/>
  <c r="K2380" i="1"/>
  <c r="J2381" i="1"/>
  <c r="K2381" i="1"/>
  <c r="J2382" i="1"/>
  <c r="K2382" i="1"/>
  <c r="J2383" i="1"/>
  <c r="K2383" i="1"/>
  <c r="J2384" i="1"/>
  <c r="K2384" i="1"/>
  <c r="J2385" i="1"/>
  <c r="K2385" i="1"/>
  <c r="J2386" i="1"/>
  <c r="K2386" i="1"/>
  <c r="J2387" i="1"/>
  <c r="K2387" i="1"/>
  <c r="J2388" i="1"/>
  <c r="K2388" i="1"/>
  <c r="J2389" i="1"/>
  <c r="K2389" i="1"/>
  <c r="J2390" i="1"/>
  <c r="K2390" i="1"/>
  <c r="J2391" i="1"/>
  <c r="K2391" i="1"/>
  <c r="J2392" i="1"/>
  <c r="K2392" i="1"/>
  <c r="J2393" i="1"/>
  <c r="K2393" i="1"/>
  <c r="J2394" i="1"/>
  <c r="K2394" i="1"/>
  <c r="J2395" i="1"/>
  <c r="K2395" i="1"/>
  <c r="J2396" i="1"/>
  <c r="K2396" i="1"/>
  <c r="J2397" i="1"/>
  <c r="K2397" i="1"/>
  <c r="J2398" i="1"/>
  <c r="K2398" i="1"/>
  <c r="J2399" i="1"/>
  <c r="K2399" i="1"/>
  <c r="J2400" i="1"/>
  <c r="K2400" i="1"/>
  <c r="J2401" i="1"/>
  <c r="K2401" i="1"/>
  <c r="J2402" i="1"/>
  <c r="K2402" i="1"/>
  <c r="J2403" i="1"/>
  <c r="K2403" i="1"/>
  <c r="J2404" i="1"/>
  <c r="K2404" i="1"/>
  <c r="J2405" i="1"/>
  <c r="K2405" i="1"/>
  <c r="J2406" i="1"/>
  <c r="K2406" i="1"/>
  <c r="J2407" i="1"/>
  <c r="K2407" i="1"/>
  <c r="J2408" i="1"/>
  <c r="K2408" i="1"/>
  <c r="J2409" i="1"/>
  <c r="K2409" i="1"/>
  <c r="J2410" i="1"/>
  <c r="K2410" i="1"/>
  <c r="J2411" i="1"/>
  <c r="K2411" i="1"/>
  <c r="J2412" i="1"/>
  <c r="K2412" i="1"/>
  <c r="J2413" i="1"/>
  <c r="K2413" i="1"/>
  <c r="J2414" i="1"/>
  <c r="K2414" i="1"/>
  <c r="J2415" i="1"/>
  <c r="K2415" i="1"/>
  <c r="J2416" i="1"/>
  <c r="K2416" i="1"/>
  <c r="J2417" i="1"/>
  <c r="K2417" i="1"/>
  <c r="J2418" i="1"/>
  <c r="K2418" i="1"/>
  <c r="J2419" i="1"/>
  <c r="K2419" i="1"/>
  <c r="J2420" i="1"/>
  <c r="K2420" i="1"/>
  <c r="J2421" i="1"/>
  <c r="K2421" i="1"/>
  <c r="J2422" i="1"/>
  <c r="K2422" i="1"/>
  <c r="J2423" i="1"/>
  <c r="K2423" i="1"/>
  <c r="J2424" i="1"/>
  <c r="K2424" i="1"/>
  <c r="J2425" i="1"/>
  <c r="K2425" i="1"/>
  <c r="J2426" i="1"/>
  <c r="K2426" i="1"/>
  <c r="J2427" i="1"/>
  <c r="K2427" i="1"/>
  <c r="J2428" i="1"/>
  <c r="K2428" i="1"/>
  <c r="J2429" i="1"/>
  <c r="K2429" i="1"/>
  <c r="J2430" i="1"/>
  <c r="K2430" i="1"/>
  <c r="J2431" i="1"/>
  <c r="K2431" i="1"/>
  <c r="J2432" i="1"/>
  <c r="K2432" i="1"/>
  <c r="J2433" i="1"/>
  <c r="K2433" i="1"/>
  <c r="J2434" i="1"/>
  <c r="K2434" i="1"/>
  <c r="J2435" i="1"/>
  <c r="K2435" i="1"/>
  <c r="J2436" i="1"/>
  <c r="K2436" i="1"/>
  <c r="J2437" i="1"/>
  <c r="K2437" i="1"/>
  <c r="J2438" i="1"/>
  <c r="K2438" i="1"/>
  <c r="J2439" i="1"/>
  <c r="K2439" i="1"/>
  <c r="J2440" i="1"/>
  <c r="K2440" i="1"/>
  <c r="J2441" i="1"/>
  <c r="K2441" i="1"/>
  <c r="J2442" i="1"/>
  <c r="K2442" i="1"/>
  <c r="J2443" i="1"/>
  <c r="K2443" i="1"/>
  <c r="J2444" i="1"/>
  <c r="K2444" i="1"/>
  <c r="J2445" i="1"/>
  <c r="K2445" i="1"/>
  <c r="J2446" i="1"/>
  <c r="K2446" i="1"/>
  <c r="J2447" i="1"/>
  <c r="K2447" i="1"/>
  <c r="J2448" i="1"/>
  <c r="K2448" i="1"/>
  <c r="J2449" i="1"/>
  <c r="K2449" i="1"/>
  <c r="J2450" i="1"/>
  <c r="K2450" i="1"/>
  <c r="J2451" i="1"/>
  <c r="K2451" i="1"/>
  <c r="J2452" i="1"/>
  <c r="K2452" i="1"/>
  <c r="J2453" i="1"/>
  <c r="K2453" i="1"/>
  <c r="J2454" i="1"/>
  <c r="K2454" i="1"/>
  <c r="J2455" i="1"/>
  <c r="K2455" i="1"/>
  <c r="J2456" i="1"/>
  <c r="K2456" i="1"/>
  <c r="J2457" i="1"/>
  <c r="K2457" i="1"/>
  <c r="J2458" i="1"/>
  <c r="K2458" i="1"/>
  <c r="J2459" i="1"/>
  <c r="K2459" i="1"/>
  <c r="J2460" i="1"/>
  <c r="K2460" i="1"/>
  <c r="J2461" i="1"/>
  <c r="K2461" i="1"/>
  <c r="J2462" i="1"/>
  <c r="K2462" i="1"/>
  <c r="J2463" i="1"/>
  <c r="K2463" i="1"/>
  <c r="J2464" i="1"/>
  <c r="K2464" i="1"/>
  <c r="J2465" i="1"/>
  <c r="K2465" i="1"/>
  <c r="J2466" i="1"/>
  <c r="K2466" i="1"/>
  <c r="J2467" i="1"/>
  <c r="K2467" i="1"/>
  <c r="J2468" i="1"/>
  <c r="K2468" i="1"/>
  <c r="J2469" i="1"/>
  <c r="K2469" i="1"/>
  <c r="J2470" i="1"/>
  <c r="K2470" i="1"/>
  <c r="J2471" i="1"/>
  <c r="K2471" i="1"/>
  <c r="J2472" i="1"/>
  <c r="K2472" i="1"/>
  <c r="J2473" i="1"/>
  <c r="K2473" i="1"/>
  <c r="J2474" i="1"/>
  <c r="K2474" i="1"/>
  <c r="J2475" i="1"/>
  <c r="K2475" i="1"/>
  <c r="J2476" i="1"/>
  <c r="K2476" i="1"/>
  <c r="J2477" i="1"/>
  <c r="K2477" i="1"/>
  <c r="J2478" i="1"/>
  <c r="K2478" i="1"/>
  <c r="J2479" i="1"/>
  <c r="K2479" i="1"/>
  <c r="J2480" i="1"/>
  <c r="K2480" i="1"/>
  <c r="J2481" i="1"/>
  <c r="K2481" i="1"/>
  <c r="J2482" i="1"/>
  <c r="K2482" i="1"/>
  <c r="J2483" i="1"/>
  <c r="K2483" i="1"/>
  <c r="J2484" i="1"/>
  <c r="K2484" i="1"/>
  <c r="J2485" i="1"/>
  <c r="K2485" i="1"/>
  <c r="J2486" i="1"/>
  <c r="K2486" i="1"/>
  <c r="J2487" i="1"/>
  <c r="K2487" i="1"/>
  <c r="J2488" i="1"/>
  <c r="K2488" i="1"/>
  <c r="J2489" i="1"/>
  <c r="K2489" i="1"/>
  <c r="J2490" i="1"/>
  <c r="K2490" i="1"/>
  <c r="J2491" i="1"/>
  <c r="K2491" i="1"/>
  <c r="J2492" i="1"/>
  <c r="K2492" i="1"/>
  <c r="J2493" i="1"/>
  <c r="K2493" i="1"/>
  <c r="J2494" i="1"/>
  <c r="K2494" i="1"/>
  <c r="J2495" i="1"/>
  <c r="K2495" i="1"/>
  <c r="J2496" i="1"/>
  <c r="K2496" i="1"/>
  <c r="J2497" i="1"/>
  <c r="K2497" i="1"/>
  <c r="J2498" i="1"/>
  <c r="K2498" i="1"/>
  <c r="J2499" i="1"/>
  <c r="K2499" i="1"/>
  <c r="J2500" i="1"/>
  <c r="K2500" i="1"/>
  <c r="J2501" i="1"/>
  <c r="K2501" i="1"/>
  <c r="J2502" i="1"/>
  <c r="K2502" i="1"/>
  <c r="J2503" i="1"/>
  <c r="K2503" i="1"/>
  <c r="J2504" i="1"/>
  <c r="K2504" i="1"/>
  <c r="J2505" i="1"/>
  <c r="K2505" i="1"/>
  <c r="J2506" i="1"/>
  <c r="K2506" i="1"/>
  <c r="J2507" i="1"/>
  <c r="K2507" i="1"/>
  <c r="J2508" i="1"/>
  <c r="K2508" i="1"/>
  <c r="J2509" i="1"/>
  <c r="K2509" i="1"/>
  <c r="J2510" i="1"/>
  <c r="K2510" i="1"/>
  <c r="J2511" i="1"/>
  <c r="K2511" i="1"/>
  <c r="J2512" i="1"/>
  <c r="K2512" i="1"/>
  <c r="J2513" i="1"/>
  <c r="K2513" i="1"/>
  <c r="J2514" i="1"/>
  <c r="K2514" i="1"/>
  <c r="J2515" i="1"/>
  <c r="K2515" i="1"/>
  <c r="J2516" i="1"/>
  <c r="K2516" i="1"/>
  <c r="J2517" i="1"/>
  <c r="K2517" i="1"/>
  <c r="J2518" i="1"/>
  <c r="K2518" i="1"/>
  <c r="J2519" i="1"/>
  <c r="K2519" i="1"/>
  <c r="J2520" i="1"/>
  <c r="K2520" i="1"/>
  <c r="J2521" i="1"/>
  <c r="K2521" i="1"/>
  <c r="J2522" i="1"/>
  <c r="K2522" i="1"/>
  <c r="J2523" i="1"/>
  <c r="K2523" i="1"/>
  <c r="J2524" i="1"/>
  <c r="K2524" i="1"/>
  <c r="J2525" i="1"/>
  <c r="K2525" i="1"/>
  <c r="J2526" i="1"/>
  <c r="K2526" i="1"/>
  <c r="J2527" i="1"/>
  <c r="K2527" i="1"/>
  <c r="J2528" i="1"/>
  <c r="K2528" i="1"/>
  <c r="J2529" i="1"/>
  <c r="K2529" i="1"/>
  <c r="J2530" i="1"/>
  <c r="K2530" i="1"/>
  <c r="J2531" i="1"/>
  <c r="K2531" i="1"/>
  <c r="J2532" i="1"/>
  <c r="K2532" i="1"/>
  <c r="J2533" i="1"/>
  <c r="K2533" i="1"/>
  <c r="J2534" i="1"/>
  <c r="K2534" i="1"/>
  <c r="J2535" i="1"/>
  <c r="K2535" i="1"/>
  <c r="J2536" i="1"/>
  <c r="K2536" i="1"/>
  <c r="J2537" i="1"/>
  <c r="K2537" i="1"/>
  <c r="J2538" i="1"/>
  <c r="K2538" i="1"/>
  <c r="J2539" i="1"/>
  <c r="K2539" i="1"/>
  <c r="J2540" i="1"/>
  <c r="K2540" i="1"/>
  <c r="J2541" i="1"/>
  <c r="K2541" i="1"/>
  <c r="J2542" i="1"/>
  <c r="K2542" i="1"/>
  <c r="J2543" i="1"/>
  <c r="K2543" i="1"/>
  <c r="J2544" i="1"/>
  <c r="K2544" i="1"/>
  <c r="J2545" i="1"/>
  <c r="K2545" i="1"/>
  <c r="J2546" i="1"/>
  <c r="K2546" i="1"/>
  <c r="J2547" i="1"/>
  <c r="K2547" i="1"/>
  <c r="J2548" i="1"/>
  <c r="K2548" i="1"/>
  <c r="J2549" i="1"/>
  <c r="K2549" i="1"/>
  <c r="J2550" i="1"/>
  <c r="K2550" i="1"/>
  <c r="J2551" i="1"/>
  <c r="K2551" i="1"/>
  <c r="J2552" i="1"/>
  <c r="K2552" i="1"/>
  <c r="J2553" i="1"/>
  <c r="K2553" i="1"/>
  <c r="J2554" i="1"/>
  <c r="K2554" i="1"/>
  <c r="J2555" i="1"/>
  <c r="K2555" i="1"/>
  <c r="J2556" i="1"/>
  <c r="K2556" i="1"/>
  <c r="J2557" i="1"/>
  <c r="K2557" i="1"/>
  <c r="J2558" i="1"/>
  <c r="K2558" i="1"/>
  <c r="J2559" i="1"/>
  <c r="K2559" i="1"/>
  <c r="J2560" i="1"/>
  <c r="K2560" i="1"/>
  <c r="J2561" i="1"/>
  <c r="K2561" i="1"/>
  <c r="J2562" i="1"/>
  <c r="K2562" i="1"/>
  <c r="J2563" i="1"/>
  <c r="K2563" i="1"/>
  <c r="J2564" i="1"/>
  <c r="K2564" i="1"/>
  <c r="J2565" i="1"/>
  <c r="K2565" i="1"/>
  <c r="J2566" i="1"/>
  <c r="K2566" i="1"/>
  <c r="J2567" i="1"/>
  <c r="K2567" i="1"/>
  <c r="J2568" i="1"/>
  <c r="K2568" i="1"/>
  <c r="J2569" i="1"/>
  <c r="K2569" i="1"/>
  <c r="J2570" i="1"/>
  <c r="K2570" i="1"/>
  <c r="J2571" i="1"/>
  <c r="K2571" i="1"/>
  <c r="J2572" i="1"/>
  <c r="K2572" i="1"/>
  <c r="J2573" i="1"/>
  <c r="K2573" i="1"/>
  <c r="J2574" i="1"/>
  <c r="K2574" i="1"/>
  <c r="J2575" i="1"/>
  <c r="K2575" i="1"/>
  <c r="J2576" i="1"/>
  <c r="K2576" i="1"/>
  <c r="J2577" i="1"/>
  <c r="K2577" i="1"/>
  <c r="J2578" i="1"/>
  <c r="K2578" i="1"/>
  <c r="J2579" i="1"/>
  <c r="K2579" i="1"/>
  <c r="J2580" i="1"/>
  <c r="K2580" i="1"/>
  <c r="J2581" i="1"/>
  <c r="K2581" i="1"/>
  <c r="J2582" i="1"/>
  <c r="K2582" i="1"/>
  <c r="J2583" i="1"/>
  <c r="K2583" i="1"/>
  <c r="J2584" i="1"/>
  <c r="K2584" i="1"/>
  <c r="J2585" i="1"/>
  <c r="K2585" i="1"/>
  <c r="J2586" i="1"/>
  <c r="K2586" i="1"/>
  <c r="J2587" i="1"/>
  <c r="K2587" i="1"/>
  <c r="J2588" i="1"/>
  <c r="K2588" i="1"/>
  <c r="J2589" i="1"/>
  <c r="K2589" i="1"/>
  <c r="J2590" i="1"/>
  <c r="K2590" i="1"/>
  <c r="J2591" i="1"/>
  <c r="K2591" i="1"/>
  <c r="J2592" i="1"/>
  <c r="K2592" i="1"/>
  <c r="J2593" i="1"/>
  <c r="K2593" i="1"/>
  <c r="J2594" i="1"/>
  <c r="K2594" i="1"/>
  <c r="J2595" i="1"/>
  <c r="K2595" i="1"/>
  <c r="J2596" i="1"/>
  <c r="K2596" i="1"/>
  <c r="J2597" i="1"/>
  <c r="K2597" i="1"/>
  <c r="J2598" i="1"/>
  <c r="K2598" i="1"/>
  <c r="J2599" i="1"/>
  <c r="K2599" i="1"/>
  <c r="J2600" i="1"/>
  <c r="K2600" i="1"/>
  <c r="J2601" i="1"/>
  <c r="K2601" i="1"/>
  <c r="J2602" i="1"/>
  <c r="K2602" i="1"/>
  <c r="J2603" i="1"/>
  <c r="K2603" i="1"/>
  <c r="J2604" i="1"/>
  <c r="K2604" i="1"/>
  <c r="J2605" i="1"/>
  <c r="K2605" i="1"/>
  <c r="J2606" i="1"/>
  <c r="K2606" i="1"/>
  <c r="J2607" i="1"/>
  <c r="K2607" i="1"/>
  <c r="J2608" i="1"/>
  <c r="K2608" i="1"/>
  <c r="J2609" i="1"/>
  <c r="K2609" i="1"/>
  <c r="J2610" i="1"/>
  <c r="K2610" i="1"/>
  <c r="J2611" i="1"/>
  <c r="K2611" i="1"/>
  <c r="J2612" i="1"/>
  <c r="K2612" i="1"/>
  <c r="J2613" i="1"/>
  <c r="K2613" i="1"/>
  <c r="J2614" i="1"/>
  <c r="K2614" i="1"/>
  <c r="J2615" i="1"/>
  <c r="K2615" i="1"/>
  <c r="J2616" i="1"/>
  <c r="K2616" i="1"/>
  <c r="J2617" i="1"/>
  <c r="K2617" i="1"/>
  <c r="J2618" i="1"/>
  <c r="K2618" i="1"/>
  <c r="J2619" i="1"/>
  <c r="K2619" i="1"/>
  <c r="J2620" i="1"/>
  <c r="K2620" i="1"/>
  <c r="J2621" i="1"/>
  <c r="K2621" i="1"/>
  <c r="J2622" i="1"/>
  <c r="K2622" i="1"/>
  <c r="J2623" i="1"/>
  <c r="K2623" i="1"/>
  <c r="J2624" i="1"/>
  <c r="K2624" i="1"/>
  <c r="J2625" i="1"/>
  <c r="K2625" i="1"/>
  <c r="J2626" i="1"/>
  <c r="K2626" i="1"/>
  <c r="J2627" i="1"/>
  <c r="K2627" i="1"/>
  <c r="J2628" i="1"/>
  <c r="K2628" i="1"/>
  <c r="J2629" i="1"/>
  <c r="K2629" i="1"/>
  <c r="J2630" i="1"/>
  <c r="K2630" i="1"/>
  <c r="J2631" i="1"/>
  <c r="K2631" i="1"/>
  <c r="J2632" i="1"/>
  <c r="K2632" i="1"/>
  <c r="J2633" i="1"/>
  <c r="K2633" i="1"/>
  <c r="J2634" i="1"/>
  <c r="K2634" i="1"/>
  <c r="J2635" i="1"/>
  <c r="K2635" i="1"/>
  <c r="J2636" i="1"/>
  <c r="K2636" i="1"/>
  <c r="J2637" i="1"/>
  <c r="K2637" i="1"/>
  <c r="J2638" i="1"/>
  <c r="K2638" i="1"/>
  <c r="J2639" i="1"/>
  <c r="K2639" i="1"/>
  <c r="J2640" i="1"/>
  <c r="K2640" i="1"/>
  <c r="J2641" i="1"/>
  <c r="K2641" i="1"/>
  <c r="J2642" i="1"/>
  <c r="K2642" i="1"/>
  <c r="J2643" i="1"/>
  <c r="K2643" i="1"/>
  <c r="J2644" i="1"/>
  <c r="K2644" i="1"/>
  <c r="J2645" i="1"/>
  <c r="K2645" i="1"/>
  <c r="J2646" i="1"/>
  <c r="K2646" i="1"/>
  <c r="J2647" i="1"/>
  <c r="K2647" i="1"/>
  <c r="J2648" i="1"/>
  <c r="K2648" i="1"/>
  <c r="J2649" i="1"/>
  <c r="K2649" i="1"/>
  <c r="J2650" i="1"/>
  <c r="K2650" i="1"/>
  <c r="J2651" i="1"/>
  <c r="K2651" i="1"/>
  <c r="J2652" i="1"/>
  <c r="K2652" i="1"/>
  <c r="J2653" i="1"/>
  <c r="K2653" i="1"/>
  <c r="J2654" i="1"/>
  <c r="K2654" i="1"/>
  <c r="J2655" i="1"/>
  <c r="K2655" i="1"/>
  <c r="J2656" i="1"/>
  <c r="K2656" i="1"/>
  <c r="J2657" i="1"/>
  <c r="K2657" i="1"/>
  <c r="J2658" i="1"/>
  <c r="K2658" i="1"/>
  <c r="J2659" i="1"/>
  <c r="K2659" i="1"/>
  <c r="J2660" i="1"/>
  <c r="K2660" i="1"/>
  <c r="J2661" i="1"/>
  <c r="K2661" i="1"/>
  <c r="J2662" i="1"/>
  <c r="K2662" i="1"/>
  <c r="J2663" i="1"/>
  <c r="K2663" i="1"/>
  <c r="J2664" i="1"/>
  <c r="K2664" i="1"/>
  <c r="J2665" i="1"/>
  <c r="K2665" i="1"/>
  <c r="J2666" i="1"/>
  <c r="K2666" i="1"/>
  <c r="J2667" i="1"/>
  <c r="K2667" i="1"/>
  <c r="J2668" i="1"/>
  <c r="K2668" i="1"/>
  <c r="J2669" i="1"/>
  <c r="K2669" i="1"/>
  <c r="J2670" i="1"/>
  <c r="K2670" i="1"/>
  <c r="J2671" i="1"/>
  <c r="K2671" i="1"/>
  <c r="J2672" i="1"/>
  <c r="K2672" i="1"/>
  <c r="J2673" i="1"/>
  <c r="K2673" i="1"/>
  <c r="J2674" i="1"/>
  <c r="K2674" i="1"/>
  <c r="J2675" i="1"/>
  <c r="K2675" i="1"/>
  <c r="J2676" i="1"/>
  <c r="K2676" i="1"/>
  <c r="J2677" i="1"/>
  <c r="K2677" i="1"/>
  <c r="J2678" i="1"/>
  <c r="K2678" i="1"/>
  <c r="J2679" i="1"/>
  <c r="K2679" i="1"/>
  <c r="J2680" i="1"/>
  <c r="K2680" i="1"/>
  <c r="J2681" i="1"/>
  <c r="K2681" i="1"/>
  <c r="J2682" i="1"/>
  <c r="K2682" i="1"/>
  <c r="J2683" i="1"/>
  <c r="K2683" i="1"/>
  <c r="J2684" i="1"/>
  <c r="K2684" i="1"/>
  <c r="J2685" i="1"/>
  <c r="K2685" i="1"/>
  <c r="J2686" i="1"/>
  <c r="K2686" i="1"/>
  <c r="J2687" i="1"/>
  <c r="K2687" i="1"/>
  <c r="J2688" i="1"/>
  <c r="K2688" i="1"/>
  <c r="J2689" i="1"/>
  <c r="K2689" i="1"/>
  <c r="J2690" i="1"/>
  <c r="K2690" i="1"/>
  <c r="J2691" i="1"/>
  <c r="K2691" i="1"/>
  <c r="J2692" i="1"/>
  <c r="K2692" i="1"/>
  <c r="J2693" i="1"/>
  <c r="K2693" i="1"/>
  <c r="J2694" i="1"/>
  <c r="K2694" i="1"/>
  <c r="J2695" i="1"/>
  <c r="K2695" i="1"/>
  <c r="J2696" i="1"/>
  <c r="K2696" i="1"/>
  <c r="J2697" i="1"/>
  <c r="K2697" i="1"/>
  <c r="J2698" i="1"/>
  <c r="K2698" i="1"/>
  <c r="J2699" i="1"/>
  <c r="K2699" i="1"/>
  <c r="J2700" i="1"/>
  <c r="K2700" i="1"/>
  <c r="J2701" i="1"/>
  <c r="K2701" i="1"/>
  <c r="J2702" i="1"/>
  <c r="K2702" i="1"/>
  <c r="J2703" i="1"/>
  <c r="K2703" i="1"/>
  <c r="J2704" i="1"/>
  <c r="K2704" i="1"/>
  <c r="J2705" i="1"/>
  <c r="K2705" i="1"/>
  <c r="J2706" i="1"/>
  <c r="K2706" i="1"/>
  <c r="J2707" i="1"/>
  <c r="K2707" i="1"/>
  <c r="J2708" i="1"/>
  <c r="K2708" i="1"/>
  <c r="J2709" i="1"/>
  <c r="K2709" i="1"/>
  <c r="J2710" i="1"/>
  <c r="K2710" i="1"/>
  <c r="J2711" i="1"/>
  <c r="K2711" i="1"/>
  <c r="J2712" i="1"/>
  <c r="K2712" i="1"/>
  <c r="J2713" i="1"/>
  <c r="K2713" i="1"/>
  <c r="J2714" i="1"/>
  <c r="K2714" i="1"/>
  <c r="J2715" i="1"/>
  <c r="K2715" i="1"/>
  <c r="J2716" i="1"/>
  <c r="K2716" i="1"/>
  <c r="J2717" i="1"/>
  <c r="K2717" i="1"/>
  <c r="J2718" i="1"/>
  <c r="K2718" i="1"/>
  <c r="J2719" i="1"/>
  <c r="K2719" i="1"/>
  <c r="J2720" i="1"/>
  <c r="K2720" i="1"/>
  <c r="J2721" i="1"/>
  <c r="K2721" i="1"/>
  <c r="J2722" i="1"/>
  <c r="K2722" i="1"/>
  <c r="J2723" i="1"/>
  <c r="K2723" i="1"/>
  <c r="J2724" i="1"/>
  <c r="K2724" i="1"/>
  <c r="J2725" i="1"/>
  <c r="K2725" i="1"/>
  <c r="J2726" i="1"/>
  <c r="K2726" i="1"/>
  <c r="J2727" i="1"/>
  <c r="K2727" i="1"/>
  <c r="J2728" i="1"/>
  <c r="K2728" i="1"/>
  <c r="J2729" i="1"/>
  <c r="K2729" i="1"/>
  <c r="J2730" i="1"/>
  <c r="K2730" i="1"/>
  <c r="J2731" i="1"/>
  <c r="K2731" i="1"/>
  <c r="J2732" i="1"/>
  <c r="K2732" i="1"/>
  <c r="J2733" i="1"/>
  <c r="K2733" i="1"/>
  <c r="J2734" i="1"/>
  <c r="K2734" i="1"/>
  <c r="J2735" i="1"/>
  <c r="K2735" i="1"/>
  <c r="J2736" i="1"/>
  <c r="K2736" i="1"/>
  <c r="J2737" i="1"/>
  <c r="K2737" i="1"/>
  <c r="J2738" i="1"/>
  <c r="K2738" i="1"/>
  <c r="J2739" i="1"/>
  <c r="K2739" i="1"/>
  <c r="J2740" i="1"/>
  <c r="K2740" i="1"/>
  <c r="J2741" i="1"/>
  <c r="K2741" i="1"/>
  <c r="J2742" i="1"/>
  <c r="K2742" i="1"/>
  <c r="J2743" i="1"/>
  <c r="K2743" i="1"/>
  <c r="J2744" i="1"/>
  <c r="K2744" i="1"/>
  <c r="J2745" i="1"/>
  <c r="K2745" i="1"/>
  <c r="J2746" i="1"/>
  <c r="K2746" i="1"/>
  <c r="J2747" i="1"/>
  <c r="K2747" i="1"/>
  <c r="J2748" i="1"/>
  <c r="K2748" i="1"/>
  <c r="J2749" i="1"/>
  <c r="K2749" i="1"/>
  <c r="J2750" i="1"/>
  <c r="K2750" i="1"/>
  <c r="J2751" i="1"/>
  <c r="K2751" i="1"/>
  <c r="J2752" i="1"/>
  <c r="K2752" i="1"/>
  <c r="J2753" i="1"/>
  <c r="K2753" i="1"/>
  <c r="J2754" i="1"/>
  <c r="K2754" i="1"/>
  <c r="J2755" i="1"/>
  <c r="K2755" i="1"/>
  <c r="J2756" i="1"/>
  <c r="K2756" i="1"/>
  <c r="J2757" i="1"/>
  <c r="K2757" i="1"/>
  <c r="J2758" i="1"/>
  <c r="K2758" i="1"/>
  <c r="J2759" i="1"/>
  <c r="K2759" i="1"/>
  <c r="J2760" i="1"/>
  <c r="K2760" i="1"/>
  <c r="J2761" i="1"/>
  <c r="K2761" i="1"/>
  <c r="J2762" i="1"/>
  <c r="K2762" i="1"/>
  <c r="J2763" i="1"/>
  <c r="K2763" i="1"/>
  <c r="J2764" i="1"/>
  <c r="K2764" i="1"/>
  <c r="J2765" i="1"/>
  <c r="K2765" i="1"/>
  <c r="J2766" i="1"/>
  <c r="K2766" i="1"/>
  <c r="J2767" i="1"/>
  <c r="K2767" i="1"/>
  <c r="J2768" i="1"/>
  <c r="K2768" i="1"/>
  <c r="J2769" i="1"/>
  <c r="K2769" i="1"/>
  <c r="J2770" i="1"/>
  <c r="K2770" i="1"/>
  <c r="J2771" i="1"/>
  <c r="K2771" i="1"/>
  <c r="J2772" i="1"/>
  <c r="K2772" i="1"/>
  <c r="J2773" i="1"/>
  <c r="K2773" i="1"/>
  <c r="J2774" i="1"/>
  <c r="K2774" i="1"/>
  <c r="J2775" i="1"/>
  <c r="K2775" i="1"/>
  <c r="J2776" i="1"/>
  <c r="K2776" i="1"/>
  <c r="J2777" i="1"/>
  <c r="K2777" i="1"/>
  <c r="J2778" i="1"/>
  <c r="K2778" i="1"/>
  <c r="J2779" i="1"/>
  <c r="K2779" i="1"/>
  <c r="J2780" i="1"/>
  <c r="K2780" i="1"/>
  <c r="J2781" i="1"/>
  <c r="K2781" i="1"/>
  <c r="J2782" i="1"/>
  <c r="K2782" i="1"/>
  <c r="J2783" i="1"/>
  <c r="K2783" i="1"/>
  <c r="J2784" i="1"/>
  <c r="K2784" i="1"/>
  <c r="J2785" i="1"/>
  <c r="K2785" i="1"/>
  <c r="J2786" i="1"/>
  <c r="K2786" i="1"/>
  <c r="J2787" i="1"/>
  <c r="K2787" i="1"/>
  <c r="J2788" i="1"/>
  <c r="K2788" i="1"/>
  <c r="J2789" i="1"/>
  <c r="K2789" i="1"/>
  <c r="J2790" i="1"/>
  <c r="K2790" i="1"/>
  <c r="J2791" i="1"/>
  <c r="K2791" i="1"/>
  <c r="J2792" i="1"/>
  <c r="K2792" i="1"/>
  <c r="J2793" i="1"/>
  <c r="K2793" i="1"/>
  <c r="J2794" i="1"/>
  <c r="K2794" i="1"/>
  <c r="J2795" i="1"/>
  <c r="K2795" i="1"/>
  <c r="J2796" i="1"/>
  <c r="K2796" i="1"/>
  <c r="J2797" i="1"/>
  <c r="K2797" i="1"/>
  <c r="J2798" i="1"/>
  <c r="K2798" i="1"/>
  <c r="J2799" i="1"/>
  <c r="K2799" i="1"/>
  <c r="J2800" i="1"/>
  <c r="K2800" i="1"/>
  <c r="J2801" i="1"/>
  <c r="K2801" i="1"/>
  <c r="J2802" i="1"/>
  <c r="K2802" i="1"/>
  <c r="J2803" i="1"/>
  <c r="K2803" i="1"/>
  <c r="J2804" i="1"/>
  <c r="K2804" i="1"/>
  <c r="J2805" i="1"/>
  <c r="K2805" i="1"/>
  <c r="J2806" i="1"/>
  <c r="K2806" i="1"/>
  <c r="J2807" i="1"/>
  <c r="K2807" i="1"/>
  <c r="J2808" i="1"/>
  <c r="K2808" i="1"/>
  <c r="J2809" i="1"/>
  <c r="K2809" i="1"/>
  <c r="J2810" i="1"/>
  <c r="K2810" i="1"/>
  <c r="J2811" i="1"/>
  <c r="K2811" i="1"/>
  <c r="J2812" i="1"/>
  <c r="K2812" i="1"/>
  <c r="J2813" i="1"/>
  <c r="K2813" i="1"/>
  <c r="J2814" i="1"/>
  <c r="K2814" i="1"/>
  <c r="J2815" i="1"/>
  <c r="K2815" i="1"/>
  <c r="J2816" i="1"/>
  <c r="K2816" i="1"/>
  <c r="J2817" i="1"/>
  <c r="K2817" i="1"/>
  <c r="J2818" i="1"/>
  <c r="K2818" i="1"/>
  <c r="J2819" i="1"/>
  <c r="K2819" i="1"/>
  <c r="J2820" i="1"/>
  <c r="K2820" i="1"/>
  <c r="J2821" i="1"/>
  <c r="K2821" i="1"/>
  <c r="J2822" i="1"/>
  <c r="K2822" i="1"/>
  <c r="J2823" i="1"/>
  <c r="K2823" i="1"/>
  <c r="J2824" i="1"/>
  <c r="K2824" i="1"/>
  <c r="J2825" i="1"/>
  <c r="K2825" i="1"/>
  <c r="J2826" i="1"/>
  <c r="K2826" i="1"/>
  <c r="J2827" i="1"/>
  <c r="K2827" i="1"/>
  <c r="J2828" i="1"/>
  <c r="K2828" i="1"/>
  <c r="J2829" i="1"/>
  <c r="K2829" i="1"/>
  <c r="J2830" i="1"/>
  <c r="K2830" i="1"/>
  <c r="J2831" i="1"/>
  <c r="K2831" i="1"/>
  <c r="J2832" i="1"/>
  <c r="K2832" i="1"/>
  <c r="J2833" i="1"/>
  <c r="K2833" i="1"/>
  <c r="J2834" i="1"/>
  <c r="K2834" i="1"/>
  <c r="J2835" i="1"/>
  <c r="K2835" i="1"/>
  <c r="J2836" i="1"/>
  <c r="K2836" i="1"/>
  <c r="J2837" i="1"/>
  <c r="K2837" i="1"/>
  <c r="J2838" i="1"/>
  <c r="K2838" i="1"/>
  <c r="J2839" i="1"/>
  <c r="K2839" i="1"/>
  <c r="J2840" i="1"/>
  <c r="K2840" i="1"/>
  <c r="J2841" i="1"/>
  <c r="K2841" i="1"/>
  <c r="J2842" i="1"/>
  <c r="K2842" i="1"/>
  <c r="J2843" i="1"/>
  <c r="K2843" i="1"/>
  <c r="J2844" i="1"/>
  <c r="K2844" i="1"/>
  <c r="J2845" i="1"/>
  <c r="K2845" i="1"/>
  <c r="J2846" i="1"/>
  <c r="K2846" i="1"/>
  <c r="J2847" i="1"/>
  <c r="K2847" i="1"/>
  <c r="J2848" i="1"/>
  <c r="K2848" i="1"/>
  <c r="J2849" i="1"/>
  <c r="K2849" i="1"/>
  <c r="J2850" i="1"/>
  <c r="K2850" i="1"/>
  <c r="J2851" i="1"/>
  <c r="K2851" i="1"/>
  <c r="J2852" i="1"/>
  <c r="K2852" i="1"/>
  <c r="J2853" i="1"/>
  <c r="K2853" i="1"/>
  <c r="J2854" i="1"/>
  <c r="K2854" i="1"/>
  <c r="J2855" i="1"/>
  <c r="K2855" i="1"/>
  <c r="J2856" i="1"/>
  <c r="K2856" i="1"/>
  <c r="J2857" i="1"/>
  <c r="K2857" i="1"/>
  <c r="J2858" i="1"/>
  <c r="K2858" i="1"/>
  <c r="J2859" i="1"/>
  <c r="K2859" i="1"/>
  <c r="J2860" i="1"/>
  <c r="K2860" i="1"/>
  <c r="J2861" i="1"/>
  <c r="K2861" i="1"/>
  <c r="J2862" i="1"/>
  <c r="K2862" i="1"/>
  <c r="J2863" i="1"/>
  <c r="K2863" i="1"/>
  <c r="J2864" i="1"/>
  <c r="K2864" i="1"/>
  <c r="J2865" i="1"/>
  <c r="K2865" i="1"/>
  <c r="J2866" i="1"/>
  <c r="K2866" i="1"/>
  <c r="J2867" i="1"/>
  <c r="K2867" i="1"/>
  <c r="J2868" i="1"/>
  <c r="K2868" i="1"/>
  <c r="J2869" i="1"/>
  <c r="K2869" i="1"/>
  <c r="J2870" i="1"/>
  <c r="K2870" i="1"/>
  <c r="J2871" i="1"/>
  <c r="K2871" i="1"/>
  <c r="J2872" i="1"/>
  <c r="K2872" i="1"/>
  <c r="J2873" i="1"/>
  <c r="K2873" i="1"/>
  <c r="J2874" i="1"/>
  <c r="K2874" i="1"/>
  <c r="J2875" i="1"/>
  <c r="K2875" i="1"/>
  <c r="J2876" i="1"/>
  <c r="K2876" i="1"/>
  <c r="J2877" i="1"/>
  <c r="K2877" i="1"/>
  <c r="J2878" i="1"/>
  <c r="K2878" i="1"/>
  <c r="J2879" i="1"/>
  <c r="K2879" i="1"/>
  <c r="J2880" i="1"/>
  <c r="K2880" i="1"/>
  <c r="J2881" i="1"/>
  <c r="K2881" i="1"/>
  <c r="J2882" i="1"/>
  <c r="K2882" i="1"/>
  <c r="J2883" i="1"/>
  <c r="K2883" i="1"/>
  <c r="J2884" i="1"/>
  <c r="K2884" i="1"/>
  <c r="J2885" i="1"/>
  <c r="K2885" i="1"/>
  <c r="J2886" i="1"/>
  <c r="K2886" i="1"/>
  <c r="J2887" i="1"/>
  <c r="K2887" i="1"/>
  <c r="J2888" i="1"/>
  <c r="K2888" i="1"/>
  <c r="J2889" i="1"/>
  <c r="K2889" i="1"/>
  <c r="J2890" i="1"/>
  <c r="K2890" i="1"/>
  <c r="J2891" i="1"/>
  <c r="K2891" i="1"/>
  <c r="J2892" i="1"/>
  <c r="K2892" i="1"/>
  <c r="J2893" i="1"/>
  <c r="K2893" i="1"/>
  <c r="J2894" i="1"/>
  <c r="K2894" i="1"/>
  <c r="J2895" i="1"/>
  <c r="K2895" i="1"/>
  <c r="J2896" i="1"/>
  <c r="K2896" i="1"/>
  <c r="J2897" i="1"/>
  <c r="K2897" i="1"/>
  <c r="J2898" i="1"/>
  <c r="K2898" i="1"/>
  <c r="J2899" i="1"/>
  <c r="K2899" i="1"/>
  <c r="J2900" i="1"/>
  <c r="K2900" i="1"/>
  <c r="J2901" i="1"/>
  <c r="K2901" i="1"/>
  <c r="J2902" i="1"/>
  <c r="K2902" i="1"/>
  <c r="J2903" i="1"/>
  <c r="K2903" i="1"/>
  <c r="J2904" i="1"/>
  <c r="K2904" i="1"/>
  <c r="J2905" i="1"/>
  <c r="K2905" i="1"/>
  <c r="J2906" i="1"/>
  <c r="K2906" i="1"/>
  <c r="J2907" i="1"/>
  <c r="K2907" i="1"/>
  <c r="J2908" i="1"/>
  <c r="K2908" i="1"/>
  <c r="J2909" i="1"/>
  <c r="K2909" i="1"/>
  <c r="J2910" i="1"/>
  <c r="K2910" i="1"/>
  <c r="J2911" i="1"/>
  <c r="K2911" i="1"/>
  <c r="J2912" i="1"/>
  <c r="K2912" i="1"/>
  <c r="J2913" i="1"/>
  <c r="K2913" i="1"/>
  <c r="J2914" i="1"/>
  <c r="K2914" i="1"/>
  <c r="J2915" i="1"/>
  <c r="K2915" i="1"/>
  <c r="J2916" i="1"/>
  <c r="K2916" i="1"/>
  <c r="J2917" i="1"/>
  <c r="K2917" i="1"/>
  <c r="J2918" i="1"/>
  <c r="K2918" i="1"/>
  <c r="J2919" i="1"/>
  <c r="K2919" i="1"/>
  <c r="J2920" i="1"/>
  <c r="K2920" i="1"/>
  <c r="J2921" i="1"/>
  <c r="K2921" i="1"/>
  <c r="J2922" i="1"/>
  <c r="K2922" i="1"/>
  <c r="J2923" i="1"/>
  <c r="K2923" i="1"/>
  <c r="J2924" i="1"/>
  <c r="K2924" i="1"/>
  <c r="J2925" i="1"/>
  <c r="K2925" i="1"/>
  <c r="J2926" i="1"/>
  <c r="K2926" i="1"/>
  <c r="J2927" i="1"/>
  <c r="K2927" i="1"/>
  <c r="J2928" i="1"/>
  <c r="K2928" i="1"/>
  <c r="J2929" i="1"/>
  <c r="K2929" i="1"/>
  <c r="J2930" i="1"/>
  <c r="K2930" i="1"/>
  <c r="J2931" i="1"/>
  <c r="K2931" i="1"/>
  <c r="J2932" i="1"/>
  <c r="K2932" i="1"/>
  <c r="J2933" i="1"/>
  <c r="K2933" i="1"/>
  <c r="J2934" i="1"/>
  <c r="K2934" i="1"/>
  <c r="J2935" i="1"/>
  <c r="K2935" i="1"/>
  <c r="J2936" i="1"/>
  <c r="K2936" i="1"/>
  <c r="J2937" i="1"/>
  <c r="K2937" i="1"/>
  <c r="J2938" i="1"/>
  <c r="K2938" i="1"/>
  <c r="J2939" i="1"/>
  <c r="K2939" i="1"/>
  <c r="J2940" i="1"/>
  <c r="K2940" i="1"/>
  <c r="J2941" i="1"/>
  <c r="K2941" i="1"/>
  <c r="J2942" i="1"/>
  <c r="K2942" i="1"/>
  <c r="J2943" i="1"/>
  <c r="K2943" i="1"/>
  <c r="J2944" i="1"/>
  <c r="K2944" i="1"/>
  <c r="J2945" i="1"/>
  <c r="K2945" i="1"/>
  <c r="J2946" i="1"/>
  <c r="K2946" i="1"/>
  <c r="J2947" i="1"/>
  <c r="K2947" i="1"/>
  <c r="J2948" i="1"/>
  <c r="K2948" i="1"/>
  <c r="J2949" i="1"/>
  <c r="K2949" i="1"/>
  <c r="J2950" i="1"/>
  <c r="K2950" i="1"/>
  <c r="J2951" i="1"/>
  <c r="K2951" i="1"/>
  <c r="J2952" i="1"/>
  <c r="K2952" i="1"/>
  <c r="J2953" i="1"/>
  <c r="K2953" i="1"/>
  <c r="J2954" i="1"/>
  <c r="K2954" i="1"/>
  <c r="J2955" i="1"/>
  <c r="K2955" i="1"/>
  <c r="J2956" i="1"/>
  <c r="K2956" i="1"/>
  <c r="J2957" i="1"/>
  <c r="K2957" i="1"/>
  <c r="J2958" i="1"/>
  <c r="K2958" i="1"/>
  <c r="J2959" i="1"/>
  <c r="K2959" i="1"/>
  <c r="J2960" i="1"/>
  <c r="K2960" i="1"/>
  <c r="J2961" i="1"/>
  <c r="K2961" i="1"/>
  <c r="J2962" i="1"/>
  <c r="K2962" i="1"/>
  <c r="J2963" i="1"/>
  <c r="K2963" i="1"/>
  <c r="J2964" i="1"/>
  <c r="K2964" i="1"/>
  <c r="J2965" i="1"/>
  <c r="K2965" i="1"/>
  <c r="J2966" i="1"/>
  <c r="K2966" i="1"/>
  <c r="J2967" i="1"/>
  <c r="K2967" i="1"/>
  <c r="J2968" i="1"/>
  <c r="K2968" i="1"/>
  <c r="J2969" i="1"/>
  <c r="K2969" i="1"/>
  <c r="J2970" i="1"/>
  <c r="K2970" i="1"/>
  <c r="J2971" i="1"/>
  <c r="K2971" i="1"/>
  <c r="J2972" i="1"/>
  <c r="K2972" i="1"/>
  <c r="J2973" i="1"/>
  <c r="K2973" i="1"/>
  <c r="J2974" i="1"/>
  <c r="K2974" i="1"/>
  <c r="J2975" i="1"/>
  <c r="K2975" i="1"/>
  <c r="J2976" i="1"/>
  <c r="K2976" i="1"/>
  <c r="J2977" i="1"/>
  <c r="K2977" i="1"/>
  <c r="J2978" i="1"/>
  <c r="K2978" i="1"/>
  <c r="J2979" i="1"/>
  <c r="K2979" i="1"/>
  <c r="J2980" i="1"/>
  <c r="K2980" i="1"/>
  <c r="J2981" i="1"/>
  <c r="K2981" i="1"/>
  <c r="J2982" i="1"/>
  <c r="K2982" i="1"/>
  <c r="J2983" i="1"/>
  <c r="K2983" i="1"/>
  <c r="J2984" i="1"/>
  <c r="K2984" i="1"/>
  <c r="J2985" i="1"/>
  <c r="K2985" i="1"/>
  <c r="J2986" i="1"/>
  <c r="K2986" i="1"/>
  <c r="J2987" i="1"/>
  <c r="K2987" i="1"/>
  <c r="J2988" i="1"/>
  <c r="K2988" i="1"/>
  <c r="J2989" i="1"/>
  <c r="K2989" i="1"/>
  <c r="J2990" i="1"/>
  <c r="K2990" i="1"/>
  <c r="J2991" i="1"/>
  <c r="K2991" i="1"/>
  <c r="J2992" i="1"/>
  <c r="K2992" i="1"/>
  <c r="J2993" i="1"/>
  <c r="K2993" i="1"/>
  <c r="J2994" i="1"/>
  <c r="K2994" i="1"/>
  <c r="J2995" i="1"/>
  <c r="K2995" i="1"/>
  <c r="J2996" i="1"/>
  <c r="K2996" i="1"/>
  <c r="J2997" i="1"/>
  <c r="K2997" i="1"/>
  <c r="J2998" i="1"/>
  <c r="K2998" i="1"/>
  <c r="J2999" i="1"/>
  <c r="K2999" i="1"/>
  <c r="J3000" i="1"/>
  <c r="K3000" i="1"/>
  <c r="J3001" i="1"/>
  <c r="K3001" i="1"/>
  <c r="J3002" i="1"/>
  <c r="K3002" i="1"/>
  <c r="J3003" i="1"/>
  <c r="K3003" i="1"/>
  <c r="J3004" i="1"/>
  <c r="K3004" i="1"/>
  <c r="J3005" i="1"/>
  <c r="K3005" i="1"/>
  <c r="J3006" i="1"/>
  <c r="K3006" i="1"/>
  <c r="J3007" i="1"/>
  <c r="K3007" i="1"/>
  <c r="J3008" i="1"/>
  <c r="K3008" i="1"/>
  <c r="J3009" i="1"/>
  <c r="K3009" i="1"/>
  <c r="J3010" i="1"/>
  <c r="K3010" i="1"/>
  <c r="J3011" i="1"/>
  <c r="K3011" i="1"/>
  <c r="J3012" i="1"/>
  <c r="K3012" i="1"/>
  <c r="J3013" i="1"/>
  <c r="K3013" i="1"/>
  <c r="J3014" i="1"/>
  <c r="K3014" i="1"/>
  <c r="J3015" i="1"/>
  <c r="K3015" i="1"/>
  <c r="J3016" i="1"/>
  <c r="K3016" i="1"/>
  <c r="J3017" i="1"/>
  <c r="K3017" i="1"/>
  <c r="J3018" i="1"/>
  <c r="K3018" i="1"/>
  <c r="J3019" i="1"/>
  <c r="K3019" i="1"/>
  <c r="J3020" i="1"/>
  <c r="K3020" i="1"/>
  <c r="J3021" i="1"/>
  <c r="K3021" i="1"/>
  <c r="J3022" i="1"/>
  <c r="K3022" i="1"/>
  <c r="J3023" i="1"/>
  <c r="K3023" i="1"/>
  <c r="J3024" i="1"/>
  <c r="K3024" i="1"/>
  <c r="J3025" i="1"/>
  <c r="K3025" i="1"/>
  <c r="J3026" i="1"/>
  <c r="K3026" i="1"/>
  <c r="J3027" i="1"/>
  <c r="K3027" i="1"/>
  <c r="J3028" i="1"/>
  <c r="K3028" i="1"/>
  <c r="J3029" i="1"/>
  <c r="K3029" i="1"/>
  <c r="J3030" i="1"/>
  <c r="K3030" i="1"/>
  <c r="J3031" i="1"/>
  <c r="K3031" i="1"/>
  <c r="J3032" i="1"/>
  <c r="K3032" i="1"/>
  <c r="J3033" i="1"/>
  <c r="K3033" i="1"/>
  <c r="J3034" i="1"/>
  <c r="K3034" i="1"/>
  <c r="J3035" i="1"/>
  <c r="K3035" i="1"/>
  <c r="J3036" i="1"/>
  <c r="K3036" i="1"/>
  <c r="J3037" i="1"/>
  <c r="K3037" i="1"/>
  <c r="J3038" i="1"/>
  <c r="K3038" i="1"/>
  <c r="J3039" i="1"/>
  <c r="K3039" i="1"/>
  <c r="J3040" i="1"/>
  <c r="K3040" i="1"/>
  <c r="J3041" i="1"/>
  <c r="K3041" i="1"/>
  <c r="J3042" i="1"/>
  <c r="K3042" i="1"/>
  <c r="J3043" i="1"/>
  <c r="K3043" i="1"/>
  <c r="J3044" i="1"/>
  <c r="K3044" i="1"/>
  <c r="J3045" i="1"/>
  <c r="K3045" i="1"/>
  <c r="J3046" i="1"/>
  <c r="K3046" i="1"/>
  <c r="J3047" i="1"/>
  <c r="K3047" i="1"/>
  <c r="J3048" i="1"/>
  <c r="K3048" i="1"/>
  <c r="J3049" i="1"/>
  <c r="K3049" i="1"/>
  <c r="J3050" i="1"/>
  <c r="K3050" i="1"/>
  <c r="J3051" i="1"/>
  <c r="K3051" i="1"/>
  <c r="J3052" i="1"/>
  <c r="K3052" i="1"/>
  <c r="J3053" i="1"/>
  <c r="K3053" i="1"/>
  <c r="J3054" i="1"/>
  <c r="K3054" i="1"/>
  <c r="J3055" i="1"/>
  <c r="K3055" i="1"/>
  <c r="J3056" i="1"/>
  <c r="K3056" i="1"/>
  <c r="J3057" i="1"/>
  <c r="K3057" i="1"/>
  <c r="J3058" i="1"/>
  <c r="K3058" i="1"/>
  <c r="J3059" i="1"/>
  <c r="K3059" i="1"/>
  <c r="J3060" i="1"/>
  <c r="K3060" i="1"/>
  <c r="J3061" i="1"/>
  <c r="K3061" i="1"/>
  <c r="J3062" i="1"/>
  <c r="K3062" i="1"/>
  <c r="J3063" i="1"/>
  <c r="K3063" i="1"/>
  <c r="J3064" i="1"/>
  <c r="K3064" i="1"/>
  <c r="J3065" i="1"/>
  <c r="K3065" i="1"/>
  <c r="J3066" i="1"/>
  <c r="K3066" i="1"/>
  <c r="J3067" i="1"/>
  <c r="K3067" i="1"/>
  <c r="J3068" i="1"/>
  <c r="K3068" i="1"/>
  <c r="J3069" i="1"/>
  <c r="K3069" i="1"/>
  <c r="J3070" i="1"/>
  <c r="K3070" i="1"/>
  <c r="J3071" i="1"/>
  <c r="K3071" i="1"/>
  <c r="J3072" i="1"/>
  <c r="K3072" i="1"/>
  <c r="J3073" i="1"/>
  <c r="K3073" i="1"/>
  <c r="J3074" i="1"/>
  <c r="K3074" i="1"/>
  <c r="J3075" i="1"/>
  <c r="K3075" i="1"/>
  <c r="J3076" i="1"/>
  <c r="K3076" i="1"/>
  <c r="J3077" i="1"/>
  <c r="K3077" i="1"/>
  <c r="J3078" i="1"/>
  <c r="K3078" i="1"/>
  <c r="J3079" i="1"/>
  <c r="K3079" i="1"/>
  <c r="J3080" i="1"/>
  <c r="K3080" i="1"/>
  <c r="J3081" i="1"/>
  <c r="K3081" i="1"/>
  <c r="J3082" i="1"/>
  <c r="K3082" i="1"/>
  <c r="J3083" i="1"/>
  <c r="K3083" i="1"/>
  <c r="J3084" i="1"/>
  <c r="K3084" i="1"/>
  <c r="J3085" i="1"/>
  <c r="K3085" i="1"/>
  <c r="J3086" i="1"/>
  <c r="K3086" i="1"/>
  <c r="J3087" i="1"/>
  <c r="K3087" i="1"/>
  <c r="J3088" i="1"/>
  <c r="K3088" i="1"/>
  <c r="J3089" i="1"/>
  <c r="K3089" i="1"/>
  <c r="J3090" i="1"/>
  <c r="K3090" i="1"/>
  <c r="J3091" i="1"/>
  <c r="K3091" i="1"/>
  <c r="J3092" i="1"/>
  <c r="K3092" i="1"/>
  <c r="J3093" i="1"/>
  <c r="K3093" i="1"/>
  <c r="J3094" i="1"/>
  <c r="K3094" i="1"/>
  <c r="J3095" i="1"/>
  <c r="K3095" i="1"/>
  <c r="J3096" i="1"/>
  <c r="K3096" i="1"/>
  <c r="J3097" i="1"/>
  <c r="K3097" i="1"/>
  <c r="J3098" i="1"/>
  <c r="K3098" i="1"/>
  <c r="J3099" i="1"/>
  <c r="K3099" i="1"/>
  <c r="J3100" i="1"/>
  <c r="K3100" i="1"/>
  <c r="J3101" i="1"/>
  <c r="K3101" i="1"/>
  <c r="J3102" i="1"/>
  <c r="K3102" i="1"/>
  <c r="J3103" i="1"/>
  <c r="K3103" i="1"/>
  <c r="J3104" i="1"/>
  <c r="K3104" i="1"/>
  <c r="J3105" i="1"/>
  <c r="K3105" i="1"/>
  <c r="J3106" i="1"/>
  <c r="K3106" i="1"/>
  <c r="J3107" i="1"/>
  <c r="K3107" i="1"/>
  <c r="J3108" i="1"/>
  <c r="K3108" i="1"/>
  <c r="J3109" i="1"/>
  <c r="K3109" i="1"/>
  <c r="J3110" i="1"/>
  <c r="K3110" i="1"/>
  <c r="J3111" i="1"/>
  <c r="K3111" i="1"/>
  <c r="J3112" i="1"/>
  <c r="K3112" i="1"/>
  <c r="J3113" i="1"/>
  <c r="K3113" i="1"/>
  <c r="J3114" i="1"/>
  <c r="K3114" i="1"/>
  <c r="J3115" i="1"/>
  <c r="K3115" i="1"/>
  <c r="J3116" i="1"/>
  <c r="K3116" i="1"/>
  <c r="J3117" i="1"/>
  <c r="K3117" i="1"/>
  <c r="J3118" i="1"/>
  <c r="K3118" i="1"/>
  <c r="J3119" i="1"/>
  <c r="K3119" i="1"/>
  <c r="J3120" i="1"/>
  <c r="K3120" i="1"/>
  <c r="J3121" i="1"/>
  <c r="K3121" i="1"/>
  <c r="J3122" i="1"/>
  <c r="K3122" i="1"/>
  <c r="J3123" i="1"/>
  <c r="K3123" i="1"/>
  <c r="J3124" i="1"/>
  <c r="K3124" i="1"/>
  <c r="J3125" i="1"/>
  <c r="K3125" i="1"/>
  <c r="J3126" i="1"/>
  <c r="K3126" i="1"/>
  <c r="J3127" i="1"/>
  <c r="K3127" i="1"/>
  <c r="J3128" i="1"/>
  <c r="K3128" i="1"/>
  <c r="J3129" i="1"/>
  <c r="K3129" i="1"/>
  <c r="J3130" i="1"/>
  <c r="K3130" i="1"/>
  <c r="J3131" i="1"/>
  <c r="K3131" i="1"/>
  <c r="J3132" i="1"/>
  <c r="K3132" i="1"/>
  <c r="J3133" i="1"/>
  <c r="K3133" i="1"/>
  <c r="J3134" i="1"/>
  <c r="K3134" i="1"/>
  <c r="J3135" i="1"/>
  <c r="K3135" i="1"/>
  <c r="J3136" i="1"/>
  <c r="K3136" i="1"/>
  <c r="J3137" i="1"/>
  <c r="K3137" i="1"/>
  <c r="J3138" i="1"/>
  <c r="K3138" i="1"/>
  <c r="J3139" i="1"/>
  <c r="K3139" i="1"/>
  <c r="J3140" i="1"/>
  <c r="K3140" i="1"/>
  <c r="J3141" i="1"/>
  <c r="K3141" i="1"/>
  <c r="J3142" i="1"/>
  <c r="K3142" i="1"/>
  <c r="J3143" i="1"/>
  <c r="K3143" i="1"/>
  <c r="J3144" i="1"/>
  <c r="K3144" i="1"/>
  <c r="J3145" i="1"/>
  <c r="K3145" i="1"/>
  <c r="J3146" i="1"/>
  <c r="K3146" i="1"/>
  <c r="J3147" i="1"/>
  <c r="K3147" i="1"/>
  <c r="J3148" i="1"/>
  <c r="K3148" i="1"/>
  <c r="J3149" i="1"/>
  <c r="K3149" i="1"/>
  <c r="J3150" i="1"/>
  <c r="K3150" i="1"/>
  <c r="J3151" i="1"/>
  <c r="K3151" i="1"/>
  <c r="J3152" i="1"/>
  <c r="K3152" i="1"/>
  <c r="J3153" i="1"/>
  <c r="K3153" i="1"/>
  <c r="J3154" i="1"/>
  <c r="K3154" i="1"/>
  <c r="J3155" i="1"/>
  <c r="K3155" i="1"/>
  <c r="J3156" i="1"/>
  <c r="K3156" i="1"/>
  <c r="J3157" i="1"/>
  <c r="K3157" i="1"/>
  <c r="J3158" i="1"/>
  <c r="K3158" i="1"/>
  <c r="J3159" i="1"/>
  <c r="K3159" i="1"/>
  <c r="J3160" i="1"/>
  <c r="K3160" i="1"/>
  <c r="J3161" i="1"/>
  <c r="K3161" i="1"/>
  <c r="J3162" i="1"/>
  <c r="K3162" i="1"/>
  <c r="J3163" i="1"/>
  <c r="K3163" i="1"/>
  <c r="J3164" i="1"/>
  <c r="K3164" i="1"/>
  <c r="J3165" i="1"/>
  <c r="K3165" i="1"/>
  <c r="J3166" i="1"/>
  <c r="K3166" i="1"/>
  <c r="J3167" i="1"/>
  <c r="K3167" i="1"/>
  <c r="J3168" i="1"/>
  <c r="K3168" i="1"/>
  <c r="J3169" i="1"/>
  <c r="K3169" i="1"/>
  <c r="J3170" i="1"/>
  <c r="K3170" i="1"/>
  <c r="J3171" i="1"/>
  <c r="K3171" i="1"/>
  <c r="J3172" i="1"/>
  <c r="K3172" i="1"/>
  <c r="J3173" i="1"/>
  <c r="K3173" i="1"/>
  <c r="J3174" i="1"/>
  <c r="K3174" i="1"/>
  <c r="J3175" i="1"/>
  <c r="K3175" i="1"/>
  <c r="J3176" i="1"/>
  <c r="K3176" i="1"/>
  <c r="J3177" i="1"/>
  <c r="K3177" i="1"/>
  <c r="J3178" i="1"/>
  <c r="K3178" i="1"/>
  <c r="J3179" i="1"/>
  <c r="K3179" i="1"/>
  <c r="J3180" i="1"/>
  <c r="K3180" i="1"/>
  <c r="J3181" i="1"/>
  <c r="K3181" i="1"/>
  <c r="J3182" i="1"/>
  <c r="K3182" i="1"/>
  <c r="J3183" i="1"/>
  <c r="K3183" i="1"/>
  <c r="J3184" i="1"/>
  <c r="K3184" i="1"/>
  <c r="J3185" i="1"/>
  <c r="K3185" i="1"/>
  <c r="J3186" i="1"/>
  <c r="K3186" i="1"/>
  <c r="J3187" i="1"/>
  <c r="K3187" i="1"/>
  <c r="J3188" i="1"/>
  <c r="K3188" i="1"/>
  <c r="J3189" i="1"/>
  <c r="K3189" i="1"/>
  <c r="J3190" i="1"/>
  <c r="K3190" i="1"/>
  <c r="J3191" i="1"/>
  <c r="K3191" i="1"/>
  <c r="J3192" i="1"/>
  <c r="K3192" i="1"/>
  <c r="J3193" i="1"/>
  <c r="K3193" i="1"/>
  <c r="J3194" i="1"/>
  <c r="K3194" i="1"/>
  <c r="J3195" i="1"/>
  <c r="K3195" i="1"/>
  <c r="J3196" i="1"/>
  <c r="K3196" i="1"/>
  <c r="J3197" i="1"/>
  <c r="K3197" i="1"/>
  <c r="J3198" i="1"/>
  <c r="K3198" i="1"/>
  <c r="J3199" i="1"/>
  <c r="K3199" i="1"/>
  <c r="J3200" i="1"/>
  <c r="K3200" i="1"/>
  <c r="J3201" i="1"/>
  <c r="K3201" i="1"/>
  <c r="J3202" i="1"/>
  <c r="K3202" i="1"/>
  <c r="J3203" i="1"/>
  <c r="K3203" i="1"/>
  <c r="J3204" i="1"/>
  <c r="K3204" i="1"/>
  <c r="J3205" i="1"/>
  <c r="K3205" i="1"/>
  <c r="J3206" i="1"/>
  <c r="K3206" i="1"/>
  <c r="J3207" i="1"/>
  <c r="K3207" i="1"/>
  <c r="J3208" i="1"/>
  <c r="K3208" i="1"/>
  <c r="J3209" i="1"/>
  <c r="K3209" i="1"/>
  <c r="J3210" i="1"/>
  <c r="K3210" i="1"/>
  <c r="J3211" i="1"/>
  <c r="K3211" i="1"/>
  <c r="J3212" i="1"/>
  <c r="K3212" i="1"/>
  <c r="J3213" i="1"/>
  <c r="K3213" i="1"/>
  <c r="J3214" i="1"/>
  <c r="K3214" i="1"/>
  <c r="J3215" i="1"/>
  <c r="K3215" i="1"/>
  <c r="J3216" i="1"/>
  <c r="K3216" i="1"/>
  <c r="J3217" i="1"/>
  <c r="K3217" i="1"/>
  <c r="J3218" i="1"/>
  <c r="K3218" i="1"/>
  <c r="J3219" i="1"/>
  <c r="K3219" i="1"/>
  <c r="J3220" i="1"/>
  <c r="K3220" i="1"/>
  <c r="J3221" i="1"/>
  <c r="K3221" i="1"/>
  <c r="J3222" i="1"/>
  <c r="K3222" i="1"/>
  <c r="J3223" i="1"/>
  <c r="K3223" i="1"/>
  <c r="J3224" i="1"/>
  <c r="K3224" i="1"/>
  <c r="J3225" i="1"/>
  <c r="K3225" i="1"/>
  <c r="J3226" i="1"/>
  <c r="K3226" i="1"/>
  <c r="J3227" i="1"/>
  <c r="K3227" i="1"/>
  <c r="J3228" i="1"/>
  <c r="K3228" i="1"/>
  <c r="J3229" i="1"/>
  <c r="K3229" i="1"/>
  <c r="J3230" i="1"/>
  <c r="K3230" i="1"/>
  <c r="J3231" i="1"/>
  <c r="K3231" i="1"/>
  <c r="J3232" i="1"/>
  <c r="K3232" i="1"/>
  <c r="J3233" i="1"/>
  <c r="K3233" i="1"/>
  <c r="J3234" i="1"/>
  <c r="K3234" i="1"/>
  <c r="J3235" i="1"/>
  <c r="K3235" i="1"/>
  <c r="J3236" i="1"/>
  <c r="K3236" i="1"/>
  <c r="J3237" i="1"/>
  <c r="K3237" i="1"/>
  <c r="J3238" i="1"/>
  <c r="K3238" i="1"/>
  <c r="J3239" i="1"/>
  <c r="K3239" i="1"/>
  <c r="J3240" i="1"/>
  <c r="K3240" i="1"/>
  <c r="J3241" i="1"/>
  <c r="K3241" i="1"/>
  <c r="J3242" i="1"/>
  <c r="K3242" i="1"/>
  <c r="J3243" i="1"/>
  <c r="K3243" i="1"/>
  <c r="J3244" i="1"/>
  <c r="K3244" i="1"/>
  <c r="J3245" i="1"/>
  <c r="K3245" i="1"/>
  <c r="J3246" i="1"/>
  <c r="K3246" i="1"/>
  <c r="J3247" i="1"/>
  <c r="K3247" i="1"/>
  <c r="J3248" i="1"/>
  <c r="K3248" i="1"/>
  <c r="J3249" i="1"/>
  <c r="K3249" i="1"/>
  <c r="J3250" i="1"/>
  <c r="K3250" i="1"/>
  <c r="J3251" i="1"/>
  <c r="K3251" i="1"/>
  <c r="J3252" i="1"/>
  <c r="K3252" i="1"/>
  <c r="J3253" i="1"/>
  <c r="K3253" i="1"/>
  <c r="J3254" i="1"/>
  <c r="K3254" i="1"/>
  <c r="J3255" i="1"/>
  <c r="K3255" i="1"/>
  <c r="J3256" i="1"/>
  <c r="K3256" i="1"/>
  <c r="J3257" i="1"/>
  <c r="K3257" i="1"/>
  <c r="J3258" i="1"/>
  <c r="K3258" i="1"/>
  <c r="J3259" i="1"/>
  <c r="K3259" i="1"/>
  <c r="J3260" i="1"/>
  <c r="K3260" i="1"/>
  <c r="J3261" i="1"/>
  <c r="K3261" i="1"/>
  <c r="J3262" i="1"/>
  <c r="K3262" i="1"/>
  <c r="J3263" i="1"/>
  <c r="K3263" i="1"/>
  <c r="J3264" i="1"/>
  <c r="K3264" i="1"/>
  <c r="J3265" i="1"/>
  <c r="K3265" i="1"/>
  <c r="J3266" i="1"/>
  <c r="K3266" i="1"/>
  <c r="J3267" i="1"/>
  <c r="K3267" i="1"/>
  <c r="J3268" i="1"/>
  <c r="K3268" i="1"/>
  <c r="J3269" i="1"/>
  <c r="K3269" i="1"/>
  <c r="J3270" i="1"/>
  <c r="K3270" i="1"/>
  <c r="J3271" i="1"/>
  <c r="K3271" i="1"/>
  <c r="J3272" i="1"/>
  <c r="K3272" i="1"/>
  <c r="J3273" i="1"/>
  <c r="K3273" i="1"/>
  <c r="J3274" i="1"/>
  <c r="K3274" i="1"/>
  <c r="J3275" i="1"/>
  <c r="K3275" i="1"/>
  <c r="J3276" i="1"/>
  <c r="K3276" i="1"/>
  <c r="J3277" i="1"/>
  <c r="K3277" i="1"/>
  <c r="J3278" i="1"/>
  <c r="K3278" i="1"/>
  <c r="J3279" i="1"/>
  <c r="K3279" i="1"/>
  <c r="J3280" i="1"/>
  <c r="K3280" i="1"/>
  <c r="J3281" i="1"/>
  <c r="K3281" i="1"/>
  <c r="J3282" i="1"/>
  <c r="K3282" i="1"/>
  <c r="J3283" i="1"/>
  <c r="K3283" i="1"/>
  <c r="J3284" i="1"/>
  <c r="K3284" i="1"/>
  <c r="J3285" i="1"/>
  <c r="K3285" i="1"/>
  <c r="J3286" i="1"/>
  <c r="K3286" i="1"/>
  <c r="J3287" i="1"/>
  <c r="K3287" i="1"/>
  <c r="J3288" i="1"/>
  <c r="K3288" i="1"/>
  <c r="J3289" i="1"/>
  <c r="K3289" i="1"/>
  <c r="J3290" i="1"/>
  <c r="K3290" i="1"/>
  <c r="J3291" i="1"/>
  <c r="K3291" i="1"/>
  <c r="J3292" i="1"/>
  <c r="K3292" i="1"/>
  <c r="J3293" i="1"/>
  <c r="K3293" i="1"/>
  <c r="J3294" i="1"/>
  <c r="K3294" i="1"/>
  <c r="J3295" i="1"/>
  <c r="K3295" i="1"/>
  <c r="J3296" i="1"/>
  <c r="K3296" i="1"/>
  <c r="J3297" i="1"/>
  <c r="K3297" i="1"/>
  <c r="J3298" i="1"/>
  <c r="K3298" i="1"/>
  <c r="J3299" i="1"/>
  <c r="K3299" i="1"/>
  <c r="J3300" i="1"/>
  <c r="K3300" i="1"/>
  <c r="J3301" i="1"/>
  <c r="K3301" i="1"/>
  <c r="J3302" i="1"/>
  <c r="K3302" i="1"/>
  <c r="J3303" i="1"/>
  <c r="K3303" i="1"/>
  <c r="J3304" i="1"/>
  <c r="K3304" i="1"/>
  <c r="J3305" i="1"/>
  <c r="K3305" i="1"/>
  <c r="J3306" i="1"/>
  <c r="K3306" i="1"/>
  <c r="J3307" i="1"/>
  <c r="K3307" i="1"/>
  <c r="J3308" i="1"/>
  <c r="K3308" i="1"/>
  <c r="J3309" i="1"/>
  <c r="K3309" i="1"/>
  <c r="J3310" i="1"/>
  <c r="K3310" i="1"/>
  <c r="J3311" i="1"/>
  <c r="K3311" i="1"/>
  <c r="J3312" i="1"/>
  <c r="K3312" i="1"/>
  <c r="J3313" i="1"/>
  <c r="K3313" i="1"/>
  <c r="J3314" i="1"/>
  <c r="K3314" i="1"/>
  <c r="J3315" i="1"/>
  <c r="K3315" i="1"/>
  <c r="J3316" i="1"/>
  <c r="K3316" i="1"/>
  <c r="J3317" i="1"/>
  <c r="K3317" i="1"/>
  <c r="J3318" i="1"/>
  <c r="K3318" i="1"/>
  <c r="J3319" i="1"/>
  <c r="K3319" i="1"/>
  <c r="J3320" i="1"/>
  <c r="K3320" i="1"/>
  <c r="J3321" i="1"/>
  <c r="K3321" i="1"/>
  <c r="J3322" i="1"/>
  <c r="K3322" i="1"/>
  <c r="J3323" i="1"/>
  <c r="K3323" i="1"/>
  <c r="J3324" i="1"/>
  <c r="K3324" i="1"/>
  <c r="J3325" i="1"/>
  <c r="K3325" i="1"/>
  <c r="J3326" i="1"/>
  <c r="K3326" i="1"/>
  <c r="J3327" i="1"/>
  <c r="K3327" i="1"/>
  <c r="J3328" i="1"/>
  <c r="K3328" i="1"/>
  <c r="J3329" i="1"/>
  <c r="K3329" i="1"/>
  <c r="J3330" i="1"/>
  <c r="K3330" i="1"/>
  <c r="J3331" i="1"/>
  <c r="K3331" i="1"/>
  <c r="J3332" i="1"/>
  <c r="K3332" i="1"/>
  <c r="J3333" i="1"/>
  <c r="K3333" i="1"/>
  <c r="J3334" i="1"/>
  <c r="K3334" i="1"/>
  <c r="J3335" i="1"/>
  <c r="K3335" i="1"/>
  <c r="J3336" i="1"/>
  <c r="K3336" i="1"/>
  <c r="J3337" i="1"/>
  <c r="K3337" i="1"/>
  <c r="J3338" i="1"/>
  <c r="K3338" i="1"/>
  <c r="J3339" i="1"/>
  <c r="K3339" i="1"/>
  <c r="J3340" i="1"/>
  <c r="K3340" i="1"/>
  <c r="J3341" i="1"/>
  <c r="K3341" i="1"/>
  <c r="J3342" i="1"/>
  <c r="K3342" i="1"/>
  <c r="J3343" i="1"/>
  <c r="K3343" i="1"/>
  <c r="J3344" i="1"/>
  <c r="K3344" i="1"/>
  <c r="J3345" i="1"/>
  <c r="K3345" i="1"/>
  <c r="J3346" i="1"/>
  <c r="K3346" i="1"/>
  <c r="J3347" i="1"/>
  <c r="K3347" i="1"/>
  <c r="J3348" i="1"/>
  <c r="K3348" i="1"/>
  <c r="J3349" i="1"/>
  <c r="K3349" i="1"/>
  <c r="J3350" i="1"/>
  <c r="K3350" i="1"/>
  <c r="J3351" i="1"/>
  <c r="K3351" i="1"/>
  <c r="J3352" i="1"/>
  <c r="K3352" i="1"/>
  <c r="J3353" i="1"/>
  <c r="K3353" i="1"/>
  <c r="J3354" i="1"/>
  <c r="K3354" i="1"/>
  <c r="J3355" i="1"/>
  <c r="K3355" i="1"/>
  <c r="J3356" i="1"/>
  <c r="K3356" i="1"/>
  <c r="J3357" i="1"/>
  <c r="K3357" i="1"/>
  <c r="J3358" i="1"/>
  <c r="K3358" i="1"/>
  <c r="J3359" i="1"/>
  <c r="K3359" i="1"/>
  <c r="J3360" i="1"/>
  <c r="K3360" i="1"/>
  <c r="J3361" i="1"/>
  <c r="K3361" i="1"/>
  <c r="J3362" i="1"/>
  <c r="K3362" i="1"/>
  <c r="J3363" i="1"/>
  <c r="K3363" i="1"/>
  <c r="J3364" i="1"/>
  <c r="K3364" i="1"/>
  <c r="J3365" i="1"/>
  <c r="K3365" i="1"/>
  <c r="J3366" i="1"/>
  <c r="K3366" i="1"/>
  <c r="J3367" i="1"/>
  <c r="K3367" i="1"/>
  <c r="J3368" i="1"/>
  <c r="K3368" i="1"/>
  <c r="J3369" i="1"/>
  <c r="K3369" i="1"/>
  <c r="J3370" i="1"/>
  <c r="K3370" i="1"/>
  <c r="J3371" i="1"/>
  <c r="K3371" i="1"/>
  <c r="J3372" i="1"/>
  <c r="K3372" i="1"/>
  <c r="J3373" i="1"/>
  <c r="K3373" i="1"/>
  <c r="J3374" i="1"/>
  <c r="K3374" i="1"/>
  <c r="J3375" i="1"/>
  <c r="K3375" i="1"/>
  <c r="J3376" i="1"/>
  <c r="K3376" i="1"/>
  <c r="J3377" i="1"/>
  <c r="K3377" i="1"/>
  <c r="J3378" i="1"/>
  <c r="K3378" i="1"/>
  <c r="J3379" i="1"/>
  <c r="K3379" i="1"/>
  <c r="J3380" i="1"/>
  <c r="K3380" i="1"/>
  <c r="J3381" i="1"/>
  <c r="K3381" i="1"/>
  <c r="J3382" i="1"/>
  <c r="K3382" i="1"/>
  <c r="J3383" i="1"/>
  <c r="K3383" i="1"/>
  <c r="J3384" i="1"/>
  <c r="K3384" i="1"/>
  <c r="J3385" i="1"/>
  <c r="K3385" i="1"/>
  <c r="J3386" i="1"/>
  <c r="K3386" i="1"/>
  <c r="J3387" i="1"/>
  <c r="K3387" i="1"/>
  <c r="J3388" i="1"/>
  <c r="K3388" i="1"/>
  <c r="J3389" i="1"/>
  <c r="K3389" i="1"/>
  <c r="J3390" i="1"/>
  <c r="K3390" i="1"/>
  <c r="J3391" i="1"/>
  <c r="K3391" i="1"/>
  <c r="J3392" i="1"/>
  <c r="K3392" i="1"/>
  <c r="J3393" i="1"/>
  <c r="K3393" i="1"/>
  <c r="J3394" i="1"/>
  <c r="K3394" i="1"/>
  <c r="J3395" i="1"/>
  <c r="K3395" i="1"/>
  <c r="J3396" i="1"/>
  <c r="K3396" i="1"/>
  <c r="J3397" i="1"/>
  <c r="K3397" i="1"/>
  <c r="J3398" i="1"/>
  <c r="K3398" i="1"/>
  <c r="J3399" i="1"/>
  <c r="K3399" i="1"/>
  <c r="J3400" i="1"/>
  <c r="K3400" i="1"/>
  <c r="J3401" i="1"/>
  <c r="K3401" i="1"/>
  <c r="J3402" i="1"/>
  <c r="K3402" i="1"/>
  <c r="J3403" i="1"/>
  <c r="K3403" i="1"/>
  <c r="J3404" i="1"/>
  <c r="K3404" i="1"/>
  <c r="J3405" i="1"/>
  <c r="K3405" i="1"/>
  <c r="J3406" i="1"/>
  <c r="K3406" i="1"/>
  <c r="J3407" i="1"/>
  <c r="K3407" i="1"/>
  <c r="J3408" i="1"/>
  <c r="K3408" i="1"/>
  <c r="J3409" i="1"/>
  <c r="K3409" i="1"/>
  <c r="J3410" i="1"/>
  <c r="K3410" i="1"/>
  <c r="J3411" i="1"/>
  <c r="K3411" i="1"/>
  <c r="J3412" i="1"/>
  <c r="K3412" i="1"/>
  <c r="J3413" i="1"/>
  <c r="K3413" i="1"/>
  <c r="J3414" i="1"/>
  <c r="K3414" i="1"/>
  <c r="J3415" i="1"/>
  <c r="K3415" i="1"/>
  <c r="J3416" i="1"/>
  <c r="K3416" i="1"/>
  <c r="J3417" i="1"/>
  <c r="K3417" i="1"/>
  <c r="J3418" i="1"/>
  <c r="K3418" i="1"/>
  <c r="J3419" i="1"/>
  <c r="K3419" i="1"/>
  <c r="J3420" i="1"/>
  <c r="K3420" i="1"/>
  <c r="J3421" i="1"/>
  <c r="K3421" i="1"/>
  <c r="J3422" i="1"/>
  <c r="K3422" i="1"/>
  <c r="J3423" i="1"/>
  <c r="K3423" i="1"/>
  <c r="J3424" i="1"/>
  <c r="K3424" i="1"/>
  <c r="J3425" i="1"/>
  <c r="K3425" i="1"/>
  <c r="J3426" i="1"/>
  <c r="K3426" i="1"/>
  <c r="J3427" i="1"/>
  <c r="K3427" i="1"/>
  <c r="J3428" i="1"/>
  <c r="K3428" i="1"/>
  <c r="J3429" i="1"/>
  <c r="K3429" i="1"/>
  <c r="J3430" i="1"/>
  <c r="K3430" i="1"/>
  <c r="J3431" i="1"/>
  <c r="K3431" i="1"/>
  <c r="J3432" i="1"/>
  <c r="K3432" i="1"/>
  <c r="J3433" i="1"/>
  <c r="K3433" i="1"/>
  <c r="J3434" i="1"/>
  <c r="K3434" i="1"/>
  <c r="J3435" i="1"/>
  <c r="K3435" i="1"/>
  <c r="J3436" i="1"/>
  <c r="K3436" i="1"/>
  <c r="J3437" i="1"/>
  <c r="K3437" i="1"/>
  <c r="J3438" i="1"/>
  <c r="K3438" i="1"/>
  <c r="J3439" i="1"/>
  <c r="K3439" i="1"/>
  <c r="J3440" i="1"/>
  <c r="K3440" i="1"/>
  <c r="J3441" i="1"/>
  <c r="K3441" i="1"/>
  <c r="J3442" i="1"/>
  <c r="K3442" i="1"/>
  <c r="J3443" i="1"/>
  <c r="K3443" i="1"/>
  <c r="J3444" i="1"/>
  <c r="K3444" i="1"/>
  <c r="J3445" i="1"/>
  <c r="K3445" i="1"/>
  <c r="J3446" i="1"/>
  <c r="K3446" i="1"/>
  <c r="J3447" i="1"/>
  <c r="K3447" i="1"/>
  <c r="J3448" i="1"/>
  <c r="K3448" i="1"/>
  <c r="J3449" i="1"/>
  <c r="K3449" i="1"/>
  <c r="J3450" i="1"/>
  <c r="K3450" i="1"/>
  <c r="J3451" i="1"/>
  <c r="K3451" i="1"/>
  <c r="J3452" i="1"/>
  <c r="K3452" i="1"/>
  <c r="J3453" i="1"/>
  <c r="K3453" i="1"/>
  <c r="J3454" i="1"/>
  <c r="K3454" i="1"/>
  <c r="J3455" i="1"/>
  <c r="K3455" i="1"/>
  <c r="J3456" i="1"/>
  <c r="K3456" i="1"/>
  <c r="J3457" i="1"/>
  <c r="K3457" i="1"/>
  <c r="J3458" i="1"/>
  <c r="K3458" i="1"/>
  <c r="J3459" i="1"/>
  <c r="K3459" i="1"/>
  <c r="J3460" i="1"/>
  <c r="K3460" i="1"/>
  <c r="J3461" i="1"/>
  <c r="K3461" i="1"/>
  <c r="J3462" i="1"/>
  <c r="K3462" i="1"/>
  <c r="J3463" i="1"/>
  <c r="K3463" i="1"/>
  <c r="J3464" i="1"/>
  <c r="K3464" i="1"/>
  <c r="J3465" i="1"/>
  <c r="K3465" i="1"/>
  <c r="J3466" i="1"/>
  <c r="K3466" i="1"/>
  <c r="J3467" i="1"/>
  <c r="K3467" i="1"/>
  <c r="J3468" i="1"/>
  <c r="K3468" i="1"/>
  <c r="J3469" i="1"/>
  <c r="K3469" i="1"/>
  <c r="J3470" i="1"/>
  <c r="K3470" i="1"/>
  <c r="J3471" i="1"/>
  <c r="K3471" i="1"/>
  <c r="J3472" i="1"/>
  <c r="K3472" i="1"/>
  <c r="J3473" i="1"/>
  <c r="K3473" i="1"/>
  <c r="J3474" i="1"/>
  <c r="K3474" i="1"/>
  <c r="J3475" i="1"/>
  <c r="K3475" i="1"/>
  <c r="J3476" i="1"/>
  <c r="K3476" i="1"/>
  <c r="J3477" i="1"/>
  <c r="K3477" i="1"/>
  <c r="J3478" i="1"/>
  <c r="K3478" i="1"/>
  <c r="J3479" i="1"/>
  <c r="K3479" i="1"/>
  <c r="J3480" i="1"/>
  <c r="K3480" i="1"/>
  <c r="J3481" i="1"/>
  <c r="K3481" i="1"/>
  <c r="J3482" i="1"/>
  <c r="K3482" i="1"/>
  <c r="J3483" i="1"/>
  <c r="K3483" i="1"/>
  <c r="J3484" i="1"/>
  <c r="K3484" i="1"/>
  <c r="J3485" i="1"/>
  <c r="K3485" i="1"/>
  <c r="J3486" i="1"/>
  <c r="K3486" i="1"/>
  <c r="J3487" i="1"/>
  <c r="K3487" i="1"/>
  <c r="J3488" i="1"/>
  <c r="K3488" i="1"/>
  <c r="J3489" i="1"/>
  <c r="K3489" i="1"/>
  <c r="J3490" i="1"/>
  <c r="K3490" i="1"/>
  <c r="J3491" i="1"/>
  <c r="K3491" i="1"/>
  <c r="J3492" i="1"/>
  <c r="K3492" i="1"/>
  <c r="J3493" i="1"/>
  <c r="K3493" i="1"/>
  <c r="J3494" i="1"/>
  <c r="K3494" i="1"/>
  <c r="J3495" i="1"/>
  <c r="K3495" i="1"/>
  <c r="J3496" i="1"/>
  <c r="K3496" i="1"/>
  <c r="J3497" i="1"/>
  <c r="K3497" i="1"/>
  <c r="J3498" i="1"/>
  <c r="K3498" i="1"/>
  <c r="J3499" i="1"/>
  <c r="K3499" i="1"/>
  <c r="J3500" i="1"/>
  <c r="K3500" i="1"/>
  <c r="J3501" i="1"/>
  <c r="K3501" i="1"/>
  <c r="J3502" i="1"/>
  <c r="K3502" i="1"/>
  <c r="J3503" i="1"/>
  <c r="K3503" i="1"/>
  <c r="J3504" i="1"/>
  <c r="K3504" i="1"/>
  <c r="J3505" i="1"/>
  <c r="K3505" i="1"/>
  <c r="J3506" i="1"/>
  <c r="K3506" i="1"/>
  <c r="J3507" i="1"/>
  <c r="K3507" i="1"/>
  <c r="J3508" i="1"/>
  <c r="K3508" i="1"/>
  <c r="J3509" i="1"/>
  <c r="K3509" i="1"/>
  <c r="J3510" i="1"/>
  <c r="K3510" i="1"/>
  <c r="J3511" i="1"/>
  <c r="K3511" i="1"/>
  <c r="J3512" i="1"/>
  <c r="K3512" i="1"/>
  <c r="J3513" i="1"/>
  <c r="K3513" i="1"/>
  <c r="J3514" i="1"/>
  <c r="K3514" i="1"/>
  <c r="J3515" i="1"/>
  <c r="K3515" i="1"/>
  <c r="J3516" i="1"/>
  <c r="K3516" i="1"/>
  <c r="J3517" i="1"/>
  <c r="K3517" i="1"/>
  <c r="J3518" i="1"/>
  <c r="K3518" i="1"/>
  <c r="J3519" i="1"/>
  <c r="K3519" i="1"/>
  <c r="J3520" i="1"/>
  <c r="K3520" i="1"/>
  <c r="J3521" i="1"/>
  <c r="K3521" i="1"/>
  <c r="J3522" i="1"/>
  <c r="K3522" i="1"/>
  <c r="J3523" i="1"/>
  <c r="K3523" i="1"/>
  <c r="J3524" i="1"/>
  <c r="K3524" i="1"/>
  <c r="J3525" i="1"/>
  <c r="K3525" i="1"/>
  <c r="J3526" i="1"/>
  <c r="K3526" i="1"/>
  <c r="J3527" i="1"/>
  <c r="K3527" i="1"/>
  <c r="J3528" i="1"/>
  <c r="K3528" i="1"/>
  <c r="J3529" i="1"/>
  <c r="K3529" i="1"/>
  <c r="J3530" i="1"/>
  <c r="K3530" i="1"/>
  <c r="J3531" i="1"/>
  <c r="K3531" i="1"/>
  <c r="J3532" i="1"/>
  <c r="K3532" i="1"/>
  <c r="J3533" i="1"/>
  <c r="K3533" i="1"/>
  <c r="J3534" i="1"/>
  <c r="K3534" i="1"/>
  <c r="J3535" i="1"/>
  <c r="K3535" i="1"/>
  <c r="J3536" i="1"/>
  <c r="K3536" i="1"/>
  <c r="J3537" i="1"/>
  <c r="K3537" i="1"/>
  <c r="J3538" i="1"/>
  <c r="K3538" i="1"/>
  <c r="J3539" i="1"/>
  <c r="K3539" i="1"/>
  <c r="J3540" i="1"/>
  <c r="K3540" i="1"/>
  <c r="J3541" i="1"/>
  <c r="K3541" i="1"/>
  <c r="J3542" i="1"/>
  <c r="K3542" i="1"/>
  <c r="J3543" i="1"/>
  <c r="K3543" i="1"/>
  <c r="J3544" i="1"/>
  <c r="K3544" i="1"/>
  <c r="J3545" i="1"/>
  <c r="K3545" i="1"/>
  <c r="J3546" i="1"/>
  <c r="K3546" i="1"/>
  <c r="J3547" i="1"/>
  <c r="K3547" i="1"/>
  <c r="J3548" i="1"/>
  <c r="K3548" i="1"/>
  <c r="J3549" i="1"/>
  <c r="K3549" i="1"/>
  <c r="J3550" i="1"/>
  <c r="K3550" i="1"/>
  <c r="J3551" i="1"/>
  <c r="K3551" i="1"/>
  <c r="J3552" i="1"/>
  <c r="K3552" i="1"/>
  <c r="J3553" i="1"/>
  <c r="K3553" i="1"/>
  <c r="J3554" i="1"/>
  <c r="K3554" i="1"/>
  <c r="J3555" i="1"/>
  <c r="K3555" i="1"/>
  <c r="J3556" i="1"/>
  <c r="K3556" i="1"/>
  <c r="J3557" i="1"/>
  <c r="K3557" i="1"/>
  <c r="J3558" i="1"/>
  <c r="K3558" i="1"/>
  <c r="J3559" i="1"/>
  <c r="K3559" i="1"/>
  <c r="J3560" i="1"/>
  <c r="K3560" i="1"/>
  <c r="J3561" i="1"/>
  <c r="K3561" i="1"/>
  <c r="J3562" i="1"/>
  <c r="K3562" i="1"/>
  <c r="J3563" i="1"/>
  <c r="K3563" i="1"/>
  <c r="J3564" i="1"/>
  <c r="K3564" i="1"/>
  <c r="J3565" i="1"/>
  <c r="K3565" i="1"/>
  <c r="J3566" i="1"/>
  <c r="K3566" i="1"/>
  <c r="J3567" i="1"/>
  <c r="K3567" i="1"/>
  <c r="J3568" i="1"/>
  <c r="K3568" i="1"/>
  <c r="J3569" i="1"/>
  <c r="K3569" i="1"/>
  <c r="J3570" i="1"/>
  <c r="K3570" i="1"/>
  <c r="J3571" i="1"/>
  <c r="K3571" i="1"/>
  <c r="J3572" i="1"/>
  <c r="K3572" i="1"/>
  <c r="J3573" i="1"/>
  <c r="K3573" i="1"/>
  <c r="J3574" i="1"/>
  <c r="K3574" i="1"/>
  <c r="J3575" i="1"/>
  <c r="K3575" i="1"/>
  <c r="J3576" i="1"/>
  <c r="K3576" i="1"/>
  <c r="J3577" i="1"/>
  <c r="K3577" i="1"/>
  <c r="J3578" i="1"/>
  <c r="K3578" i="1"/>
  <c r="J3579" i="1"/>
  <c r="K3579" i="1"/>
  <c r="J3580" i="1"/>
  <c r="K3580" i="1"/>
  <c r="J3581" i="1"/>
  <c r="K3581" i="1"/>
  <c r="K5" i="1"/>
  <c r="J5" i="1"/>
  <c r="C25" i="2" l="1"/>
</calcChain>
</file>

<file path=xl/sharedStrings.xml><?xml version="1.0" encoding="utf-8"?>
<sst xmlns="http://schemas.openxmlformats.org/spreadsheetml/2006/main" count="17956" uniqueCount="1559">
  <si>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</si>
  <si>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</si>
  <si>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</si>
  <si>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</si>
  <si>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</si>
  <si>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</si>
  <si>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</si>
  <si>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</si>
  <si>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</si>
  <si>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</si>
  <si>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</si>
  <si>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</si>
  <si>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</si>
  <si>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</si>
  <si>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</si>
  <si>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</si>
  <si>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</si>
  <si>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</si>
  <si>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</si>
  <si>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</si>
  <si>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</si>
  <si>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</si>
  <si>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</si>
  <si>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</si>
  <si>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</si>
  <si>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</si>
  <si>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</si>
  <si>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</si>
  <si>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</si>
  <si>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</si>
  <si>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</si>
  <si>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</si>
  <si>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</si>
  <si>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</si>
  <si>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</si>
  <si>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</si>
  <si>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</si>
  <si>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</si>
  <si>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</si>
  <si>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</si>
  <si>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</si>
  <si>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</si>
  <si>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</si>
  <si>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</si>
  <si>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</si>
  <si>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</si>
  <si>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</si>
  <si>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</si>
  <si>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</si>
  <si>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</si>
  <si>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</si>
  <si>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</si>
  <si>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</si>
  <si>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</si>
  <si>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</si>
  <si>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</si>
  <si>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</si>
  <si>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</si>
  <si>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</si>
  <si>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</si>
  <si>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</si>
  <si>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</si>
  <si>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</si>
  <si>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</si>
  <si>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</si>
  <si>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</si>
  <si>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</si>
  <si>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</si>
  <si>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</si>
  <si>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</si>
  <si>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</si>
  <si>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</si>
  <si>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</si>
  <si>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</si>
  <si>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</si>
  <si>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</si>
  <si>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</si>
  <si>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</si>
  <si>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</si>
  <si>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</si>
  <si>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</si>
  <si>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</si>
  <si>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</si>
  <si>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</si>
  <si>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</si>
  <si>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</si>
  <si>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</si>
  <si>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</si>
  <si>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</si>
  <si>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</si>
  <si>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</si>
  <si>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</si>
  <si>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</si>
  <si>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</si>
  <si>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</si>
  <si>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</si>
  <si>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</si>
  <si>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</si>
  <si>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</si>
  <si>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</si>
  <si>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</si>
  <si>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</si>
  <si>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</si>
  <si>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</si>
  <si>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</si>
  <si>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</si>
  <si>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</si>
  <si>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</si>
  <si>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</si>
  <si>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</si>
  <si>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</si>
  <si>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</si>
  <si>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</si>
  <si>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</si>
  <si>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</si>
  <si>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</si>
  <si>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</si>
  <si>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</si>
  <si>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</si>
  <si>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</si>
  <si>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</si>
  <si>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</si>
  <si>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</si>
  <si>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</si>
  <si>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</si>
  <si>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</si>
  <si>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</si>
  <si>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</si>
  <si>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</si>
  <si>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</si>
  <si>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</si>
  <si>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</si>
  <si>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</si>
  <si>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</si>
  <si>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</si>
  <si>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</si>
  <si>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</si>
  <si>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</si>
  <si>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</si>
  <si>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</si>
  <si>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</si>
  <si>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</si>
  <si>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</si>
  <si>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</si>
  <si>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</si>
  <si>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</si>
  <si>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</si>
  <si>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</si>
  <si>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</si>
  <si>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</si>
  <si>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</si>
  <si>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</si>
  <si>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</si>
  <si>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</si>
  <si>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</si>
  <si>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</si>
  <si>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</si>
  <si>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</si>
  <si>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</si>
  <si>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</si>
  <si>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</si>
  <si>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</si>
  <si>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</si>
  <si>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</si>
  <si>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</si>
  <si>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</si>
  <si>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</si>
  <si>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</si>
  <si>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</si>
  <si>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</si>
  <si>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</si>
  <si>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</si>
  <si>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</si>
  <si>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</si>
  <si>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</si>
  <si>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</si>
  <si>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</si>
  <si>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</si>
  <si>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</si>
  <si>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</si>
  <si>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</si>
  <si>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</si>
  <si>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</si>
  <si>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</si>
  <si>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</si>
  <si>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</si>
  <si>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</si>
  <si>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</si>
  <si>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</si>
  <si>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</si>
  <si>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</si>
  <si>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</si>
  <si>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</si>
  <si>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</si>
  <si>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</si>
  <si>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</si>
  <si>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</si>
  <si>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</si>
  <si>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</si>
  <si>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</si>
  <si>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</si>
  <si>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</si>
  <si>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</si>
  <si>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</si>
  <si>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</si>
  <si>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</si>
  <si>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</si>
  <si>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</si>
  <si>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</si>
  <si>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</si>
  <si>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</si>
  <si>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</si>
  <si>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</si>
  <si>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</si>
  <si>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</si>
  <si>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</si>
  <si>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</si>
  <si>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</si>
  <si>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</si>
  <si>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</si>
  <si>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</si>
  <si>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</si>
  <si>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</si>
  <si>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</si>
  <si>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</si>
  <si>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</si>
  <si>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</si>
  <si>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</si>
  <si>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</si>
  <si>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</si>
  <si>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</si>
  <si>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</si>
  <si>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</si>
  <si>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</si>
  <si>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</si>
  <si>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</si>
  <si>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</si>
  <si>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</si>
  <si>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</si>
  <si>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</si>
  <si>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</si>
  <si>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</si>
  <si>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</si>
  <si>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</si>
  <si>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</si>
  <si>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</si>
  <si>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</si>
  <si>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</si>
  <si>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</si>
  <si>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</si>
  <si>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</si>
  <si>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</si>
  <si>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</si>
  <si>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</si>
  <si>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</si>
  <si>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</si>
  <si>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</si>
  <si>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</si>
  <si>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</si>
  <si>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</si>
  <si>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</si>
  <si>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</si>
  <si>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</si>
  <si>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</si>
  <si>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</si>
  <si>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</si>
  <si>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</si>
  <si>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</si>
  <si>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</si>
  <si>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</si>
  <si>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</si>
  <si>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</si>
  <si>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</si>
  <si>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</si>
  <si>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</si>
  <si>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</si>
  <si>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</si>
  <si>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</si>
  <si>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</si>
  <si>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</si>
  <si>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</si>
  <si>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</si>
  <si>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</si>
  <si>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</si>
  <si>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</si>
  <si>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</si>
  <si>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</si>
  <si>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</si>
  <si>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</si>
  <si>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</si>
  <si>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</si>
  <si>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</si>
  <si>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</si>
  <si>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</si>
  <si>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</si>
  <si>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</si>
  <si>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</si>
  <si>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</si>
  <si>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</si>
  <si>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</si>
  <si>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</si>
  <si>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</si>
  <si>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</si>
  <si>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</si>
  <si>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</si>
  <si>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</si>
  <si>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</si>
  <si>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</si>
  <si>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</si>
  <si>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</si>
  <si>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</si>
  <si>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</si>
  <si>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</si>
  <si>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</si>
  <si>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</si>
  <si>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</si>
  <si>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</si>
  <si>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</si>
  <si>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</si>
  <si>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</si>
  <si>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</si>
  <si>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</si>
  <si>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</si>
  <si>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</si>
  <si>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</si>
  <si>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</si>
  <si>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</si>
  <si>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</si>
  <si>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</si>
  <si>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</si>
  <si>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</si>
  <si>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</si>
  <si>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</si>
  <si>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</si>
  <si>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</si>
  <si>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</si>
  <si>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</si>
  <si>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</si>
  <si>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</si>
  <si>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</si>
  <si>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</si>
  <si>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</si>
  <si>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</si>
  <si>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</si>
  <si>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</si>
  <si>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</si>
  <si>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</si>
  <si>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</si>
  <si>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</si>
  <si>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</si>
  <si>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</si>
  <si>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</si>
  <si>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</si>
  <si>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</si>
  <si>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</si>
  <si>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</si>
  <si>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</si>
  <si>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</si>
  <si>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</si>
  <si>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</si>
  <si>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</si>
  <si>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</si>
  <si>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</si>
  <si>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</si>
  <si>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</si>
  <si>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</si>
  <si>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</si>
  <si>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</si>
  <si>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</si>
  <si>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</si>
  <si>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</si>
  <si>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</si>
  <si>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</si>
  <si>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</si>
  <si>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</si>
  <si>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</si>
  <si>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</si>
  <si>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</si>
  <si>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</si>
  <si>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</si>
  <si>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</si>
  <si>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</si>
  <si>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</si>
  <si>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</si>
  <si>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</si>
  <si>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</si>
  <si>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</si>
  <si>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</si>
  <si>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</si>
  <si>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</si>
  <si>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</si>
  <si>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</si>
  <si>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</si>
  <si>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</si>
  <si>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</si>
  <si>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</si>
  <si>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</si>
  <si>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</si>
  <si>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</si>
  <si>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</si>
  <si>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</si>
  <si>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</si>
  <si>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</si>
  <si>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</si>
  <si>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</si>
  <si>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</si>
  <si>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</si>
  <si>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</si>
  <si>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</si>
  <si>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</si>
  <si>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</si>
  <si>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</si>
  <si>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</si>
  <si>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</si>
  <si>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</si>
  <si>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</si>
  <si>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</si>
  <si>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</si>
  <si>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</si>
  <si>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</si>
  <si>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</si>
  <si>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</si>
  <si>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</si>
  <si>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</si>
  <si>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</si>
  <si>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</si>
  <si>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</si>
  <si>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</si>
  <si>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</si>
  <si>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</si>
  <si>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</si>
  <si>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</si>
  <si>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</si>
  <si>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</si>
  <si>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</si>
  <si>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</si>
  <si>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</si>
  <si>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</si>
  <si>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</si>
  <si>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</si>
  <si>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</si>
  <si>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</si>
  <si>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</si>
  <si>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</si>
  <si>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</si>
  <si>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</si>
  <si>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</si>
  <si>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</si>
  <si>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</si>
  <si>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</si>
  <si>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</si>
  <si>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</si>
  <si>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</si>
  <si>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</si>
  <si>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</si>
  <si>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</si>
  <si>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</si>
  <si>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</si>
  <si>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</si>
  <si>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</si>
  <si>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</si>
  <si>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</si>
  <si>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</si>
  <si>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</si>
  <si>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</si>
  <si>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</si>
  <si>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</si>
  <si>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</si>
  <si>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</si>
  <si>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</si>
  <si>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</si>
  <si>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</si>
  <si>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</si>
  <si>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</si>
  <si>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</si>
  <si>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</si>
  <si>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</si>
  <si>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</si>
  <si>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</si>
  <si>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</si>
  <si>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</si>
  <si>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</si>
  <si>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</si>
  <si>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</si>
  <si>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</si>
  <si>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</si>
  <si>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</si>
  <si>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</si>
  <si>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</si>
  <si>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</si>
  <si>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</si>
  <si>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</si>
  <si>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</si>
  <si>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</si>
  <si>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</si>
  <si>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</si>
  <si>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</si>
  <si>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</si>
  <si>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</si>
  <si>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</si>
  <si>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</si>
  <si>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</si>
  <si>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</si>
  <si>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</si>
  <si>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</si>
  <si>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</si>
  <si>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</si>
  <si>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</si>
  <si>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</si>
  <si>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</si>
  <si>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</si>
  <si>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</si>
  <si>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</si>
  <si>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</si>
  <si>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</si>
  <si>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</si>
  <si>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</si>
  <si>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</si>
  <si>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</si>
  <si>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</si>
  <si>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</si>
  <si>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</si>
  <si>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</si>
  <si>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</si>
  <si>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</si>
  <si>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</si>
  <si>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</si>
  <si>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</si>
  <si>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</si>
  <si>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</si>
  <si>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</si>
  <si>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</si>
  <si>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</si>
  <si>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</si>
  <si>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</si>
  <si>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</si>
  <si>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</si>
  <si>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</si>
  <si>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</si>
  <si>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</si>
  <si>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</si>
  <si>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</si>
  <si>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</si>
  <si>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</si>
  <si>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</si>
  <si>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</si>
  <si>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</si>
  <si>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</si>
  <si>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</si>
  <si>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</si>
  <si>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</si>
  <si>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</si>
  <si>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</si>
  <si>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</si>
  <si>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</si>
  <si>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</si>
  <si>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</si>
  <si>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</si>
  <si>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</si>
  <si>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</si>
  <si>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</si>
  <si>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</si>
  <si>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</si>
  <si>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</si>
  <si>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</si>
  <si>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</si>
  <si>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</si>
  <si>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</si>
  <si>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</si>
  <si>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</si>
  <si>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</si>
  <si>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</si>
  <si>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</si>
  <si>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</si>
  <si>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</si>
  <si>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</si>
  <si>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</si>
  <si>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</si>
  <si>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</si>
  <si>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</si>
  <si>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</si>
  <si>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</si>
  <si>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</si>
  <si>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</si>
  <si>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</si>
  <si>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</si>
  <si>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</si>
  <si>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</si>
  <si>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</si>
  <si>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</si>
  <si>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</si>
  <si>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</si>
  <si>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</si>
  <si>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</si>
  <si>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</si>
  <si>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</si>
  <si>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</si>
  <si>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</si>
  <si>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</si>
  <si>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</si>
  <si>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</si>
  <si>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</si>
  <si>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</si>
  <si>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</si>
  <si>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</si>
  <si>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</si>
  <si>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</si>
  <si>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</si>
  <si>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</si>
  <si>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</si>
  <si>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</si>
  <si>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</si>
  <si>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</si>
  <si>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</si>
  <si>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</si>
  <si>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</si>
  <si>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</si>
  <si>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</si>
  <si>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</si>
  <si>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</si>
  <si>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</si>
  <si>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</si>
  <si>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</si>
  <si>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</si>
  <si>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</si>
  <si>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</si>
  <si>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</si>
  <si>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</si>
  <si>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</si>
  <si>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</si>
  <si>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</si>
  <si>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</si>
  <si>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</si>
  <si>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</si>
  <si>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</si>
  <si>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</si>
  <si>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</si>
  <si>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</si>
  <si>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</si>
  <si>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</si>
  <si>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</si>
  <si>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</si>
  <si>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</si>
  <si>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</si>
  <si>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</si>
  <si>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</si>
  <si>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</si>
  <si>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</si>
  <si>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</si>
  <si>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</si>
  <si>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</si>
  <si>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</si>
  <si>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</si>
  <si>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</si>
  <si>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</si>
  <si>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</si>
  <si>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</si>
  <si>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</si>
  <si>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</si>
  <si>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</si>
  <si>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</si>
  <si>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</si>
  <si>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</si>
  <si>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</si>
  <si>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</si>
  <si>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</si>
  <si>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</si>
  <si>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</si>
  <si>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</si>
  <si>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</si>
  <si>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</si>
  <si>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</si>
  <si>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</si>
  <si>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</si>
  <si>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</si>
  <si>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</si>
  <si>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</si>
  <si>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</si>
  <si>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</si>
  <si>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</si>
  <si>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</si>
  <si>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</si>
  <si>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</si>
  <si>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</si>
  <si>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</si>
  <si>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</si>
  <si>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</si>
  <si>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</si>
  <si>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</si>
  <si>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</si>
  <si>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</si>
  <si>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</si>
  <si>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</si>
  <si>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</si>
  <si>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</si>
  <si>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</si>
  <si>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</si>
  <si>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</si>
  <si>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</si>
  <si>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</si>
  <si>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</si>
  <si>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</si>
  <si>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</si>
  <si>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</si>
  <si>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</si>
  <si>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</si>
  <si>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</si>
  <si>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</si>
  <si>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</si>
  <si>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</si>
  <si>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</si>
  <si>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</si>
  <si>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</si>
  <si>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</si>
  <si>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</si>
  <si>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</si>
  <si>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</si>
  <si>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</si>
  <si>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</si>
  <si>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</si>
  <si>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</si>
  <si>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</si>
  <si>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</si>
  <si>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</si>
  <si>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</si>
  <si>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</si>
  <si>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</si>
  <si>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</si>
  <si>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</si>
  <si>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</si>
  <si>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</si>
  <si>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</si>
  <si>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</si>
  <si>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</si>
  <si>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</si>
  <si>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</si>
  <si>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</si>
  <si>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</si>
  <si>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</si>
  <si>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</si>
  <si>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</si>
  <si>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</si>
  <si>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</si>
  <si>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</si>
  <si>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</si>
  <si>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</si>
  <si>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</si>
  <si>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</si>
  <si>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</si>
  <si>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</si>
  <si>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</si>
  <si>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</si>
  <si>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</si>
  <si>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</si>
  <si>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</si>
  <si>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</si>
  <si>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</si>
  <si>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</si>
  <si>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</si>
  <si>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</si>
  <si>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</si>
  <si>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</si>
  <si>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</si>
  <si>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</si>
  <si>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</si>
  <si>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</si>
  <si>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</si>
  <si>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</si>
  <si>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</si>
  <si>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</si>
  <si>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</si>
  <si>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</si>
  <si>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</si>
  <si>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</si>
  <si>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</si>
  <si>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</si>
  <si>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</si>
  <si>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</si>
  <si>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</si>
  <si>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</si>
  <si>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</si>
  <si>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</si>
  <si>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</si>
  <si>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</si>
  <si>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</si>
  <si>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</si>
  <si>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</si>
  <si>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</si>
  <si>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</si>
  <si>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</si>
  <si>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</si>
  <si>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</si>
  <si>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</si>
  <si>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</si>
  <si>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</si>
  <si>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</si>
  <si>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</si>
  <si>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</si>
  <si>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</si>
  <si>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</si>
  <si>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</si>
  <si>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</si>
  <si>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</si>
  <si>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</si>
  <si>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</si>
  <si>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</si>
  <si>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</si>
  <si>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</si>
  <si>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</si>
  <si>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</si>
  <si>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</si>
  <si>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</si>
  <si>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</si>
  <si>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</si>
  <si>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</si>
  <si>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</si>
  <si>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</si>
  <si>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</si>
  <si>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</si>
  <si>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</si>
  <si>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</si>
  <si>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</si>
  <si>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</si>
  <si>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</si>
  <si>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</si>
  <si>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</si>
  <si>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</si>
  <si>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</si>
  <si>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</si>
  <si>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</si>
  <si>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</si>
  <si>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</si>
  <si>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</si>
  <si>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</si>
  <si>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</si>
  <si>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</si>
  <si>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</si>
  <si>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</si>
  <si>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</si>
  <si>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</si>
  <si>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</si>
  <si>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</si>
  <si>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</si>
  <si>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</si>
  <si>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</si>
  <si>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</si>
  <si>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</si>
  <si>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</si>
  <si>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</si>
  <si>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</si>
  <si>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</si>
  <si>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</si>
  <si>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</si>
  <si>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</si>
  <si>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</si>
  <si>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</si>
  <si>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</si>
  <si>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</si>
  <si>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</si>
  <si>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</si>
  <si>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</si>
  <si>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</si>
  <si>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</si>
  <si>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</si>
  <si>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</si>
  <si>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</si>
  <si>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</si>
  <si>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</si>
  <si>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</si>
  <si>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</si>
  <si>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</si>
  <si>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</si>
  <si>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</si>
  <si>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</si>
  <si>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</si>
  <si>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</si>
  <si>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</si>
  <si>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</si>
  <si>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</si>
  <si>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</si>
  <si>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</si>
  <si>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</si>
  <si>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</si>
  <si>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</si>
  <si>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</si>
  <si>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</si>
  <si>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</si>
  <si>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</si>
  <si>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</si>
  <si>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</si>
  <si>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</si>
  <si>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</si>
  <si>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</si>
  <si>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</si>
  <si>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</si>
  <si>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</si>
  <si>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</si>
  <si>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</si>
  <si>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</si>
  <si>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</si>
  <si>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</si>
  <si>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</si>
  <si>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</si>
  <si>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</si>
  <si>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</si>
  <si>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</si>
  <si>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</si>
  <si>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</si>
  <si>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</si>
  <si>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</si>
  <si>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</si>
  <si>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</si>
  <si>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</si>
  <si>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</si>
  <si>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</si>
  <si>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</si>
  <si>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</si>
  <si>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</si>
  <si>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</si>
  <si>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</si>
  <si>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</si>
  <si>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</si>
  <si>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</si>
  <si>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</si>
  <si>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</si>
  <si>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</si>
  <si>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</si>
  <si>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</si>
  <si>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</si>
  <si>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</si>
  <si>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</si>
  <si>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</si>
  <si>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</si>
  <si>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</si>
  <si>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</si>
  <si>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</si>
  <si>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</si>
  <si>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</si>
  <si>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</si>
  <si>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</si>
  <si>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</si>
  <si>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</si>
  <si>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</si>
  <si>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</si>
  <si>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</si>
  <si>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</si>
  <si>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</si>
  <si>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</si>
  <si>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</si>
  <si>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</si>
  <si>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</si>
  <si>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</si>
  <si>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</si>
  <si>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</si>
  <si>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</si>
  <si>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</si>
  <si>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</si>
  <si>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</si>
  <si>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</si>
  <si>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</si>
  <si>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</si>
  <si>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</si>
  <si>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</si>
  <si>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</si>
  <si>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</si>
  <si>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</si>
  <si>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</si>
  <si>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</si>
  <si>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</si>
  <si>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</si>
  <si>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</si>
  <si>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</si>
  <si>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</si>
  <si>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</si>
  <si>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</si>
  <si>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</si>
  <si>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</si>
  <si>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</si>
  <si>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</si>
  <si>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</si>
  <si>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</si>
  <si>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</si>
  <si>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</si>
  <si>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</si>
  <si>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</si>
  <si>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</si>
  <si>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</si>
  <si>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</si>
  <si>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</si>
  <si>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</si>
  <si>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</si>
  <si>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</si>
  <si>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</si>
  <si>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</si>
  <si>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</si>
  <si>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</si>
  <si>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</si>
  <si>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</si>
  <si>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</si>
  <si>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</si>
  <si>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</si>
  <si>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</si>
  <si>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</si>
  <si>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</si>
  <si>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</si>
  <si>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</si>
  <si>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</si>
  <si>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</si>
  <si>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</si>
  <si>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</si>
  <si>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</si>
  <si>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</si>
  <si>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</si>
  <si>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</si>
  <si>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</si>
  <si>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</si>
  <si>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</si>
  <si>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</si>
  <si>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</si>
  <si>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</si>
  <si>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</si>
  <si>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</si>
  <si>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</si>
  <si>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</si>
  <si>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</si>
  <si>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</si>
  <si>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</si>
  <si>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</si>
  <si>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</si>
  <si>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</si>
  <si>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</si>
  <si>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</si>
  <si>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</si>
  <si>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</si>
  <si>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</si>
  <si>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</si>
  <si>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</si>
  <si>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</si>
  <si>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</si>
  <si>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</si>
  <si>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</si>
  <si>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</si>
  <si>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</si>
  <si>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</si>
  <si>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</si>
  <si>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</si>
  <si>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</si>
  <si>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</si>
  <si>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</si>
  <si>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</si>
  <si>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</si>
  <si>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</si>
  <si>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</si>
  <si>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</si>
  <si>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</si>
  <si>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</si>
  <si>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</si>
  <si>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</si>
  <si>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</si>
  <si>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</si>
  <si>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</si>
  <si>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</si>
  <si>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</si>
  <si>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</si>
  <si>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</si>
  <si>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</si>
  <si>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</si>
  <si>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</si>
  <si>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</si>
  <si>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</si>
  <si>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</si>
  <si>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</si>
  <si>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</si>
  <si>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</si>
  <si>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</si>
  <si>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</si>
  <si>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</si>
  <si>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</si>
  <si>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</si>
  <si>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</si>
  <si>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</si>
  <si>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</si>
  <si>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</si>
  <si>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</si>
  <si>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</si>
  <si>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</si>
  <si>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</si>
  <si>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</si>
  <si>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</si>
  <si>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</si>
  <si>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</si>
  <si>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</si>
  <si>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</si>
  <si>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</si>
  <si>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</si>
  <si>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</si>
  <si>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</si>
  <si>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</si>
  <si>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</si>
  <si>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</si>
  <si>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</si>
  <si>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</si>
  <si>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</si>
  <si>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</si>
  <si>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</si>
  <si>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</si>
  <si>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</si>
  <si>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</si>
  <si>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</si>
  <si>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</si>
  <si>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</si>
  <si>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</si>
  <si>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</si>
  <si>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</si>
  <si>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</si>
  <si>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</si>
  <si>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</si>
  <si>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</si>
  <si>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</si>
  <si>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</si>
  <si>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</si>
  <si>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</si>
  <si>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</si>
  <si>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</si>
  <si>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</si>
  <si>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</si>
  <si>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</si>
  <si>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</si>
  <si>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</si>
  <si>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</si>
  <si>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</si>
  <si>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</si>
  <si>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</si>
  <si>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</si>
  <si>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</si>
  <si>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</si>
  <si>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</si>
  <si>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</si>
  <si>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</si>
  <si>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</si>
  <si>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</si>
  <si>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</si>
  <si>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</si>
  <si>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</si>
  <si>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</si>
  <si>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</si>
  <si>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</si>
  <si>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</si>
  <si>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</si>
  <si>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</si>
  <si>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</si>
  <si>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</si>
  <si>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</si>
  <si>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</si>
  <si>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</si>
  <si>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</si>
  <si>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</si>
  <si>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</si>
  <si>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</si>
  <si>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</si>
  <si>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</si>
  <si>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</si>
  <si>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</si>
  <si>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</si>
  <si>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</si>
  <si>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</si>
  <si>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</si>
  <si>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</si>
  <si>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</si>
  <si>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</si>
  <si>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</si>
  <si>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</si>
  <si>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</si>
  <si>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</si>
  <si>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</si>
  <si>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</si>
  <si>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</si>
  <si>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</si>
  <si>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</si>
  <si>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</si>
  <si>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</si>
  <si>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</si>
  <si>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</si>
  <si>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</si>
  <si>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</si>
  <si>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</si>
  <si>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</si>
  <si>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</si>
  <si>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</si>
  <si>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</si>
  <si>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</si>
  <si>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</si>
  <si>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</si>
  <si>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</si>
  <si>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</si>
  <si>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</si>
  <si>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</si>
  <si>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</si>
  <si>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</si>
  <si>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</si>
  <si>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</si>
  <si>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</si>
  <si>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</si>
  <si>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</si>
  <si>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</si>
  <si>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</si>
  <si>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</si>
  <si>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</si>
  <si>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</si>
  <si>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</si>
  <si>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</si>
  <si>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</si>
  <si>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</si>
  <si>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</si>
  <si>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</si>
  <si>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</si>
  <si>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</si>
  <si>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</si>
  <si>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</si>
  <si>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</si>
  <si>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</si>
  <si>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</si>
  <si>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</si>
  <si>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</si>
  <si>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</si>
  <si>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</si>
  <si>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</si>
  <si>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</si>
  <si>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</si>
  <si>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</si>
  <si>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</si>
  <si>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</si>
  <si>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</si>
  <si>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</si>
  <si>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</si>
  <si>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</si>
  <si>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</si>
  <si>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</si>
  <si>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</si>
  <si>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</si>
  <si>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</si>
  <si>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</si>
  <si>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</si>
  <si>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</si>
  <si>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</si>
  <si>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</si>
  <si>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</si>
  <si>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</si>
  <si>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</si>
  <si>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</si>
  <si>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</si>
  <si>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</si>
  <si>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</si>
  <si>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</si>
  <si>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</si>
  <si>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</si>
  <si>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</si>
  <si>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</si>
  <si>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</si>
  <si>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</si>
  <si>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</si>
  <si>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</si>
  <si>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</si>
  <si>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</si>
  <si>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</si>
  <si>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</si>
  <si>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</si>
  <si>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</si>
  <si>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</si>
  <si>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</si>
  <si>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</si>
  <si>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</si>
  <si>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</si>
  <si>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</si>
  <si>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</si>
  <si>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</si>
  <si>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</si>
  <si>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</si>
  <si>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</si>
  <si>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</si>
  <si>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</si>
  <si>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</si>
  <si>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</si>
  <si>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</si>
  <si>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</si>
  <si>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</si>
  <si>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</si>
  <si>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</si>
  <si>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</si>
  <si>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</si>
  <si>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</si>
  <si>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</si>
  <si>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</si>
  <si>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</si>
  <si>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</si>
  <si>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</si>
  <si>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</si>
  <si>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</si>
  <si>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</si>
  <si>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</si>
  <si>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</si>
  <si>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</si>
  <si>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</si>
  <si>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</si>
  <si>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</si>
  <si>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</si>
  <si>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</si>
  <si>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</si>
  <si>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</si>
  <si>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</si>
  <si>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</si>
  <si>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</si>
  <si>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</si>
  <si>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</si>
  <si>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</si>
  <si>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</si>
  <si>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</si>
  <si>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</si>
  <si>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</si>
  <si>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</si>
  <si>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</si>
  <si>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</si>
  <si>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</si>
  <si>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</si>
  <si>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</si>
  <si>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</si>
  <si>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</si>
  <si>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</si>
  <si>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</si>
  <si>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</si>
  <si>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</si>
  <si>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</si>
  <si>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</si>
  <si>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</si>
  <si>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</si>
  <si>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</si>
  <si>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</si>
  <si>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</si>
  <si>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</si>
  <si>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</si>
  <si>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</si>
  <si>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</si>
  <si>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</si>
  <si>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</si>
  <si>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</si>
  <si>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</si>
  <si>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</si>
  <si>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</si>
  <si>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</si>
  <si>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</si>
  <si>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</si>
  <si>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</si>
  <si>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</si>
  <si>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</si>
  <si>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</si>
  <si>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</si>
  <si>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</si>
  <si>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</si>
  <si>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</si>
  <si>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</si>
  <si>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</si>
  <si>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</si>
  <si>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</si>
  <si>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</si>
  <si>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</si>
  <si>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</si>
  <si>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</si>
  <si>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</si>
  <si>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</si>
  <si>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</si>
  <si>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</si>
  <si>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</si>
  <si>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</si>
  <si>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</si>
  <si>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</si>
  <si>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</si>
  <si>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</si>
  <si>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</si>
  <si>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</si>
  <si>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</si>
  <si>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</si>
  <si>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</si>
  <si>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</si>
  <si>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</si>
  <si>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</si>
  <si>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</si>
  <si>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</si>
  <si>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</si>
  <si>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</si>
  <si>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</si>
  <si>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</si>
  <si>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</si>
  <si>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</si>
  <si>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</si>
  <si>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</si>
  <si>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</si>
  <si>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</si>
  <si>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</si>
  <si>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</si>
  <si>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</si>
  <si>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</si>
  <si>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</si>
  <si>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</si>
  <si>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</si>
  <si>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</si>
  <si>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</si>
  <si>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</si>
  <si>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</si>
  <si>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</si>
  <si>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</si>
  <si>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</si>
  <si>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</si>
  <si>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</si>
  <si>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</si>
  <si>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</si>
  <si>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</si>
  <si>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</si>
  <si>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</si>
  <si>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</si>
  <si>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</si>
  <si>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</si>
  <si>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</si>
  <si>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</si>
  <si>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</si>
  <si>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</si>
  <si>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</si>
  <si>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</si>
  <si>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</si>
  <si>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</si>
  <si>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</si>
  <si>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</si>
  <si>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</si>
  <si>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</si>
  <si>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</si>
  <si>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</si>
  <si>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</si>
  <si>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</si>
  <si>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</si>
  <si>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</si>
  <si>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</si>
  <si>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</si>
  <si>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</si>
  <si>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</si>
  <si>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</si>
  <si>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</si>
  <si>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</si>
  <si>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</si>
  <si>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</si>
  <si>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</si>
  <si>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</si>
  <si>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</si>
  <si>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</si>
  <si>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</si>
  <si>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</si>
  <si>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</si>
  <si>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</si>
  <si>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</si>
  <si>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</si>
  <si>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</si>
  <si>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</si>
  <si>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</si>
  <si>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</si>
  <si>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</si>
  <si>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</si>
  <si>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</si>
  <si>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</si>
  <si>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</si>
  <si>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</si>
  <si>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</si>
  <si>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</si>
  <si>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</si>
  <si>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</si>
  <si>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</si>
  <si>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</si>
  <si>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</si>
  <si>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</si>
  <si>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</si>
  <si>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</si>
  <si>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</si>
  <si>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</si>
  <si>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</si>
  <si>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</si>
  <si>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</si>
  <si>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</si>
  <si>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</si>
  <si>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</si>
  <si>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</si>
  <si>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</si>
  <si>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</si>
  <si>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</si>
  <si>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</si>
  <si>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</si>
  <si>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</si>
  <si>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</si>
  <si>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</si>
  <si>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</si>
  <si>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</si>
  <si>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</si>
  <si>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</si>
  <si>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</si>
  <si>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</si>
  <si>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</si>
  <si>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</si>
  <si>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</si>
  <si>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</si>
  <si>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</si>
  <si>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</si>
  <si>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</si>
  <si>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</si>
  <si>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</si>
  <si>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</si>
  <si>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</si>
  <si>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</si>
  <si>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</si>
  <si>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car_age</t>
  </si>
  <si>
    <t>price_category</t>
  </si>
  <si>
    <t>total_cars</t>
  </si>
  <si>
    <t>average_price</t>
  </si>
  <si>
    <t>most_common_fuel_type</t>
  </si>
  <si>
    <t>petrol</t>
  </si>
  <si>
    <t>diesel</t>
  </si>
  <si>
    <t>cng</t>
  </si>
  <si>
    <t>automatic</t>
  </si>
  <si>
    <t>manual</t>
  </si>
  <si>
    <t>most_common_transmission_type</t>
  </si>
  <si>
    <t>dealer</t>
  </si>
  <si>
    <t>individual</t>
  </si>
  <si>
    <t>most_common_seller_type</t>
  </si>
  <si>
    <t>average_price_petrol</t>
  </si>
  <si>
    <t>average_price_diesel</t>
  </si>
  <si>
    <t>average_price_cng</t>
  </si>
  <si>
    <t>cars_older_than_10_years</t>
  </si>
  <si>
    <t>percentage_of_first_owners</t>
  </si>
  <si>
    <t>Row Labels</t>
  </si>
  <si>
    <t>Grand Total</t>
  </si>
  <si>
    <t>Average of selling_price</t>
  </si>
  <si>
    <t>Count of transmission</t>
  </si>
  <si>
    <t>Count of year</t>
  </si>
  <si>
    <t>Average Price by Fuel Type</t>
  </si>
  <si>
    <t>Count of Cars by Transmission</t>
  </si>
  <si>
    <t>Year-wise Car Count</t>
  </si>
  <si>
    <t>Seller Type vs Average Price</t>
  </si>
  <si>
    <t>Total Cars</t>
  </si>
  <si>
    <t>Average Price</t>
  </si>
  <si>
    <t>Most Used Fuel</t>
  </si>
  <si>
    <t>Phase 1: Data Preparation</t>
  </si>
  <si>
    <t>Percentage First Owners</t>
  </si>
  <si>
    <t>Chart 1: Bar Chart</t>
  </si>
  <si>
    <t>Chart 2: Pie Chart</t>
  </si>
  <si>
    <t>Chart 3: Line Chart</t>
  </si>
  <si>
    <t>Chart 4: Column Chart</t>
  </si>
  <si>
    <t>Slicer</t>
  </si>
  <si>
    <t>A majority of cars fall under the Budget and Mid Range categories, indicating higher demand for affordable vehicles</t>
  </si>
  <si>
    <t>Manual transmission vehicles dominate the dataset, suggesting user preference for cost-effective options</t>
  </si>
  <si>
    <t>Cars sold by dealers have a higher average selling price compared to individual sellers</t>
  </si>
  <si>
    <t>Phase 2: Analytical Questions</t>
  </si>
  <si>
    <t>Phase 3: Pivot Tables</t>
  </si>
  <si>
    <t>Phase 4: Dashboard Requirements</t>
  </si>
  <si>
    <t>Phase 5: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</si>
</sst>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0" borderId="0" xfId="0" applyAlignment="1">
      <alignment horizontal="right"/>
    </xf>
    <xf numFmtId="2" fontId="0" fillId="0" borderId="0" xfId="0" applyNumberFormat="1" applyAlignment="1">
      <alignment horizontal="right"/>
    </xf>
    <xf numFmtId="10"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2" fontId="1" fillId="0" borderId="0" xfId="0" applyNumberFormat="1" applyFont="1"/>
    <xf numFmtId="0" fontId="0" fillId="0" borderId="0" xfId="0" applyFont="1" applyAlignment="1">
      <alignment horizontal="right"/>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[unlox.xlsx]pivot_tables!PivotTable2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pivot_tables!$F$5</c:f>
              <c:strCache>
                <c:ptCount val="1"/>
                <c:pt idx="0">
                  <c:v>Total</c:v>
                </c:pt>
              </c:strCache>
            </c:strRef>
          </c:tx>
          <c:spPr>
            <a:solidFill>
              <a:schemeClr val="accent1"/>
            </a:solidFill>
            <a:ln>
              <a:noFill/>
            </a:ln>
            <a:effectLst/>
          </c:spPr>
          <c:invertIfNegative val="0"/>
          <c:cat>
            <c:strRef>
              <c:f>pivot_tables!$E$6:$E$8</c:f>
              <c:strCache>
                <c:ptCount val="2"/>
                <c:pt idx="0">
                  <c:v>Automatic</c:v>
                </c:pt>
                <c:pt idx="1">
                  <c:v>Manual</c:v>
                </c:pt>
              </c:strCache>
            </c:strRef>
          </c:cat>
          <c:val>
            <c:numRef>
              <c:f>pivot_tables!$F$6:$F$8</c:f>
              <c:numCache>
                <c:formatCode>General</c:formatCode>
                <c:ptCount val="2"/>
                <c:pt idx="0">
                  <c:v>312</c:v>
                </c:pt>
                <c:pt idx="1">
                  <c:v>3265</c:v>
                </c:pt>
              </c:numCache>
            </c:numRef>
          </c:val>
          <c:extLst>
            <c:ext xmlns:c16="http://schemas.microsoft.com/office/drawing/2014/chart" uri="{C3380CC4-5D6E-409C-BE32-E72D297353CC}">
              <c16:uniqueId val="{00000000-71AE-4D3D-9968-A6FB5998B345}"/>
            </c:ext>
          </c:extLst>
        </c:ser>
        <c:dLbls>
          <c:showLegendKey val="0"/>
          <c:showVal val="0"/>
          <c:showCatName val="0"/>
          <c:showSerName val="0"/>
          <c:showPercent val="0"/>
          <c:showBubbleSize val="0"/>
        </c:dLbls>
        <c:gapWidth val="219"/>
        <c:axId val="1950343103"/>
        <c:axId val="1950346463"/>
      </c:barChart>
      <c:catAx>
        <c:axId val="195034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46463"/>
        <c:crosses val="autoZero"/>
        <c:auto val="1"/>
        <c:lblAlgn val="ctr"/>
        <c:lblOffset val="100"/>
        <c:noMultiLvlLbl val="0"/>
      </c:catAx>
      <c:valAx>
        <c:axId val="195034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4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[unlox.xlsx]pivot_tables!PivotTable4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pivot_tables!$F$15</c:f>
              <c:strCache>
                <c:ptCount val="1"/>
                <c:pt idx="0">
                  <c:v>Total</c:v>
                </c:pt>
              </c:strCache>
            </c:strRef>
          </c:tx>
          <c:spPr>
            <a:solidFill>
              <a:schemeClr val="accent1"/>
            </a:solidFill>
            <a:ln>
              <a:noFill/>
            </a:ln>
            <a:effectLst/>
          </c:spPr>
          <c:invertIfNegative val="0"/>
          <c:cat>
            <c:strRef>
              <c:f>pivot_tables!$E$16:$E$19</c:f>
              <c:strCache>
                <c:ptCount val="3"/>
                <c:pt idx="0">
                  <c:v>Dealer</c:v>
                </c:pt>
                <c:pt idx="1">
                  <c:v>Individual</c:v>
                </c:pt>
                <c:pt idx="2">
                  <c:v>Trustmark Dealer</c:v>
                </c:pt>
              </c:strCache>
            </c:strRef>
          </c:cat>
          <c:val>
            <c:numRef>
              <c:f>pivot_tables!$F$16:$F$19</c:f>
              <c:numCache>
                <c:formatCode>0.00</c:formatCode>
                <c:ptCount val="3"/>
                <c:pt idx="0">
                  <c:v>652699.39044943824</c:v>
                </c:pt>
                <c:pt idx="1">
                  <c:v>424904.02436440677</c:v>
                </c:pt>
                <c:pt idx="2">
                  <c:v>822272.72727272729</c:v>
                </c:pt>
              </c:numCache>
            </c:numRef>
          </c:val>
          <c:extLst>
            <c:ext xmlns:c16="http://schemas.microsoft.com/office/drawing/2014/chart" uri="{C3380CC4-5D6E-409C-BE32-E72D297353CC}">
              <c16:uniqueId val="{00000000-98BB-425A-AF97-CFEC73D39553}"/>
            </c:ext>
          </c:extLst>
        </c:ser>
        <c:dLbls>
          <c:showLegendKey val="0"/>
          <c:showVal val="0"/>
          <c:showCatName val="0"/>
          <c:showSerName val="0"/>
          <c:showPercent val="0"/>
          <c:showBubbleSize val="0"/>
        </c:dLbls>
        <c:gapWidth val="219"/>
        <c:overlap val="-27"/>
        <c:axId val="1581622159"/>
        <c:axId val="1585242639"/>
      </c:barChart>
      <c:catAx>
        <c:axId val="158162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42639"/>
        <c:crosses val="autoZero"/>
        <c:auto val="1"/>
        <c:lblAlgn val="ctr"/>
        <c:lblOffset val="100"/>
        <c:noMultiLvlLbl val="0"/>
      </c:catAx>
      <c:valAx>
        <c:axId val="1585242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2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[unlox.xlsx]pivot_tables!PivotTable1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F-430D-B58D-AB185DA000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F-430D-B58D-AB185DA000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7F-430D-B58D-AB185DA000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7F-430D-B58D-AB185DA000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7F-430D-B58D-AB185DA000B4}"/>
              </c:ext>
            </c:extLst>
          </c:dPt>
          <c:cat>
            <c:strRef>
              <c:f>pivot_tables!$B$6:$B$11</c:f>
              <c:strCache>
                <c:ptCount val="5"/>
                <c:pt idx="0">
                  <c:v>CNG</c:v>
                </c:pt>
                <c:pt idx="1">
                  <c:v>Diesel</c:v>
                </c:pt>
                <c:pt idx="2">
                  <c:v>Electric</c:v>
                </c:pt>
                <c:pt idx="3">
                  <c:v>LPG</c:v>
                </c:pt>
                <c:pt idx="4">
                  <c:v>Petrol</c:v>
                </c:pt>
              </c:strCache>
            </c:strRef>
          </c:cat>
          <c:val>
            <c:numRef>
              <c:f>pivot_tables!$C$6:$C$11</c:f>
              <c:numCache>
                <c:formatCode>0.00</c:formatCode>
                <c:ptCount val="5"/>
                <c:pt idx="0">
                  <c:v>273162.08108108107</c:v>
                </c:pt>
                <c:pt idx="1">
                  <c:v>614001.07499999995</c:v>
                </c:pt>
                <c:pt idx="2">
                  <c:v>310000</c:v>
                </c:pt>
                <c:pt idx="3">
                  <c:v>171818.13636363635</c:v>
                </c:pt>
                <c:pt idx="4">
                  <c:v>335344.34012813045</c:v>
                </c:pt>
              </c:numCache>
            </c:numRef>
          </c:val>
          <c:extLst>
            <c:ext xmlns:c16="http://schemas.microsoft.com/office/drawing/2014/chart" uri="{C3380CC4-5D6E-409C-BE32-E72D297353CC}">
              <c16:uniqueId val="{0000000A-BE7F-430D-B58D-AB185DA000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[unlox.xlsx]pivot_tables!PivotTable3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pivot_tables!$C$15</c:f>
              <c:strCache>
                <c:ptCount val="1"/>
                <c:pt idx="0">
                  <c:v>Total</c:v>
                </c:pt>
              </c:strCache>
            </c:strRef>
          </c:tx>
          <c:spPr>
            <a:ln w="28575" cap="rnd">
              <a:solidFill>
                <a:schemeClr val="accent1"/>
              </a:solidFill>
              <a:round/>
            </a:ln>
            <a:effectLst/>
          </c:spPr>
          <c:marker>
            <c:symbol val="none"/>
          </c:marker>
          <c:cat>
            <c:strRef>
              <c:f>pivot_tables!$B$16:$B$43</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pivot_tables!$C$16:$C$43</c:f>
              <c:numCache>
                <c:formatCode>General</c:formatCode>
                <c:ptCount val="27"/>
                <c:pt idx="0">
                  <c:v>1</c:v>
                </c:pt>
                <c:pt idx="1">
                  <c:v>1</c:v>
                </c:pt>
                <c:pt idx="2">
                  <c:v>2</c:v>
                </c:pt>
                <c:pt idx="3">
                  <c:v>3</c:v>
                </c:pt>
                <c:pt idx="4">
                  <c:v>9</c:v>
                </c:pt>
                <c:pt idx="5">
                  <c:v>9</c:v>
                </c:pt>
                <c:pt idx="6">
                  <c:v>12</c:v>
                </c:pt>
                <c:pt idx="7">
                  <c:v>16</c:v>
                </c:pt>
                <c:pt idx="8">
                  <c:v>18</c:v>
                </c:pt>
                <c:pt idx="9">
                  <c:v>22</c:v>
                </c:pt>
                <c:pt idx="10">
                  <c:v>38</c:v>
                </c:pt>
                <c:pt idx="11">
                  <c:v>61</c:v>
                </c:pt>
                <c:pt idx="12">
                  <c:v>93</c:v>
                </c:pt>
                <c:pt idx="13">
                  <c:v>117</c:v>
                </c:pt>
                <c:pt idx="14">
                  <c:v>129</c:v>
                </c:pt>
                <c:pt idx="15">
                  <c:v>169</c:v>
                </c:pt>
                <c:pt idx="16">
                  <c:v>210</c:v>
                </c:pt>
                <c:pt idx="17">
                  <c:v>247</c:v>
                </c:pt>
                <c:pt idx="18">
                  <c:v>338</c:v>
                </c:pt>
                <c:pt idx="19">
                  <c:v>298</c:v>
                </c:pt>
                <c:pt idx="20">
                  <c:v>321</c:v>
                </c:pt>
                <c:pt idx="21">
                  <c:v>332</c:v>
                </c:pt>
                <c:pt idx="22">
                  <c:v>283</c:v>
                </c:pt>
                <c:pt idx="23">
                  <c:v>346</c:v>
                </c:pt>
                <c:pt idx="24">
                  <c:v>295</c:v>
                </c:pt>
                <c:pt idx="25">
                  <c:v>162</c:v>
                </c:pt>
                <c:pt idx="26">
                  <c:v>45</c:v>
                </c:pt>
              </c:numCache>
            </c:numRef>
          </c:val>
          <c:smooth val="0"/>
          <c:extLst>
            <c:ext xmlns:c16="http://schemas.microsoft.com/office/drawing/2014/chart" uri="{C3380CC4-5D6E-409C-BE32-E72D297353CC}">
              <c16:uniqueId val="{00000000-687B-49C3-A6A9-50CD46F2B772}"/>
            </c:ext>
          </c:extLst>
        </c:ser>
        <c:dLbls>
          <c:showLegendKey val="0"/>
          <c:showVal val="0"/>
          <c:showCatName val="0"/>
          <c:showSerName val="0"/>
          <c:showPercent val="0"/>
          <c:showBubbleSize val="0"/>
        </c:dLbls>
        <c:smooth val="0"/>
        <c:axId val="1581617839"/>
        <c:axId val="1581618319"/>
      </c:lineChart>
      <c:catAx>
        <c:axId val="15816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18319"/>
        <c:crosses val="autoZero"/>
        <c:auto val="1"/>
        <c:lblAlgn val="ctr"/>
        <c:lblOffset val="100"/>
        <c:noMultiLvlLbl val="0"/>
      </c:catAx>
      <c:valAx>
        <c:axId val="158161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1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104775</xdr:colOff>
      <xdr:row>22</xdr:row>
      <xdr:rowOff>76200</xdr:rowOff>
    </xdr:to>
    <xdr:graphicFrame macro="">
      <xdr:nvGraphicFramePr>
        <xdr:cNvPr id="4" name="Chart 3">
          <a:extLst>
            <a:ext uri="{FF2B5EF4-FFF2-40B4-BE49-F238E27FC236}">
              <a16:creationId xmlns:a16="http://schemas.microsoft.com/office/drawing/2014/main" id="{CD9762E3-572B-45BF-B2F2-998611AC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xdr:colOff>
      <xdr:row>25</xdr:row>
      <xdr:rowOff>19050</xdr:rowOff>
    </xdr:from>
    <xdr:to>
      <xdr:col>15</xdr:col>
      <xdr:colOff>309562</xdr:colOff>
      <xdr:row>39</xdr:row>
      <xdr:rowOff>95250</xdr:rowOff>
    </xdr:to>
    <xdr:graphicFrame macro="">
      <xdr:nvGraphicFramePr>
        <xdr:cNvPr id="5" name="Chart 5">
          <a:extLst>
            <a:ext uri="{FF2B5EF4-FFF2-40B4-BE49-F238E27FC236}">
              <a16:creationId xmlns:a16="http://schemas.microsoft.com/office/drawing/2014/main" id="{63986D13-0D1F-4259-ECA5-D01E0096F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xdr:colOff>
      <xdr:row>8</xdr:row>
      <xdr:rowOff>9525</xdr:rowOff>
    </xdr:from>
    <xdr:to>
      <xdr:col>15</xdr:col>
      <xdr:colOff>309562</xdr:colOff>
      <xdr:row>22</xdr:row>
      <xdr:rowOff>85725</xdr:rowOff>
    </xdr:to>
    <xdr:graphicFrame macro="">
      <xdr:nvGraphicFramePr>
        <xdr:cNvPr id="6" name="Chart 3">
          <a:extLst>
            <a:ext uri="{FF2B5EF4-FFF2-40B4-BE49-F238E27FC236}">
              <a16:creationId xmlns:a16="http://schemas.microsoft.com/office/drawing/2014/main" id="{FEA463C4-A191-F87E-10B0-653B78619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9525</xdr:rowOff>
    </xdr:from>
    <xdr:to>
      <xdr:col>7</xdr:col>
      <xdr:colOff>0</xdr:colOff>
      <xdr:row>39</xdr:row>
      <xdr:rowOff>85725</xdr:rowOff>
    </xdr:to>
    <xdr:graphicFrame macro="">
      <xdr:nvGraphicFramePr>
        <xdr:cNvPr id="7" name="Chart 4">
          <a:extLst>
            <a:ext uri="{FF2B5EF4-FFF2-40B4-BE49-F238E27FC236}">
              <a16:creationId xmlns:a16="http://schemas.microsoft.com/office/drawing/2014/main" id="{8B90E59D-5EF8-B690-39D5-B86E88691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8</xdr:row>
      <xdr:rowOff>28575</xdr:rowOff>
    </xdr:from>
    <xdr:to>
      <xdr:col>20</xdr:col>
      <xdr:colOff>0</xdr:colOff>
      <xdr:row>21</xdr:row>
      <xdr:rowOff>76200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5BCF0CE3-D044-4C69-B842-61DBDC5DDC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220700" y="1552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J" refreshedDate="46104.685107870369" createdVersion="8" refreshedVersion="8" minRefreshableVersion="3" recordCount="3577" xr:uid="{10B15009-5F36-4D04-A969-72D0FBE51250}">
  <cacheSource type="worksheet">
    <worksheetSource ref="B4:K3581" sheet="data"/>
  </cacheSource>
  <cacheFields count="10">
    <cacheField name="name" numFmtId="0">
      <sharedItems/>
    </cacheField>
    <cacheField name="year" numFmtId="0">
      <sharedItems containsSemiMixedTypes="0" containsString="0" containsNumber="1" containsInteger="1" minValue="1992" maxValue="2020" count="27">
        <n v="2007"/>
        <n v="2012"/>
        <n v="2017"/>
        <n v="2014"/>
        <n v="2016"/>
        <n v="2015"/>
        <n v="2018"/>
        <n v="2019"/>
        <n v="2013"/>
        <n v="2011"/>
        <n v="2010"/>
        <n v="2009"/>
        <n v="2006"/>
        <n v="1996"/>
        <n v="2005"/>
        <n v="2008"/>
        <n v="2004"/>
        <n v="1998"/>
        <n v="2003"/>
        <n v="2002"/>
        <n v="2020"/>
        <n v="2000"/>
        <n v="1999"/>
        <n v="2001"/>
        <n v="1995"/>
        <n v="1997"/>
        <n v="1992"/>
      </sharedItems>
    </cacheField>
    <cacheField name="selling_price" numFmtId="2">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acheField>
    <cacheField name="car_age" numFmtId="0">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pivotCacheId="1793415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Maruti 800 AC"/>
    <x v="0"/>
    <n v="60000"/>
    <n v="70000"/>
    <x v="0"/>
    <x v="0"/>
    <x v="0"/>
    <s v="First Owner"/>
    <n v="19"/>
    <s v="Budget"/>
  </r>
  <r>
    <s v="Maruti Wagon R LXI Minor"/>
    <x v="0"/>
    <n v="135000"/>
    <n v="50000"/>
    <x v="0"/>
    <x v="0"/>
    <x v="0"/>
    <s v="First Owner"/>
    <n v="19"/>
    <s v="Budget"/>
  </r>
  <r>
    <s v="Hyundai Verna 1.6 SX"/>
    <x v="1"/>
    <n v="600000"/>
    <n v="100000"/>
    <x v="1"/>
    <x v="0"/>
    <x v="0"/>
    <s v="First Owner"/>
    <n v="14"/>
    <s v="Mid Range"/>
  </r>
  <r>
    <s v="Datsun RediGO T Option"/>
    <x v="2"/>
    <n v="250000"/>
    <n v="46000"/>
    <x v="0"/>
    <x v="0"/>
    <x v="0"/>
    <s v="First Owner"/>
    <n v="9"/>
    <s v="Budget"/>
  </r>
  <r>
    <s v="Honda Amaze VX i-DTEC"/>
    <x v="3"/>
    <n v="450000"/>
    <n v="141000"/>
    <x v="1"/>
    <x v="0"/>
    <x v="0"/>
    <s v="Second Owner"/>
    <n v="12"/>
    <s v="Budget"/>
  </r>
  <r>
    <s v="Maruti Alto LX BSIII"/>
    <x v="0"/>
    <n v="140000"/>
    <n v="125000"/>
    <x v="0"/>
    <x v="0"/>
    <x v="0"/>
    <s v="First Owner"/>
    <n v="19"/>
    <s v="Budget"/>
  </r>
  <r>
    <s v="Hyundai Xcent 1.2 Kappa S"/>
    <x v="4"/>
    <n v="550000"/>
    <n v="25000"/>
    <x v="0"/>
    <x v="0"/>
    <x v="0"/>
    <s v="First Owner"/>
    <n v="10"/>
    <s v="Mid Range"/>
  </r>
  <r>
    <s v="Tata Indigo Grand Petrol"/>
    <x v="3"/>
    <n v="240000"/>
    <n v="60000"/>
    <x v="0"/>
    <x v="0"/>
    <x v="0"/>
    <s v="Second Owner"/>
    <n v="12"/>
    <s v="Budget"/>
  </r>
  <r>
    <s v="Hyundai Creta 1.6 VTVT S"/>
    <x v="5"/>
    <n v="850000"/>
    <n v="25000"/>
    <x v="0"/>
    <x v="0"/>
    <x v="0"/>
    <s v="First Owner"/>
    <n v="11"/>
    <s v="Mid Range"/>
  </r>
  <r>
    <s v="Maruti Celerio Green VXI"/>
    <x v="2"/>
    <n v="365000"/>
    <n v="78000"/>
    <x v="2"/>
    <x v="0"/>
    <x v="0"/>
    <s v="First Owner"/>
    <n v="9"/>
    <s v="Budget"/>
  </r>
  <r>
    <s v="Chevrolet Sail 1.2 Base"/>
    <x v="5"/>
    <n v="260000"/>
    <n v="35000"/>
    <x v="0"/>
    <x v="0"/>
    <x v="0"/>
    <s v="First Owner"/>
    <n v="11"/>
    <s v="Budget"/>
  </r>
  <r>
    <s v="Tata Indigo Grand Petrol"/>
    <x v="3"/>
    <n v="250000"/>
    <n v="100000"/>
    <x v="0"/>
    <x v="0"/>
    <x v="0"/>
    <s v="First Owner"/>
    <n v="12"/>
    <s v="Budget"/>
  </r>
  <r>
    <s v="Toyota Corolla Altis 1.8 VL CVT"/>
    <x v="6"/>
    <n v="1650000"/>
    <n v="25000"/>
    <x v="0"/>
    <x v="1"/>
    <x v="1"/>
    <s v="First Owner"/>
    <n v="8"/>
    <s v="Premium"/>
  </r>
  <r>
    <s v="Maruti Ciaz VXi Plus"/>
    <x v="5"/>
    <n v="585000"/>
    <n v="24000"/>
    <x v="0"/>
    <x v="1"/>
    <x v="0"/>
    <s v="First Owner"/>
    <n v="11"/>
    <s v="Mid Range"/>
  </r>
  <r>
    <s v="Hyundai Venue SX Opt Diesel"/>
    <x v="7"/>
    <n v="1195000"/>
    <n v="5000"/>
    <x v="1"/>
    <x v="1"/>
    <x v="0"/>
    <s v="First Owner"/>
    <n v="7"/>
    <s v="Premium"/>
  </r>
  <r>
    <s v="Chevrolet Enjoy TCDi LTZ 7 Seater"/>
    <x v="8"/>
    <n v="390000"/>
    <n v="33000"/>
    <x v="1"/>
    <x v="0"/>
    <x v="0"/>
    <s v="Second Owner"/>
    <n v="13"/>
    <s v="Budget"/>
  </r>
  <r>
    <s v="Jaguar XF 2.2 Litre Luxury"/>
    <x v="3"/>
    <n v="1964999"/>
    <n v="28000"/>
    <x v="1"/>
    <x v="1"/>
    <x v="1"/>
    <s v="First Owner"/>
    <n v="12"/>
    <s v="Premium"/>
  </r>
  <r>
    <s v="Mercedes-Benz New C-Class 220 CDI AT"/>
    <x v="8"/>
    <n v="1425000"/>
    <n v="59000"/>
    <x v="1"/>
    <x v="1"/>
    <x v="1"/>
    <s v="First Owner"/>
    <n v="13"/>
    <s v="Premium"/>
  </r>
  <r>
    <s v="Maruti Vitara Brezza ZDi Plus AMT"/>
    <x v="6"/>
    <n v="975000"/>
    <n v="4500"/>
    <x v="1"/>
    <x v="1"/>
    <x v="1"/>
    <s v="First Owner"/>
    <n v="8"/>
    <s v="Mid Range"/>
  </r>
  <r>
    <s v="Audi Q5 2.0 TDI"/>
    <x v="9"/>
    <n v="1190000"/>
    <n v="175900"/>
    <x v="1"/>
    <x v="1"/>
    <x v="1"/>
    <s v="First Owner"/>
    <n v="15"/>
    <s v="Premium"/>
  </r>
  <r>
    <s v="Honda City V MT"/>
    <x v="6"/>
    <n v="930000"/>
    <n v="14500"/>
    <x v="0"/>
    <x v="1"/>
    <x v="0"/>
    <s v="First Owner"/>
    <n v="8"/>
    <s v="Mid Range"/>
  </r>
  <r>
    <s v="Tata Tigor 1.2 Revotron XT"/>
    <x v="6"/>
    <n v="525000"/>
    <n v="15000"/>
    <x v="0"/>
    <x v="0"/>
    <x v="0"/>
    <s v="First Owner"/>
    <n v="8"/>
    <s v="Mid Range"/>
  </r>
  <r>
    <s v="Audi A6 2.0 TDI  Design Edition"/>
    <x v="8"/>
    <n v="1735000"/>
    <n v="50000"/>
    <x v="1"/>
    <x v="1"/>
    <x v="1"/>
    <s v="First Owner"/>
    <n v="13"/>
    <s v="Premium"/>
  </r>
  <r>
    <s v="Mercedes-Benz New C-Class C 220 CDI Avantgarde"/>
    <x v="1"/>
    <n v="1375000"/>
    <n v="33800"/>
    <x v="1"/>
    <x v="1"/>
    <x v="1"/>
    <s v="Second Owner"/>
    <n v="14"/>
    <s v="Premium"/>
  </r>
  <r>
    <s v="Skoda Superb Ambition 2.0 TDI CR AT"/>
    <x v="9"/>
    <n v="450000"/>
    <n v="130400"/>
    <x v="1"/>
    <x v="1"/>
    <x v="1"/>
    <s v="Second Owner"/>
    <n v="15"/>
    <s v="Budget"/>
  </r>
  <r>
    <s v="Toyota Corolla Altis G AT"/>
    <x v="4"/>
    <n v="900000"/>
    <n v="50000"/>
    <x v="0"/>
    <x v="0"/>
    <x v="1"/>
    <s v="First Owner"/>
    <n v="10"/>
    <s v="Mid Range"/>
  </r>
  <r>
    <s v="Toyota Innova 2.5 G (Diesel) 7 Seater"/>
    <x v="5"/>
    <n v="1300000"/>
    <n v="80000"/>
    <x v="1"/>
    <x v="0"/>
    <x v="0"/>
    <s v="First Owner"/>
    <n v="11"/>
    <s v="Premium"/>
  </r>
  <r>
    <s v="Jeep Compass 1.4 Sport Plus BSIV"/>
    <x v="7"/>
    <n v="1400000"/>
    <n v="10000"/>
    <x v="0"/>
    <x v="0"/>
    <x v="0"/>
    <s v="First Owner"/>
    <n v="7"/>
    <s v="Premium"/>
  </r>
  <r>
    <s v="Mercedes-Benz E-Class E 200 CGI Elegance"/>
    <x v="10"/>
    <n v="850000"/>
    <n v="119000"/>
    <x v="0"/>
    <x v="1"/>
    <x v="1"/>
    <s v="First Owner"/>
    <n v="16"/>
    <s v="Mid Range"/>
  </r>
  <r>
    <s v="Hyundai i10 Magna 1.1L"/>
    <x v="3"/>
    <n v="229999"/>
    <n v="60000"/>
    <x v="0"/>
    <x v="0"/>
    <x v="0"/>
    <s v="Fourth &amp; Above Owner"/>
    <n v="12"/>
    <s v="Budget"/>
  </r>
  <r>
    <s v="BMW 3 Series 320d Sport Line"/>
    <x v="8"/>
    <n v="1550000"/>
    <n v="75800"/>
    <x v="1"/>
    <x v="1"/>
    <x v="1"/>
    <s v="Second Owner"/>
    <n v="13"/>
    <s v="Premium"/>
  </r>
  <r>
    <s v="Audi Q7 35 TDI Quattro Premium"/>
    <x v="11"/>
    <n v="1250000"/>
    <n v="78000"/>
    <x v="1"/>
    <x v="1"/>
    <x v="1"/>
    <s v="Third Owner"/>
    <n v="17"/>
    <s v="Premium"/>
  </r>
  <r>
    <s v="Hyundai Elantra CRDi S"/>
    <x v="1"/>
    <n v="625000"/>
    <n v="40000"/>
    <x v="1"/>
    <x v="0"/>
    <x v="0"/>
    <s v="First Owner"/>
    <n v="14"/>
    <s v="Mid Range"/>
  </r>
  <r>
    <s v="Mahindra Scorpio 1.99 S10"/>
    <x v="3"/>
    <n v="1050000"/>
    <n v="50000"/>
    <x v="1"/>
    <x v="0"/>
    <x v="0"/>
    <s v="First Owner"/>
    <n v="12"/>
    <s v="Premium"/>
  </r>
  <r>
    <s v="Honda City i DTEC V"/>
    <x v="3"/>
    <n v="560000"/>
    <n v="74000"/>
    <x v="1"/>
    <x v="0"/>
    <x v="0"/>
    <s v="Second Owner"/>
    <n v="12"/>
    <s v="Mid Range"/>
  </r>
  <r>
    <s v="Maruti Wagon R VXI BS IV with ABS"/>
    <x v="3"/>
    <n v="290000"/>
    <n v="64000"/>
    <x v="0"/>
    <x v="0"/>
    <x v="0"/>
    <s v="Second Owner"/>
    <n v="12"/>
    <s v="Budget"/>
  </r>
  <r>
    <s v="Maruti Wagon R VXI BS IV"/>
    <x v="1"/>
    <n v="275000"/>
    <n v="60000"/>
    <x v="0"/>
    <x v="0"/>
    <x v="0"/>
    <s v="Second Owner"/>
    <n v="14"/>
    <s v="Budget"/>
  </r>
  <r>
    <s v="Mahindra Scorpio LX"/>
    <x v="11"/>
    <n v="411000"/>
    <n v="120000"/>
    <x v="1"/>
    <x v="0"/>
    <x v="0"/>
    <s v="Second Owner"/>
    <n v="17"/>
    <s v="Budget"/>
  </r>
  <r>
    <s v="Hyundai Santro Xing GLS"/>
    <x v="11"/>
    <n v="150000"/>
    <n v="79000"/>
    <x v="0"/>
    <x v="0"/>
    <x v="0"/>
    <s v="Third Owner"/>
    <n v="17"/>
    <s v="Budget"/>
  </r>
  <r>
    <s v="Hyundai Grand i10 1.2 Kappa Asta"/>
    <x v="7"/>
    <n v="500000"/>
    <n v="15000"/>
    <x v="0"/>
    <x v="0"/>
    <x v="0"/>
    <s v="First Owner"/>
    <n v="7"/>
    <s v="Mid Range"/>
  </r>
  <r>
    <s v="Maruti Alto LXi"/>
    <x v="12"/>
    <n v="100000"/>
    <n v="80000"/>
    <x v="0"/>
    <x v="0"/>
    <x v="0"/>
    <s v="First Owner"/>
    <n v="20"/>
    <s v="Budget"/>
  </r>
  <r>
    <s v="Maruti Swift Dzire VDI Optional"/>
    <x v="2"/>
    <n v="725000"/>
    <n v="18500"/>
    <x v="1"/>
    <x v="1"/>
    <x v="0"/>
    <s v="First Owner"/>
    <n v="9"/>
    <s v="Mid Range"/>
  </r>
  <r>
    <s v="Maruti Eeco 5 Seater AC BSIV"/>
    <x v="6"/>
    <n v="401000"/>
    <n v="10200"/>
    <x v="0"/>
    <x v="1"/>
    <x v="0"/>
    <s v="First Owner"/>
    <n v="8"/>
    <s v="Budget"/>
  </r>
  <r>
    <s v="Hyundai i20 Sportz 1.4 CRDi"/>
    <x v="6"/>
    <n v="750000"/>
    <n v="29000"/>
    <x v="1"/>
    <x v="1"/>
    <x v="0"/>
    <s v="First Owner"/>
    <n v="8"/>
    <s v="Mid Range"/>
  </r>
  <r>
    <s v="Maruti Omni Maruti Omni MPI STD BSIII 5-STR W/ IMMOBILISER"/>
    <x v="6"/>
    <n v="310000"/>
    <n v="28000"/>
    <x v="0"/>
    <x v="1"/>
    <x v="0"/>
    <s v="First Owner"/>
    <n v="8"/>
    <s v="Budget"/>
  </r>
  <r>
    <s v="Maruti Swift ZDi BSIV"/>
    <x v="4"/>
    <n v="665000"/>
    <n v="46000"/>
    <x v="1"/>
    <x v="1"/>
    <x v="0"/>
    <s v="First Owner"/>
    <n v="10"/>
    <s v="Mid Range"/>
  </r>
  <r>
    <s v="Hyundai i20 2015-2017 Sportz Option 1.4 CRDi"/>
    <x v="3"/>
    <n v="465000"/>
    <n v="70000"/>
    <x v="1"/>
    <x v="1"/>
    <x v="0"/>
    <s v="First Owner"/>
    <n v="12"/>
    <s v="Budget"/>
  </r>
  <r>
    <s v="Maruti Alto LXi"/>
    <x v="1"/>
    <n v="160000"/>
    <n v="60000"/>
    <x v="0"/>
    <x v="0"/>
    <x v="0"/>
    <s v="Second Owner"/>
    <n v="14"/>
    <s v="Budget"/>
  </r>
  <r>
    <s v="Mahindra Jeep CL 500 MDI"/>
    <x v="13"/>
    <n v="250000"/>
    <n v="35000"/>
    <x v="1"/>
    <x v="0"/>
    <x v="0"/>
    <s v="Second Owner"/>
    <n v="30"/>
    <s v="Budget"/>
  </r>
  <r>
    <s v="Honda City i DTEC VX"/>
    <x v="3"/>
    <n v="675000"/>
    <n v="90000"/>
    <x v="1"/>
    <x v="1"/>
    <x v="0"/>
    <s v="First Owner"/>
    <n v="12"/>
    <s v="Mid Range"/>
  </r>
  <r>
    <s v="Maruti Wagon R VXI BS IV"/>
    <x v="8"/>
    <n v="300000"/>
    <n v="80000"/>
    <x v="0"/>
    <x v="1"/>
    <x v="0"/>
    <s v="First Owner"/>
    <n v="13"/>
    <s v="Budget"/>
  </r>
  <r>
    <s v="Tata Indica DLS"/>
    <x v="14"/>
    <n v="70000"/>
    <n v="80000"/>
    <x v="1"/>
    <x v="0"/>
    <x v="0"/>
    <s v="First Owner"/>
    <n v="21"/>
    <s v="Budget"/>
  </r>
  <r>
    <s v="Hyundai EON Magna Plus"/>
    <x v="3"/>
    <n v="240000"/>
    <n v="73300"/>
    <x v="0"/>
    <x v="1"/>
    <x v="0"/>
    <s v="Second Owner"/>
    <n v="12"/>
    <s v="Budget"/>
  </r>
  <r>
    <s v="Toyota Etios GD"/>
    <x v="3"/>
    <n v="525000"/>
    <n v="92000"/>
    <x v="1"/>
    <x v="1"/>
    <x v="0"/>
    <s v="First Owner"/>
    <n v="12"/>
    <s v="Mid Range"/>
  </r>
  <r>
    <s v="Maruti Alto LXi"/>
    <x v="11"/>
    <n v="151000"/>
    <n v="66764"/>
    <x v="0"/>
    <x v="1"/>
    <x v="0"/>
    <s v="Second Owner"/>
    <n v="17"/>
    <s v="Budget"/>
  </r>
  <r>
    <s v="Maruti Alto LXi"/>
    <x v="11"/>
    <n v="140000"/>
    <n v="100000"/>
    <x v="0"/>
    <x v="0"/>
    <x v="0"/>
    <s v="First Owner"/>
    <n v="17"/>
    <s v="Budget"/>
  </r>
  <r>
    <s v="Chevrolet Tavera Neo LS B3 - 7(C) seats BSIII"/>
    <x v="10"/>
    <n v="280000"/>
    <n v="350000"/>
    <x v="1"/>
    <x v="0"/>
    <x v="0"/>
    <s v="Second Owner"/>
    <n v="16"/>
    <s v="Budget"/>
  </r>
  <r>
    <s v="Toyota Corolla Altis Diesel D4DG"/>
    <x v="9"/>
    <n v="350000"/>
    <n v="230000"/>
    <x v="1"/>
    <x v="0"/>
    <x v="0"/>
    <s v="First Owner"/>
    <n v="15"/>
    <s v="Budget"/>
  </r>
  <r>
    <s v="Mahindra Scorpio 1.99 S6 Plus"/>
    <x v="2"/>
    <n v="570000"/>
    <n v="60000"/>
    <x v="1"/>
    <x v="0"/>
    <x v="0"/>
    <s v="First Owner"/>
    <n v="9"/>
    <s v="Mid Range"/>
  </r>
  <r>
    <s v="Hyundai EON Magna Plus"/>
    <x v="6"/>
    <n v="300000"/>
    <n v="31000"/>
    <x v="0"/>
    <x v="0"/>
    <x v="0"/>
    <s v="First Owner"/>
    <n v="8"/>
    <s v="Budget"/>
  </r>
  <r>
    <s v="Tata Indigo Classic Dicor"/>
    <x v="0"/>
    <n v="100000"/>
    <n v="39000"/>
    <x v="1"/>
    <x v="0"/>
    <x v="0"/>
    <s v="First Owner"/>
    <n v="19"/>
    <s v="Budget"/>
  </r>
  <r>
    <s v="Toyota Innova 2.5 V Diesel 8-seater"/>
    <x v="11"/>
    <n v="500000"/>
    <n v="120000"/>
    <x v="1"/>
    <x v="0"/>
    <x v="0"/>
    <s v="Third Owner"/>
    <n v="17"/>
    <s v="Mid Range"/>
  </r>
  <r>
    <s v="Tata Indica Vista Quadrajet LS"/>
    <x v="3"/>
    <n v="125000"/>
    <n v="166000"/>
    <x v="1"/>
    <x v="0"/>
    <x v="0"/>
    <s v="Fourth &amp; Above Owner"/>
    <n v="12"/>
    <s v="Budget"/>
  </r>
  <r>
    <s v="Maruti Swift 1.3 VXi"/>
    <x v="12"/>
    <n v="130000"/>
    <n v="110000"/>
    <x v="0"/>
    <x v="0"/>
    <x v="0"/>
    <s v="Third Owner"/>
    <n v="20"/>
    <s v="Budget"/>
  </r>
  <r>
    <s v="Ford EcoSport 1.5 Diesel Titanium BSIV"/>
    <x v="2"/>
    <n v="925000"/>
    <n v="35000"/>
    <x v="1"/>
    <x v="0"/>
    <x v="0"/>
    <s v="First Owner"/>
    <n v="9"/>
    <s v="Mid Range"/>
  </r>
  <r>
    <s v="Maruti Ciaz 1.3 Delta"/>
    <x v="6"/>
    <n v="750000"/>
    <n v="60000"/>
    <x v="1"/>
    <x v="0"/>
    <x v="0"/>
    <s v="First Owner"/>
    <n v="8"/>
    <s v="Mid Range"/>
  </r>
  <r>
    <s v="Honda Civic 1.8 V AT"/>
    <x v="0"/>
    <n v="200000"/>
    <n v="54000"/>
    <x v="0"/>
    <x v="0"/>
    <x v="1"/>
    <s v="Second Owner"/>
    <n v="19"/>
    <s v="Budget"/>
  </r>
  <r>
    <s v="Hyundai i10 Sportz 1.2"/>
    <x v="10"/>
    <n v="248000"/>
    <n v="63000"/>
    <x v="0"/>
    <x v="0"/>
    <x v="0"/>
    <s v="Second Owner"/>
    <n v="16"/>
    <s v="Budget"/>
  </r>
  <r>
    <s v="Skoda Rapid 1.5 TDI Elegance"/>
    <x v="3"/>
    <n v="450000"/>
    <n v="120000"/>
    <x v="1"/>
    <x v="0"/>
    <x v="0"/>
    <s v="Second Owner"/>
    <n v="12"/>
    <s v="Budget"/>
  </r>
  <r>
    <s v="Hyundai Getz GLS"/>
    <x v="14"/>
    <n v="80000"/>
    <n v="120000"/>
    <x v="0"/>
    <x v="0"/>
    <x v="0"/>
    <s v="Third Owner"/>
    <n v="21"/>
    <s v="Budget"/>
  </r>
  <r>
    <s v="Nissan Terrano XL"/>
    <x v="3"/>
    <n v="650000"/>
    <n v="76000"/>
    <x v="0"/>
    <x v="0"/>
    <x v="0"/>
    <s v="Second Owner"/>
    <n v="12"/>
    <s v="Mid Range"/>
  </r>
  <r>
    <s v="Hyundai Grand i10 CRDi Sportz"/>
    <x v="5"/>
    <n v="450000"/>
    <n v="80000"/>
    <x v="1"/>
    <x v="0"/>
    <x v="0"/>
    <s v="First Owner"/>
    <n v="11"/>
    <s v="Budget"/>
  </r>
  <r>
    <s v="Hyundai Elite i20 Diesel Era"/>
    <x v="7"/>
    <n v="650000"/>
    <n v="25000"/>
    <x v="1"/>
    <x v="0"/>
    <x v="0"/>
    <s v="First Owner"/>
    <n v="7"/>
    <s v="Mid Range"/>
  </r>
  <r>
    <s v="Honda Amaze S i-VTEC"/>
    <x v="4"/>
    <n v="495000"/>
    <n v="11958"/>
    <x v="0"/>
    <x v="1"/>
    <x v="0"/>
    <s v="First Owner"/>
    <n v="10"/>
    <s v="Budget"/>
  </r>
  <r>
    <s v="Honda Brio S MT"/>
    <x v="5"/>
    <n v="371000"/>
    <n v="20000"/>
    <x v="0"/>
    <x v="1"/>
    <x v="0"/>
    <s v="First Owner"/>
    <n v="11"/>
    <s v="Budget"/>
  </r>
  <r>
    <s v="Hyundai Creta 1.6 SX Option"/>
    <x v="2"/>
    <n v="1025000"/>
    <n v="9000"/>
    <x v="0"/>
    <x v="1"/>
    <x v="0"/>
    <s v="First Owner"/>
    <n v="9"/>
    <s v="Premium"/>
  </r>
  <r>
    <s v="Mercedes-Benz S-Class S 350d Connoisseurs Edition"/>
    <x v="2"/>
    <n v="8150000"/>
    <n v="6500"/>
    <x v="1"/>
    <x v="1"/>
    <x v="1"/>
    <s v="First Owner"/>
    <n v="9"/>
    <s v="Premium"/>
  </r>
  <r>
    <s v="Mahindra XUV500 W8 2WD"/>
    <x v="5"/>
    <n v="750000"/>
    <n v="70000"/>
    <x v="1"/>
    <x v="0"/>
    <x v="0"/>
    <s v="First Owner"/>
    <n v="11"/>
    <s v="Mid Range"/>
  </r>
  <r>
    <s v="Renault Duster 85PS Diesel RxL Optional"/>
    <x v="8"/>
    <n v="600000"/>
    <n v="120000"/>
    <x v="1"/>
    <x v="0"/>
    <x v="0"/>
    <s v="First Owner"/>
    <n v="13"/>
    <s v="Mid Range"/>
  </r>
  <r>
    <s v="Hyundai Santro Xing XO"/>
    <x v="0"/>
    <n v="80000"/>
    <n v="58000"/>
    <x v="0"/>
    <x v="1"/>
    <x v="0"/>
    <s v="Second Owner"/>
    <n v="19"/>
    <s v="Budget"/>
  </r>
  <r>
    <s v="Mahindra Bolero 2011-2019 SLE"/>
    <x v="8"/>
    <n v="325000"/>
    <n v="62200"/>
    <x v="1"/>
    <x v="1"/>
    <x v="0"/>
    <s v="First Owner"/>
    <n v="13"/>
    <s v="Budget"/>
  </r>
  <r>
    <s v="Audi A6 2.0 TDI Premium Plus"/>
    <x v="3"/>
    <n v="1470000"/>
    <n v="34000"/>
    <x v="1"/>
    <x v="1"/>
    <x v="1"/>
    <s v="Second Owner"/>
    <n v="12"/>
    <s v="Premium"/>
  </r>
  <r>
    <s v="Fiat Avventura MULTIJET Emotion"/>
    <x v="5"/>
    <n v="350000"/>
    <n v="53000"/>
    <x v="1"/>
    <x v="0"/>
    <x v="0"/>
    <s v="Second Owner"/>
    <n v="11"/>
    <s v="Budget"/>
  </r>
  <r>
    <s v="Audi A8 4.2 TDI"/>
    <x v="8"/>
    <n v="2800000"/>
    <n v="49000"/>
    <x v="1"/>
    <x v="1"/>
    <x v="1"/>
    <s v="First Owner"/>
    <n v="13"/>
    <s v="Premium"/>
  </r>
  <r>
    <s v="Datsun RediGO 1.0 S"/>
    <x v="2"/>
    <n v="210000"/>
    <n v="15000"/>
    <x v="0"/>
    <x v="1"/>
    <x v="0"/>
    <s v="Second Owner"/>
    <n v="9"/>
    <s v="Budget"/>
  </r>
  <r>
    <s v="Volkswagen Jetta 1.4 TSI Comfortline"/>
    <x v="8"/>
    <n v="450000"/>
    <n v="50000"/>
    <x v="0"/>
    <x v="0"/>
    <x v="0"/>
    <s v="First Owner"/>
    <n v="13"/>
    <s v="Budget"/>
  </r>
  <r>
    <s v="Audi A4 2.0 TDI 177 Bhp Premium Plus"/>
    <x v="8"/>
    <n v="1150000"/>
    <n v="53000"/>
    <x v="1"/>
    <x v="1"/>
    <x v="1"/>
    <s v="First Owner"/>
    <n v="13"/>
    <s v="Premium"/>
  </r>
  <r>
    <s v="Honda Civic 1.8 V AT"/>
    <x v="11"/>
    <n v="210000"/>
    <n v="63500"/>
    <x v="0"/>
    <x v="1"/>
    <x v="1"/>
    <s v="First Owner"/>
    <n v="17"/>
    <s v="Budget"/>
  </r>
  <r>
    <s v="Mercedes-Benz E-Class Exclusive E 200 BSIV"/>
    <x v="6"/>
    <n v="4500000"/>
    <n v="9800"/>
    <x v="0"/>
    <x v="1"/>
    <x v="1"/>
    <s v="First Owner"/>
    <n v="8"/>
    <s v="Premium"/>
  </r>
  <r>
    <s v="BMW X1 sDrive 20d xLine"/>
    <x v="2"/>
    <n v="2750000"/>
    <n v="13000"/>
    <x v="1"/>
    <x v="0"/>
    <x v="1"/>
    <s v="First Owner"/>
    <n v="9"/>
    <s v="Premium"/>
  </r>
  <r>
    <s v="Volvo V40 D3 R Design"/>
    <x v="6"/>
    <n v="1975000"/>
    <n v="21000"/>
    <x v="1"/>
    <x v="1"/>
    <x v="1"/>
    <s v="First Owner"/>
    <n v="8"/>
    <s v="Premium"/>
  </r>
  <r>
    <s v="Maruti SX4 Zxi BSIII"/>
    <x v="15"/>
    <n v="175000"/>
    <n v="29173"/>
    <x v="0"/>
    <x v="1"/>
    <x v="0"/>
    <s v="First Owner"/>
    <n v="18"/>
    <s v="Budget"/>
  </r>
  <r>
    <s v="BMW 7 Series 730Ld"/>
    <x v="1"/>
    <n v="2500000"/>
    <n v="48000"/>
    <x v="1"/>
    <x v="1"/>
    <x v="1"/>
    <s v="First Owner"/>
    <n v="14"/>
    <s v="Premium"/>
  </r>
  <r>
    <s v="Mahindra Bolero Power Plus SLX"/>
    <x v="2"/>
    <n v="628000"/>
    <n v="120000"/>
    <x v="1"/>
    <x v="0"/>
    <x v="0"/>
    <s v="First Owner"/>
    <n v="9"/>
    <s v="Mid Range"/>
  </r>
  <r>
    <s v="Hyundai Sonata CRDi M/T"/>
    <x v="10"/>
    <n v="600000"/>
    <n v="100000"/>
    <x v="1"/>
    <x v="0"/>
    <x v="0"/>
    <s v="First Owner"/>
    <n v="16"/>
    <s v="Mid Range"/>
  </r>
  <r>
    <s v="Nissan Micra Active XV Petrol"/>
    <x v="2"/>
    <n v="399000"/>
    <n v="30000"/>
    <x v="0"/>
    <x v="0"/>
    <x v="0"/>
    <s v="First Owner"/>
    <n v="9"/>
    <s v="Budget"/>
  </r>
  <r>
    <s v="Mahindra Xylo D4"/>
    <x v="6"/>
    <n v="750000"/>
    <n v="87000"/>
    <x v="1"/>
    <x v="0"/>
    <x v="0"/>
    <s v="First Owner"/>
    <n v="8"/>
    <s v="Mid Range"/>
  </r>
  <r>
    <s v="Hyundai Elite i20 Sportz Plus Dual Tone BSIV"/>
    <x v="7"/>
    <n v="750000"/>
    <n v="15000"/>
    <x v="0"/>
    <x v="0"/>
    <x v="0"/>
    <s v="First Owner"/>
    <n v="7"/>
    <s v="Mid Range"/>
  </r>
  <r>
    <s v="Renault KWID RXT"/>
    <x v="2"/>
    <n v="315000"/>
    <n v="16000"/>
    <x v="0"/>
    <x v="0"/>
    <x v="0"/>
    <s v="First Owner"/>
    <n v="9"/>
    <s v="Budget"/>
  </r>
  <r>
    <s v="Mahindra Xylo E4 BS III"/>
    <x v="1"/>
    <n v="600000"/>
    <n v="60000"/>
    <x v="1"/>
    <x v="0"/>
    <x v="0"/>
    <s v="First Owner"/>
    <n v="14"/>
    <s v="Mid Range"/>
  </r>
  <r>
    <s v="Maruti Wagon R LXI Minor"/>
    <x v="10"/>
    <n v="100000"/>
    <n v="60000"/>
    <x v="0"/>
    <x v="0"/>
    <x v="0"/>
    <s v="Fourth &amp; Above Owner"/>
    <n v="16"/>
    <s v="Budget"/>
  </r>
  <r>
    <s v="Maruti SX4 ZXI MT BSIV"/>
    <x v="9"/>
    <n v="250000"/>
    <n v="110000"/>
    <x v="0"/>
    <x v="0"/>
    <x v="0"/>
    <s v="Third Owner"/>
    <n v="15"/>
    <s v="Budget"/>
  </r>
  <r>
    <s v="Renault KWID RXT"/>
    <x v="2"/>
    <n v="350000"/>
    <n v="25000"/>
    <x v="0"/>
    <x v="0"/>
    <x v="0"/>
    <s v="First Owner"/>
    <n v="9"/>
    <s v="Budget"/>
  </r>
  <r>
    <s v="Hyundai Creta 1.4 CRDi S"/>
    <x v="4"/>
    <n v="780000"/>
    <n v="60000"/>
    <x v="1"/>
    <x v="0"/>
    <x v="0"/>
    <s v="First Owner"/>
    <n v="10"/>
    <s v="Mid Range"/>
  </r>
  <r>
    <s v="Maruti Swift Dzire VDI"/>
    <x v="3"/>
    <n v="434000"/>
    <n v="79350"/>
    <x v="1"/>
    <x v="0"/>
    <x v="0"/>
    <s v="Second Owner"/>
    <n v="12"/>
    <s v="Budget"/>
  </r>
  <r>
    <s v="Hyundai Verna 1.6 VTVT AT S Option"/>
    <x v="4"/>
    <n v="690000"/>
    <n v="80000"/>
    <x v="0"/>
    <x v="0"/>
    <x v="1"/>
    <s v="First Owner"/>
    <n v="10"/>
    <s v="Mid Range"/>
  </r>
  <r>
    <s v="Mahindra Scorpio LX BSIV"/>
    <x v="3"/>
    <n v="555000"/>
    <n v="90000"/>
    <x v="1"/>
    <x v="0"/>
    <x v="0"/>
    <s v="Second Owner"/>
    <n v="12"/>
    <s v="Mid Range"/>
  </r>
  <r>
    <s v="Maruti SX4 Vxi BSIII"/>
    <x v="0"/>
    <n v="120000"/>
    <n v="90000"/>
    <x v="0"/>
    <x v="0"/>
    <x v="0"/>
    <s v="Second Owner"/>
    <n v="19"/>
    <s v="Budget"/>
  </r>
  <r>
    <s v="Maruti Ertiga VDI"/>
    <x v="3"/>
    <n v="500000"/>
    <n v="120000"/>
    <x v="1"/>
    <x v="0"/>
    <x v="0"/>
    <s v="Second Owner"/>
    <n v="12"/>
    <s v="Mid Range"/>
  </r>
  <r>
    <s v="Chevrolet Beat Diesel"/>
    <x v="8"/>
    <n v="165000"/>
    <n v="60000"/>
    <x v="1"/>
    <x v="0"/>
    <x v="0"/>
    <s v="Second Owner"/>
    <n v="13"/>
    <s v="Budget"/>
  </r>
  <r>
    <s v="Maruti Zen LX"/>
    <x v="16"/>
    <n v="95000"/>
    <n v="50000"/>
    <x v="0"/>
    <x v="0"/>
    <x v="0"/>
    <s v="First Owner"/>
    <n v="22"/>
    <s v="Budget"/>
  </r>
  <r>
    <s v="Maruti Baleno Delta 1.2"/>
    <x v="6"/>
    <n v="550000"/>
    <n v="20000"/>
    <x v="0"/>
    <x v="0"/>
    <x v="0"/>
    <s v="First Owner"/>
    <n v="8"/>
    <s v="Mid Range"/>
  </r>
  <r>
    <s v="Maruti Swift Vdi BSIII"/>
    <x v="0"/>
    <n v="100000"/>
    <n v="110000"/>
    <x v="1"/>
    <x v="0"/>
    <x v="0"/>
    <s v="Fourth &amp; Above Owner"/>
    <n v="19"/>
    <s v="Budget"/>
  </r>
  <r>
    <s v="Tata Nano Lx BSIV"/>
    <x v="1"/>
    <n v="100000"/>
    <n v="50000"/>
    <x v="0"/>
    <x v="0"/>
    <x v="0"/>
    <s v="Second Owner"/>
    <n v="14"/>
    <s v="Budget"/>
  </r>
  <r>
    <s v="Toyota Innova 2.5 GX (Diesel) 8 Seater"/>
    <x v="1"/>
    <n v="500000"/>
    <n v="100000"/>
    <x v="1"/>
    <x v="0"/>
    <x v="0"/>
    <s v="First Owner"/>
    <n v="14"/>
    <s v="Mid Range"/>
  </r>
  <r>
    <s v="Maruti Ertiga SHVS VDI"/>
    <x v="4"/>
    <n v="800000"/>
    <n v="70000"/>
    <x v="1"/>
    <x v="0"/>
    <x v="0"/>
    <s v="Second Owner"/>
    <n v="10"/>
    <s v="Mid Range"/>
  </r>
  <r>
    <s v="Hyundai Creta 1.6 CRDi SX"/>
    <x v="4"/>
    <n v="840000"/>
    <n v="70000"/>
    <x v="1"/>
    <x v="0"/>
    <x v="0"/>
    <s v="Second Owner"/>
    <n v="10"/>
    <s v="Mid Range"/>
  </r>
  <r>
    <s v="Honda Amaze S i-Vtech"/>
    <x v="4"/>
    <n v="490000"/>
    <n v="50000"/>
    <x v="0"/>
    <x v="0"/>
    <x v="0"/>
    <s v="First Owner"/>
    <n v="10"/>
    <s v="Budget"/>
  </r>
  <r>
    <s v="Tata Indica Vista Aqua 1.4 TDI"/>
    <x v="10"/>
    <n v="125000"/>
    <n v="81000"/>
    <x v="1"/>
    <x v="0"/>
    <x v="0"/>
    <s v="Second Owner"/>
    <n v="16"/>
    <s v="Budget"/>
  </r>
  <r>
    <s v="Chevrolet Tavera Neo 2 LS B4 7 Str BSIII"/>
    <x v="1"/>
    <n v="400000"/>
    <n v="120000"/>
    <x v="1"/>
    <x v="0"/>
    <x v="0"/>
    <s v="Third Owner"/>
    <n v="14"/>
    <s v="Budget"/>
  </r>
  <r>
    <s v="Chevrolet Cruze LTZ"/>
    <x v="5"/>
    <n v="1000000"/>
    <n v="3600"/>
    <x v="1"/>
    <x v="1"/>
    <x v="0"/>
    <s v="First Owner"/>
    <n v="11"/>
    <s v="Mid Range"/>
  </r>
  <r>
    <s v="Ford Figo Aspire 1.2 Ti-VCT Titanium Plus"/>
    <x v="5"/>
    <n v="530000"/>
    <n v="14272"/>
    <x v="0"/>
    <x v="1"/>
    <x v="0"/>
    <s v="First Owner"/>
    <n v="11"/>
    <s v="Mid Range"/>
  </r>
  <r>
    <s v="Ford EcoSport 1.5 Diesel Titanium Plus BSIV"/>
    <x v="2"/>
    <n v="840000"/>
    <n v="49213"/>
    <x v="1"/>
    <x v="1"/>
    <x v="0"/>
    <s v="First Owner"/>
    <n v="9"/>
    <s v="Mid Range"/>
  </r>
  <r>
    <s v="Hyundai i10 Sportz 1.1L"/>
    <x v="5"/>
    <n v="229999"/>
    <n v="40000"/>
    <x v="0"/>
    <x v="0"/>
    <x v="0"/>
    <s v="First Owner"/>
    <n v="11"/>
    <s v="Budget"/>
  </r>
  <r>
    <s v="Maruti 800 Std"/>
    <x v="17"/>
    <n v="40000"/>
    <n v="40000"/>
    <x v="0"/>
    <x v="0"/>
    <x v="0"/>
    <s v="Fourth &amp; Above Owner"/>
    <n v="28"/>
    <s v="Budget"/>
  </r>
  <r>
    <s v="Chevrolet Spark 1.0 LS"/>
    <x v="1"/>
    <n v="130000"/>
    <n v="80000"/>
    <x v="0"/>
    <x v="0"/>
    <x v="0"/>
    <s v="First Owner"/>
    <n v="14"/>
    <s v="Budget"/>
  </r>
  <r>
    <s v="Hyundai EON Era Plus"/>
    <x v="5"/>
    <n v="200000"/>
    <n v="70000"/>
    <x v="0"/>
    <x v="0"/>
    <x v="0"/>
    <s v="First Owner"/>
    <n v="11"/>
    <s v="Budget"/>
  </r>
  <r>
    <s v="Tata Indica Vista Aqua TDI BSIII"/>
    <x v="9"/>
    <n v="120000"/>
    <n v="70000"/>
    <x v="1"/>
    <x v="0"/>
    <x v="0"/>
    <s v="First Owner"/>
    <n v="15"/>
    <s v="Budget"/>
  </r>
  <r>
    <s v="Hyundai Santro LP zipPlus"/>
    <x v="18"/>
    <n v="75000"/>
    <n v="57000"/>
    <x v="0"/>
    <x v="0"/>
    <x v="0"/>
    <s v="First Owner"/>
    <n v="23"/>
    <s v="Budget"/>
  </r>
  <r>
    <s v="Tata Bolt Quadrajet XE"/>
    <x v="4"/>
    <n v="250000"/>
    <n v="120000"/>
    <x v="1"/>
    <x v="0"/>
    <x v="0"/>
    <s v="First Owner"/>
    <n v="10"/>
    <s v="Budget"/>
  </r>
  <r>
    <s v="Maruti 800 AC BSIII"/>
    <x v="14"/>
    <n v="100000"/>
    <n v="30000"/>
    <x v="0"/>
    <x v="0"/>
    <x v="0"/>
    <s v="First Owner"/>
    <n v="21"/>
    <s v="Budget"/>
  </r>
  <r>
    <s v="Hyundai EON Era Plus"/>
    <x v="8"/>
    <n v="280000"/>
    <n v="3240"/>
    <x v="0"/>
    <x v="0"/>
    <x v="0"/>
    <s v="Second Owner"/>
    <n v="13"/>
    <s v="Budget"/>
  </r>
  <r>
    <s v="Hyundai i20 Magna 1.2"/>
    <x v="5"/>
    <n v="540000"/>
    <n v="5000"/>
    <x v="0"/>
    <x v="0"/>
    <x v="0"/>
    <s v="First Owner"/>
    <n v="11"/>
    <s v="Mid Range"/>
  </r>
  <r>
    <s v="Hyundai i20 1.2 Asta"/>
    <x v="6"/>
    <n v="700000"/>
    <n v="10000"/>
    <x v="0"/>
    <x v="0"/>
    <x v="0"/>
    <s v="First Owner"/>
    <n v="8"/>
    <s v="Mid Range"/>
  </r>
  <r>
    <s v="Maruti Ciaz VDi Plus"/>
    <x v="5"/>
    <n v="525000"/>
    <n v="100000"/>
    <x v="1"/>
    <x v="0"/>
    <x v="0"/>
    <s v="First Owner"/>
    <n v="11"/>
    <s v="Mid Range"/>
  </r>
  <r>
    <s v="Hyundai i20 Asta 1.4 CRDi"/>
    <x v="4"/>
    <n v="430000"/>
    <n v="80000"/>
    <x v="1"/>
    <x v="0"/>
    <x v="0"/>
    <s v="First Owner"/>
    <n v="10"/>
    <s v="Budget"/>
  </r>
  <r>
    <s v="Hyundai Santro LE"/>
    <x v="19"/>
    <n v="65000"/>
    <n v="70000"/>
    <x v="0"/>
    <x v="0"/>
    <x v="0"/>
    <s v="First Owner"/>
    <n v="24"/>
    <s v="Budget"/>
  </r>
  <r>
    <s v="Maruti Vitara Brezza VDi"/>
    <x v="6"/>
    <n v="800000"/>
    <n v="35000"/>
    <x v="1"/>
    <x v="0"/>
    <x v="0"/>
    <s v="First Owner"/>
    <n v="8"/>
    <s v="Mid Range"/>
  </r>
  <r>
    <s v="Hyundai Santro Xing XL eRLX Euro III"/>
    <x v="0"/>
    <n v="75000"/>
    <n v="114000"/>
    <x v="0"/>
    <x v="0"/>
    <x v="0"/>
    <s v="Second Owner"/>
    <n v="19"/>
    <s v="Budget"/>
  </r>
  <r>
    <s v="Hyundai Getz 1.3 GLS"/>
    <x v="15"/>
    <n v="210000"/>
    <n v="53772"/>
    <x v="0"/>
    <x v="0"/>
    <x v="0"/>
    <s v="First Owner"/>
    <n v="18"/>
    <s v="Budget"/>
  </r>
  <r>
    <s v="Mahindra Quanto C8"/>
    <x v="1"/>
    <n v="195000"/>
    <n v="140000"/>
    <x v="1"/>
    <x v="0"/>
    <x v="0"/>
    <s v="Second Owner"/>
    <n v="14"/>
    <s v="Budget"/>
  </r>
  <r>
    <s v="Chevrolet Tavera Neo 3 LS 7 C BSIII"/>
    <x v="5"/>
    <n v="400000"/>
    <n v="120000"/>
    <x v="1"/>
    <x v="0"/>
    <x v="0"/>
    <s v="First Owner"/>
    <n v="11"/>
    <s v="Budget"/>
  </r>
  <r>
    <s v="Hyundai EON Magna Plus"/>
    <x v="1"/>
    <n v="170000"/>
    <n v="60000"/>
    <x v="0"/>
    <x v="0"/>
    <x v="0"/>
    <s v="First Owner"/>
    <n v="14"/>
    <s v="Budget"/>
  </r>
  <r>
    <s v="Renault KWID RXT"/>
    <x v="4"/>
    <n v="225000"/>
    <n v="25000"/>
    <x v="0"/>
    <x v="0"/>
    <x v="0"/>
    <s v="First Owner"/>
    <n v="10"/>
    <s v="Budget"/>
  </r>
  <r>
    <s v="Maruti Wagon R DUO LPG"/>
    <x v="3"/>
    <n v="210000"/>
    <n v="90000"/>
    <x v="3"/>
    <x v="0"/>
    <x v="0"/>
    <s v="First Owner"/>
    <n v="12"/>
    <s v="Budget"/>
  </r>
  <r>
    <s v="Maruti Wagon R LXI"/>
    <x v="20"/>
    <n v="240000"/>
    <n v="120000"/>
    <x v="0"/>
    <x v="0"/>
    <x v="0"/>
    <s v="First Owner"/>
    <n v="6"/>
    <s v="Budget"/>
  </r>
  <r>
    <s v="Chevrolet Enjoy 1.3 TCDi LS 8"/>
    <x v="5"/>
    <n v="300000"/>
    <n v="175000"/>
    <x v="1"/>
    <x v="0"/>
    <x v="0"/>
    <s v="First Owner"/>
    <n v="11"/>
    <s v="Budget"/>
  </r>
  <r>
    <s v="Chevrolet Spark 1.0 LS"/>
    <x v="9"/>
    <n v="99000"/>
    <n v="100000"/>
    <x v="0"/>
    <x v="0"/>
    <x v="0"/>
    <s v="Third Owner"/>
    <n v="15"/>
    <s v="Budget"/>
  </r>
  <r>
    <s v="Honda City i VTEC SV"/>
    <x v="3"/>
    <n v="620000"/>
    <n v="36000"/>
    <x v="0"/>
    <x v="0"/>
    <x v="0"/>
    <s v="First Owner"/>
    <n v="12"/>
    <s v="Mid Range"/>
  </r>
  <r>
    <s v="Honda Amaze VX i-DTEC"/>
    <x v="8"/>
    <n v="500000"/>
    <n v="30000"/>
    <x v="1"/>
    <x v="0"/>
    <x v="0"/>
    <s v="First Owner"/>
    <n v="13"/>
    <s v="Mid Range"/>
  </r>
  <r>
    <s v="Jaguar XJ 5.0 L V8 Supercharged"/>
    <x v="10"/>
    <n v="2550000"/>
    <n v="40000"/>
    <x v="0"/>
    <x v="0"/>
    <x v="1"/>
    <s v="Second Owner"/>
    <n v="16"/>
    <s v="Premium"/>
  </r>
  <r>
    <s v="Honda Brio E MT"/>
    <x v="8"/>
    <n v="260000"/>
    <n v="70000"/>
    <x v="0"/>
    <x v="0"/>
    <x v="0"/>
    <s v="Second Owner"/>
    <n v="13"/>
    <s v="Budget"/>
  </r>
  <r>
    <s v="Maruti Swift VVT ZXI"/>
    <x v="2"/>
    <n v="550000"/>
    <n v="60000"/>
    <x v="0"/>
    <x v="0"/>
    <x v="0"/>
    <s v="First Owner"/>
    <n v="9"/>
    <s v="Mid Range"/>
  </r>
  <r>
    <s v="Tata Indigo CR4"/>
    <x v="9"/>
    <n v="150000"/>
    <n v="155500"/>
    <x v="1"/>
    <x v="0"/>
    <x v="0"/>
    <s v="First Owner"/>
    <n v="15"/>
    <s v="Budget"/>
  </r>
  <r>
    <s v="Hyundai i10 Asta AT"/>
    <x v="9"/>
    <n v="350000"/>
    <n v="50000"/>
    <x v="0"/>
    <x v="0"/>
    <x v="1"/>
    <s v="Second Owner"/>
    <n v="15"/>
    <s v="Budget"/>
  </r>
  <r>
    <s v="Chevrolet Beat LT"/>
    <x v="4"/>
    <n v="320000"/>
    <n v="40000"/>
    <x v="0"/>
    <x v="0"/>
    <x v="0"/>
    <s v="First Owner"/>
    <n v="10"/>
    <s v="Budget"/>
  </r>
  <r>
    <s v="Maruti Swift VDI BSIV"/>
    <x v="5"/>
    <n v="400000"/>
    <n v="100000"/>
    <x v="1"/>
    <x v="0"/>
    <x v="0"/>
    <s v="Third Owner"/>
    <n v="11"/>
    <s v="Budget"/>
  </r>
  <r>
    <s v="Maruti Alto LXi"/>
    <x v="1"/>
    <n v="175000"/>
    <n v="80000"/>
    <x v="0"/>
    <x v="0"/>
    <x v="0"/>
    <s v="Third Owner"/>
    <n v="14"/>
    <s v="Budget"/>
  </r>
  <r>
    <s v="Chevrolet Beat LT"/>
    <x v="9"/>
    <n v="120000"/>
    <n v="90000"/>
    <x v="0"/>
    <x v="0"/>
    <x v="0"/>
    <s v="Second Owner"/>
    <n v="15"/>
    <s v="Budget"/>
  </r>
  <r>
    <s v="Renault Duster 110PS Diesel RxZ"/>
    <x v="8"/>
    <n v="320000"/>
    <n v="90000"/>
    <x v="1"/>
    <x v="0"/>
    <x v="0"/>
    <s v="Second Owner"/>
    <n v="13"/>
    <s v="Budget"/>
  </r>
  <r>
    <s v="Hyundai Santro Xing XG"/>
    <x v="12"/>
    <n v="70000"/>
    <n v="110000"/>
    <x v="0"/>
    <x v="0"/>
    <x v="0"/>
    <s v="Third Owner"/>
    <n v="20"/>
    <s v="Budget"/>
  </r>
  <r>
    <s v="Maruti Swift Dzire ZXI Plus"/>
    <x v="7"/>
    <n v="810000"/>
    <n v="15000"/>
    <x v="0"/>
    <x v="0"/>
    <x v="0"/>
    <s v="First Owner"/>
    <n v="7"/>
    <s v="Mid Range"/>
  </r>
  <r>
    <s v="Maruti 800 AC"/>
    <x v="0"/>
    <n v="95000"/>
    <n v="100000"/>
    <x v="0"/>
    <x v="0"/>
    <x v="0"/>
    <s v="Second Owner"/>
    <n v="19"/>
    <s v="Budget"/>
  </r>
  <r>
    <s v="Maruti Alto K10 LXI CNG"/>
    <x v="20"/>
    <n v="282000"/>
    <n v="40000"/>
    <x v="2"/>
    <x v="0"/>
    <x v="0"/>
    <s v="First Owner"/>
    <n v="6"/>
    <s v="Budget"/>
  </r>
  <r>
    <s v="Maruti 800 Std BSII"/>
    <x v="16"/>
    <n v="80000"/>
    <n v="60000"/>
    <x v="0"/>
    <x v="0"/>
    <x v="0"/>
    <s v="Second Owner"/>
    <n v="22"/>
    <s v="Budget"/>
  </r>
  <r>
    <s v="Tata Nano LX SE"/>
    <x v="8"/>
    <n v="72000"/>
    <n v="25000"/>
    <x v="0"/>
    <x v="0"/>
    <x v="0"/>
    <s v="First Owner"/>
    <n v="13"/>
    <s v="Budget"/>
  </r>
  <r>
    <s v="Hyundai i20 Magna 1.2"/>
    <x v="4"/>
    <n v="600000"/>
    <n v="25000"/>
    <x v="0"/>
    <x v="0"/>
    <x v="0"/>
    <s v="First Owner"/>
    <n v="10"/>
    <s v="Mid Range"/>
  </r>
  <r>
    <s v="Skoda Rapid 1.6 MPI Ambition With Alloy Wheel"/>
    <x v="5"/>
    <n v="640000"/>
    <n v="23000"/>
    <x v="0"/>
    <x v="0"/>
    <x v="0"/>
    <s v="First Owner"/>
    <n v="11"/>
    <s v="Mid Range"/>
  </r>
  <r>
    <s v="Maruti Alto K10 VXI"/>
    <x v="6"/>
    <n v="380000"/>
    <n v="22155"/>
    <x v="0"/>
    <x v="0"/>
    <x v="0"/>
    <s v="First Owner"/>
    <n v="8"/>
    <s v="Budget"/>
  </r>
  <r>
    <s v="Maruti Ciaz 1.4 Delta"/>
    <x v="6"/>
    <n v="650000"/>
    <n v="70000"/>
    <x v="0"/>
    <x v="0"/>
    <x v="0"/>
    <s v="First Owner"/>
    <n v="8"/>
    <s v="Mid Range"/>
  </r>
  <r>
    <s v="Maruti Alto LX"/>
    <x v="11"/>
    <n v="150000"/>
    <n v="60000"/>
    <x v="0"/>
    <x v="0"/>
    <x v="0"/>
    <s v="Second Owner"/>
    <n v="17"/>
    <s v="Budget"/>
  </r>
  <r>
    <s v="Hyundai i20 Asta"/>
    <x v="11"/>
    <n v="280000"/>
    <n v="110000"/>
    <x v="0"/>
    <x v="0"/>
    <x v="0"/>
    <s v="Second Owner"/>
    <n v="17"/>
    <s v="Budget"/>
  </r>
  <r>
    <s v="Tata Nexon 1.2 Revotron XM"/>
    <x v="6"/>
    <n v="430000"/>
    <n v="30000"/>
    <x v="0"/>
    <x v="0"/>
    <x v="0"/>
    <s v="First Owner"/>
    <n v="8"/>
    <s v="Budget"/>
  </r>
  <r>
    <s v="Mahindra Bolero Power Plus SLX"/>
    <x v="7"/>
    <n v="800000"/>
    <n v="15000"/>
    <x v="1"/>
    <x v="0"/>
    <x v="0"/>
    <s v="First Owner"/>
    <n v="7"/>
    <s v="Mid Range"/>
  </r>
  <r>
    <s v="Maruti Zen D"/>
    <x v="18"/>
    <n v="75000"/>
    <n v="100000"/>
    <x v="1"/>
    <x v="0"/>
    <x v="0"/>
    <s v="Second Owner"/>
    <n v="23"/>
    <s v="Budget"/>
  </r>
  <r>
    <s v="Volkswagen Vento Celeste 1.5 TDI Highline AT"/>
    <x v="4"/>
    <n v="650000"/>
    <n v="70000"/>
    <x v="1"/>
    <x v="0"/>
    <x v="1"/>
    <s v="First Owner"/>
    <n v="10"/>
    <s v="Mid Range"/>
  </r>
  <r>
    <s v="Maruti Eeco 7 Seater Standard BSIV"/>
    <x v="2"/>
    <n v="390000"/>
    <n v="24000"/>
    <x v="0"/>
    <x v="0"/>
    <x v="0"/>
    <s v="First Owner"/>
    <n v="9"/>
    <s v="Budget"/>
  </r>
  <r>
    <s v="Honda City 1.5 EXI"/>
    <x v="14"/>
    <n v="100000"/>
    <n v="120000"/>
    <x v="0"/>
    <x v="0"/>
    <x v="0"/>
    <s v="Second Owner"/>
    <n v="21"/>
    <s v="Budget"/>
  </r>
  <r>
    <s v="Mercedes-Benz New C-Class 220 CDI AT"/>
    <x v="8"/>
    <n v="1500000"/>
    <n v="35000"/>
    <x v="1"/>
    <x v="0"/>
    <x v="1"/>
    <s v="First Owner"/>
    <n v="13"/>
    <s v="Premium"/>
  </r>
  <r>
    <s v="Maruti SX4 Zxi with Leather BSIII"/>
    <x v="0"/>
    <n v="175000"/>
    <n v="78380"/>
    <x v="0"/>
    <x v="0"/>
    <x v="0"/>
    <s v="First Owner"/>
    <n v="19"/>
    <s v="Budget"/>
  </r>
  <r>
    <s v="Renault Duster 110PS Diesel RxZ"/>
    <x v="1"/>
    <n v="434999"/>
    <n v="110000"/>
    <x v="1"/>
    <x v="0"/>
    <x v="0"/>
    <s v="Second Owner"/>
    <n v="14"/>
    <s v="Budget"/>
  </r>
  <r>
    <s v="Ford Figo Diesel Titanium"/>
    <x v="10"/>
    <n v="170000"/>
    <n v="90000"/>
    <x v="1"/>
    <x v="0"/>
    <x v="0"/>
    <s v="Third Owner"/>
    <n v="16"/>
    <s v="Budget"/>
  </r>
  <r>
    <s v="Ford Figo Diesel Titanium"/>
    <x v="9"/>
    <n v="190000"/>
    <n v="90000"/>
    <x v="1"/>
    <x v="0"/>
    <x v="0"/>
    <s v="Third Owner"/>
    <n v="15"/>
    <s v="Budget"/>
  </r>
  <r>
    <s v="Maruti Swift Dzire VDi"/>
    <x v="11"/>
    <n v="250000"/>
    <n v="150000"/>
    <x v="1"/>
    <x v="0"/>
    <x v="0"/>
    <s v="Third Owner"/>
    <n v="17"/>
    <s v="Budget"/>
  </r>
  <r>
    <s v="Mahindra Xylo E4"/>
    <x v="11"/>
    <n v="229999"/>
    <n v="230000"/>
    <x v="1"/>
    <x v="0"/>
    <x v="0"/>
    <s v="Third Owner"/>
    <n v="17"/>
    <s v="Budget"/>
  </r>
  <r>
    <s v="Maruti Esteem Vxi - BSIII"/>
    <x v="12"/>
    <n v="140000"/>
    <n v="70000"/>
    <x v="0"/>
    <x v="0"/>
    <x v="0"/>
    <s v="Third Owner"/>
    <n v="20"/>
    <s v="Budget"/>
  </r>
  <r>
    <s v="Maruti Swift VDI BSIV"/>
    <x v="2"/>
    <n v="600000"/>
    <n v="80362"/>
    <x v="1"/>
    <x v="0"/>
    <x v="0"/>
    <s v="First Owner"/>
    <n v="9"/>
    <s v="Mid Range"/>
  </r>
  <r>
    <s v="Hyundai i20 1.2 Sportz"/>
    <x v="1"/>
    <n v="280000"/>
    <n v="110000"/>
    <x v="0"/>
    <x v="0"/>
    <x v="0"/>
    <s v="Third Owner"/>
    <n v="14"/>
    <s v="Budget"/>
  </r>
  <r>
    <s v="Chevrolet Beat Diesel LT"/>
    <x v="1"/>
    <n v="150000"/>
    <n v="60000"/>
    <x v="1"/>
    <x v="0"/>
    <x v="0"/>
    <s v="First Owner"/>
    <n v="14"/>
    <s v="Budget"/>
  </r>
  <r>
    <s v="Chevrolet Cruze LTZ AT"/>
    <x v="5"/>
    <n v="650000"/>
    <n v="50000"/>
    <x v="1"/>
    <x v="0"/>
    <x v="1"/>
    <s v="First Owner"/>
    <n v="11"/>
    <s v="Mid Range"/>
  </r>
  <r>
    <s v="Nissan Micra XL"/>
    <x v="3"/>
    <n v="210000"/>
    <n v="40000"/>
    <x v="0"/>
    <x v="0"/>
    <x v="0"/>
    <s v="Second Owner"/>
    <n v="12"/>
    <s v="Budget"/>
  </r>
  <r>
    <s v="BMW 5 Series 520d Luxury Line"/>
    <x v="2"/>
    <n v="2900000"/>
    <n v="40000"/>
    <x v="1"/>
    <x v="0"/>
    <x v="1"/>
    <s v="First Owner"/>
    <n v="9"/>
    <s v="Premium"/>
  </r>
  <r>
    <s v="Chevrolet Enjoy 1.3 TCDi LS 8"/>
    <x v="8"/>
    <n v="425000"/>
    <n v="20000"/>
    <x v="1"/>
    <x v="1"/>
    <x v="0"/>
    <s v="First Owner"/>
    <n v="13"/>
    <s v="Budget"/>
  </r>
  <r>
    <s v="Hyundai EON Era Plus Option"/>
    <x v="3"/>
    <n v="265000"/>
    <n v="55000"/>
    <x v="0"/>
    <x v="1"/>
    <x v="0"/>
    <s v="First Owner"/>
    <n v="12"/>
    <s v="Budget"/>
  </r>
  <r>
    <s v="Fiat Linea T Jet Emotion"/>
    <x v="6"/>
    <n v="890000"/>
    <n v="1136"/>
    <x v="0"/>
    <x v="1"/>
    <x v="0"/>
    <s v="First Owner"/>
    <n v="8"/>
    <s v="Mid Range"/>
  </r>
  <r>
    <s v="Renault Scala RxL"/>
    <x v="8"/>
    <n v="365000"/>
    <n v="55000"/>
    <x v="0"/>
    <x v="1"/>
    <x v="0"/>
    <s v="First Owner"/>
    <n v="13"/>
    <s v="Budget"/>
  </r>
  <r>
    <s v="Ford Figo Petrol Titanium"/>
    <x v="3"/>
    <n v="350000"/>
    <n v="43000"/>
    <x v="0"/>
    <x v="1"/>
    <x v="0"/>
    <s v="First Owner"/>
    <n v="12"/>
    <s v="Budget"/>
  </r>
  <r>
    <s v="Maruti Ciaz ZDi SHVS"/>
    <x v="4"/>
    <n v="685000"/>
    <n v="60000"/>
    <x v="1"/>
    <x v="0"/>
    <x v="0"/>
    <s v="First Owner"/>
    <n v="10"/>
    <s v="Mid Range"/>
  </r>
  <r>
    <s v="Skoda Rapid 1.5 TDI Ambition BSIV"/>
    <x v="6"/>
    <n v="940000"/>
    <n v="2650"/>
    <x v="1"/>
    <x v="1"/>
    <x v="0"/>
    <s v="First Owner"/>
    <n v="8"/>
    <s v="Mid Range"/>
  </r>
  <r>
    <s v="Mahindra XUV500 W6 2WD"/>
    <x v="2"/>
    <n v="1000000"/>
    <n v="40000"/>
    <x v="1"/>
    <x v="0"/>
    <x v="0"/>
    <s v="First Owner"/>
    <n v="9"/>
    <s v="Mid Range"/>
  </r>
  <r>
    <s v="Mahindra XUV300 W8 Option"/>
    <x v="7"/>
    <n v="1150000"/>
    <n v="15000"/>
    <x v="0"/>
    <x v="1"/>
    <x v="0"/>
    <s v="First Owner"/>
    <n v="7"/>
    <s v="Premium"/>
  </r>
  <r>
    <s v="Maruti Ertiga SHVS ZDI"/>
    <x v="4"/>
    <n v="450000"/>
    <n v="115962"/>
    <x v="1"/>
    <x v="0"/>
    <x v="0"/>
    <s v="Second Owner"/>
    <n v="10"/>
    <s v="Budget"/>
  </r>
  <r>
    <s v="Nissan Terrano XE D"/>
    <x v="5"/>
    <n v="590000"/>
    <n v="65000"/>
    <x v="1"/>
    <x v="1"/>
    <x v="0"/>
    <s v="First Owner"/>
    <n v="11"/>
    <s v="Mid Range"/>
  </r>
  <r>
    <s v="Maruti S-Cross Facelift"/>
    <x v="2"/>
    <n v="800000"/>
    <n v="40000"/>
    <x v="1"/>
    <x v="0"/>
    <x v="0"/>
    <s v="First Owner"/>
    <n v="9"/>
    <s v="Mid Range"/>
  </r>
  <r>
    <s v="Hyundai i20 Magna 1.4 CRDi (Diesel)"/>
    <x v="1"/>
    <n v="385000"/>
    <n v="58000"/>
    <x v="1"/>
    <x v="1"/>
    <x v="0"/>
    <s v="First Owner"/>
    <n v="14"/>
    <s v="Budget"/>
  </r>
  <r>
    <s v="Mercedes-Benz New C-Class C 220 CDI BE Avantgare"/>
    <x v="8"/>
    <n v="2000000"/>
    <n v="15000"/>
    <x v="1"/>
    <x v="0"/>
    <x v="1"/>
    <s v="First Owner"/>
    <n v="13"/>
    <s v="Premium"/>
  </r>
  <r>
    <s v="Hyundai EON Era Plus"/>
    <x v="1"/>
    <n v="235000"/>
    <n v="54000"/>
    <x v="0"/>
    <x v="1"/>
    <x v="0"/>
    <s v="First Owner"/>
    <n v="14"/>
    <s v="Budget"/>
  </r>
  <r>
    <s v="Volkswagen Ameo 1.5 TDI Highline"/>
    <x v="2"/>
    <n v="640000"/>
    <n v="56000"/>
    <x v="1"/>
    <x v="1"/>
    <x v="0"/>
    <s v="First Owner"/>
    <n v="9"/>
    <s v="Mid Range"/>
  </r>
  <r>
    <s v="Maruti Alto LX"/>
    <x v="12"/>
    <n v="52000"/>
    <n v="120000"/>
    <x v="0"/>
    <x v="0"/>
    <x v="0"/>
    <s v="Third Owner"/>
    <n v="20"/>
    <s v="Budget"/>
  </r>
  <r>
    <s v="Maruti Omni LPG CARGO BSIII W IMMOBILISER"/>
    <x v="11"/>
    <n v="80000"/>
    <n v="90000"/>
    <x v="3"/>
    <x v="0"/>
    <x v="0"/>
    <s v="Second Owner"/>
    <n v="17"/>
    <s v="Budget"/>
  </r>
  <r>
    <s v="Maruti Alto LX"/>
    <x v="1"/>
    <n v="140000"/>
    <n v="70000"/>
    <x v="0"/>
    <x v="0"/>
    <x v="0"/>
    <s v="Second Owner"/>
    <n v="14"/>
    <s v="Budget"/>
  </r>
  <r>
    <s v="Hyundai Verna i (Petrol)"/>
    <x v="15"/>
    <n v="120000"/>
    <n v="90000"/>
    <x v="0"/>
    <x v="0"/>
    <x v="0"/>
    <s v="Second Owner"/>
    <n v="18"/>
    <s v="Budget"/>
  </r>
  <r>
    <s v="Mahindra Renault Logan 1.5 DLS"/>
    <x v="15"/>
    <n v="89999"/>
    <n v="213000"/>
    <x v="1"/>
    <x v="0"/>
    <x v="0"/>
    <s v="First Owner"/>
    <n v="18"/>
    <s v="Budget"/>
  </r>
  <r>
    <s v="Chevrolet Optra Magnum 2.0 LS BSIII"/>
    <x v="1"/>
    <n v="180000"/>
    <n v="120000"/>
    <x v="1"/>
    <x v="0"/>
    <x v="0"/>
    <s v="First Owner"/>
    <n v="14"/>
    <s v="Budget"/>
  </r>
  <r>
    <s v="Mahindra Scorpio S11 BSIV"/>
    <x v="2"/>
    <n v="1500000"/>
    <n v="20000"/>
    <x v="1"/>
    <x v="0"/>
    <x v="0"/>
    <s v="First Owner"/>
    <n v="9"/>
    <s v="Premium"/>
  </r>
  <r>
    <s v="Hyundai i20 Active 1.2 SX"/>
    <x v="2"/>
    <n v="700000"/>
    <n v="10000"/>
    <x v="0"/>
    <x v="0"/>
    <x v="0"/>
    <s v="First Owner"/>
    <n v="9"/>
    <s v="Mid Range"/>
  </r>
  <r>
    <s v="Maruti SX4 Celebration Diesel"/>
    <x v="1"/>
    <n v="285000"/>
    <n v="80000"/>
    <x v="1"/>
    <x v="0"/>
    <x v="0"/>
    <s v="Second Owner"/>
    <n v="14"/>
    <s v="Budget"/>
  </r>
  <r>
    <s v="Hyundai Grand i10 Magna"/>
    <x v="5"/>
    <n v="390000"/>
    <n v="90000"/>
    <x v="0"/>
    <x v="0"/>
    <x v="0"/>
    <s v="First Owner"/>
    <n v="11"/>
    <s v="Budget"/>
  </r>
  <r>
    <s v="Maruti Alto LXi BSIII"/>
    <x v="15"/>
    <n v="125000"/>
    <n v="80000"/>
    <x v="0"/>
    <x v="0"/>
    <x v="0"/>
    <s v="First Owner"/>
    <n v="18"/>
    <s v="Budget"/>
  </r>
  <r>
    <s v="Maruti SX4 Zxi with Leather BSIII"/>
    <x v="15"/>
    <n v="225000"/>
    <n v="60000"/>
    <x v="0"/>
    <x v="0"/>
    <x v="0"/>
    <s v="Second Owner"/>
    <n v="18"/>
    <s v="Budget"/>
  </r>
  <r>
    <s v="Hyundai i10 Era"/>
    <x v="9"/>
    <n v="175000"/>
    <n v="139000"/>
    <x v="0"/>
    <x v="0"/>
    <x v="0"/>
    <s v="Second Owner"/>
    <n v="15"/>
    <s v="Budget"/>
  </r>
  <r>
    <s v="Toyota Innova 2.5 V Diesel 7-seater"/>
    <x v="9"/>
    <n v="1075000"/>
    <n v="160000"/>
    <x v="1"/>
    <x v="0"/>
    <x v="0"/>
    <s v="Second Owner"/>
    <n v="15"/>
    <s v="Premium"/>
  </r>
  <r>
    <s v="Honda Mobilio V i DTEC"/>
    <x v="3"/>
    <n v="300000"/>
    <n v="150000"/>
    <x v="1"/>
    <x v="0"/>
    <x v="0"/>
    <s v="First Owner"/>
    <n v="12"/>
    <s v="Budget"/>
  </r>
  <r>
    <s v="Toyota Innova 2.5 G (Diesel) 7 Seater BS IV"/>
    <x v="10"/>
    <n v="700000"/>
    <n v="163000"/>
    <x v="1"/>
    <x v="0"/>
    <x v="0"/>
    <s v="Fourth &amp; Above Owner"/>
    <n v="16"/>
    <s v="Mid Range"/>
  </r>
  <r>
    <s v="Tata Indica V2 2001-2011 DLS BSIII"/>
    <x v="11"/>
    <n v="90000"/>
    <n v="120000"/>
    <x v="1"/>
    <x v="1"/>
    <x v="0"/>
    <s v="First Owner"/>
    <n v="17"/>
    <s v="Budget"/>
  </r>
  <r>
    <s v="Tata Indica Vista TDI LS"/>
    <x v="9"/>
    <n v="120000"/>
    <n v="120000"/>
    <x v="1"/>
    <x v="0"/>
    <x v="0"/>
    <s v="Second Owner"/>
    <n v="15"/>
    <s v="Budget"/>
  </r>
  <r>
    <s v="Chevrolet Beat Diesel LS"/>
    <x v="1"/>
    <n v="220000"/>
    <n v="100000"/>
    <x v="1"/>
    <x v="0"/>
    <x v="0"/>
    <s v="Second Owner"/>
    <n v="14"/>
    <s v="Budget"/>
  </r>
  <r>
    <s v="Tata Zest Quadrajet 1.3 75PS XE"/>
    <x v="5"/>
    <n v="300000"/>
    <n v="140000"/>
    <x v="1"/>
    <x v="1"/>
    <x v="0"/>
    <s v="First Owner"/>
    <n v="11"/>
    <s v="Budget"/>
  </r>
  <r>
    <s v="Skoda Fabia 1.2L Diesel Ambiente"/>
    <x v="10"/>
    <n v="180000"/>
    <n v="87000"/>
    <x v="1"/>
    <x v="1"/>
    <x v="0"/>
    <s v="Second Owner"/>
    <n v="16"/>
    <s v="Budget"/>
  </r>
  <r>
    <s v="Maruti 800 Std"/>
    <x v="8"/>
    <n v="170000"/>
    <n v="70000"/>
    <x v="0"/>
    <x v="0"/>
    <x v="0"/>
    <s v="First Owner"/>
    <n v="13"/>
    <s v="Budget"/>
  </r>
  <r>
    <s v="Ford Figo Petrol Titanium"/>
    <x v="5"/>
    <n v="300000"/>
    <n v="50000"/>
    <x v="0"/>
    <x v="0"/>
    <x v="0"/>
    <s v="Second Owner"/>
    <n v="11"/>
    <s v="Budget"/>
  </r>
  <r>
    <s v="Toyota Innova 2.5 VX (Diesel) 8 Seater"/>
    <x v="3"/>
    <n v="1050000"/>
    <n v="70000"/>
    <x v="1"/>
    <x v="0"/>
    <x v="0"/>
    <s v="First Owner"/>
    <n v="12"/>
    <s v="Premium"/>
  </r>
  <r>
    <s v="Hyundai Grand i10 1.2 CRDi Asta"/>
    <x v="6"/>
    <n v="465000"/>
    <n v="25000"/>
    <x v="1"/>
    <x v="0"/>
    <x v="0"/>
    <s v="First Owner"/>
    <n v="8"/>
    <s v="Budget"/>
  </r>
  <r>
    <s v="Chevrolet Beat Diesel LT"/>
    <x v="9"/>
    <n v="130000"/>
    <n v="80000"/>
    <x v="1"/>
    <x v="0"/>
    <x v="0"/>
    <s v="Second Owner"/>
    <n v="15"/>
    <s v="Budget"/>
  </r>
  <r>
    <s v="Datsun GO Plus T Option Petrol"/>
    <x v="6"/>
    <n v="434999"/>
    <n v="10000"/>
    <x v="0"/>
    <x v="0"/>
    <x v="0"/>
    <s v="First Owner"/>
    <n v="8"/>
    <s v="Budget"/>
  </r>
  <r>
    <s v="Hyundai Grand i10 1.2 Kappa Asta"/>
    <x v="6"/>
    <n v="500000"/>
    <n v="32000"/>
    <x v="0"/>
    <x v="0"/>
    <x v="0"/>
    <s v="First Owner"/>
    <n v="8"/>
    <s v="Mid Range"/>
  </r>
  <r>
    <s v="Maruti Omni MPI STD BSIV"/>
    <x v="6"/>
    <n v="200000"/>
    <n v="10000"/>
    <x v="0"/>
    <x v="0"/>
    <x v="0"/>
    <s v="First Owner"/>
    <n v="8"/>
    <s v="Budget"/>
  </r>
  <r>
    <s v="Maruti Baleno Alpha 1.2"/>
    <x v="2"/>
    <n v="625000"/>
    <n v="52000"/>
    <x v="0"/>
    <x v="1"/>
    <x v="0"/>
    <s v="First Owner"/>
    <n v="9"/>
    <s v="Mid Range"/>
  </r>
  <r>
    <s v="Ford Fiesta Classic 1.4 SXI Duratorq"/>
    <x v="12"/>
    <n v="110000"/>
    <n v="120000"/>
    <x v="1"/>
    <x v="0"/>
    <x v="0"/>
    <s v="Third Owner"/>
    <n v="20"/>
    <s v="Budget"/>
  </r>
  <r>
    <s v="Hyundai Elite i20 Asta Option BSIV"/>
    <x v="7"/>
    <n v="800000"/>
    <n v="11240"/>
    <x v="0"/>
    <x v="0"/>
    <x v="0"/>
    <s v="First Owner"/>
    <n v="7"/>
    <s v="Mid Range"/>
  </r>
  <r>
    <s v="Hyundai Grand i10 CRDi Magna"/>
    <x v="2"/>
    <n v="490000"/>
    <n v="66000"/>
    <x v="1"/>
    <x v="1"/>
    <x v="0"/>
    <s v="First Owner"/>
    <n v="9"/>
    <s v="Budget"/>
  </r>
  <r>
    <s v="Maruti Ertiga SHVS ZDI"/>
    <x v="2"/>
    <n v="880000"/>
    <n v="64000"/>
    <x v="1"/>
    <x v="1"/>
    <x v="0"/>
    <s v="First Owner"/>
    <n v="9"/>
    <s v="Mid Range"/>
  </r>
  <r>
    <s v="Hyundai Santro Xing GL Plus"/>
    <x v="8"/>
    <n v="290000"/>
    <n v="49000"/>
    <x v="0"/>
    <x v="0"/>
    <x v="0"/>
    <s v="First Owner"/>
    <n v="13"/>
    <s v="Budget"/>
  </r>
  <r>
    <s v="Tata Sumo GX TC 7 Str BSIII"/>
    <x v="12"/>
    <n v="115999"/>
    <n v="100000"/>
    <x v="1"/>
    <x v="0"/>
    <x v="0"/>
    <s v="Second Owner"/>
    <n v="20"/>
    <s v="Budget"/>
  </r>
  <r>
    <s v="Renault KWID RXT"/>
    <x v="6"/>
    <n v="360000"/>
    <n v="26500"/>
    <x v="0"/>
    <x v="0"/>
    <x v="0"/>
    <s v="First Owner"/>
    <n v="8"/>
    <s v="Budget"/>
  </r>
  <r>
    <s v="Maruti 800 AC"/>
    <x v="19"/>
    <n v="65000"/>
    <n v="100000"/>
    <x v="0"/>
    <x v="0"/>
    <x v="0"/>
    <s v="Second Owner"/>
    <n v="24"/>
    <s v="Budget"/>
  </r>
  <r>
    <s v="Maruti Vitara Brezza LDi Option"/>
    <x v="2"/>
    <n v="685000"/>
    <n v="72000"/>
    <x v="1"/>
    <x v="1"/>
    <x v="0"/>
    <s v="First Owner"/>
    <n v="9"/>
    <s v="Mid Range"/>
  </r>
  <r>
    <s v="Honda Jazz S"/>
    <x v="11"/>
    <n v="300000"/>
    <n v="50000"/>
    <x v="0"/>
    <x v="0"/>
    <x v="0"/>
    <s v="First Owner"/>
    <n v="17"/>
    <s v="Budget"/>
  </r>
  <r>
    <s v="Hyundai i20 1.4 Sportz"/>
    <x v="2"/>
    <n v="680000"/>
    <n v="44000"/>
    <x v="1"/>
    <x v="1"/>
    <x v="0"/>
    <s v="First Owner"/>
    <n v="9"/>
    <s v="Mid Range"/>
  </r>
  <r>
    <s v="Maruti Ertiga SHVS ZDI Plus"/>
    <x v="2"/>
    <n v="1000000"/>
    <n v="60000"/>
    <x v="1"/>
    <x v="0"/>
    <x v="0"/>
    <s v="Second Owner"/>
    <n v="9"/>
    <s v="Mid Range"/>
  </r>
  <r>
    <s v="Tata Sumo SE Plus BSIII"/>
    <x v="19"/>
    <n v="100000"/>
    <n v="120000"/>
    <x v="1"/>
    <x v="0"/>
    <x v="0"/>
    <s v="First Owner"/>
    <n v="24"/>
    <s v="Budget"/>
  </r>
  <r>
    <s v="Mahindra Xylo E4"/>
    <x v="10"/>
    <n v="160000"/>
    <n v="130000"/>
    <x v="1"/>
    <x v="0"/>
    <x v="0"/>
    <s v="First Owner"/>
    <n v="16"/>
    <s v="Budget"/>
  </r>
  <r>
    <s v="Maruti Swift ZDi BSIV"/>
    <x v="2"/>
    <n v="450000"/>
    <n v="70000"/>
    <x v="1"/>
    <x v="0"/>
    <x v="0"/>
    <s v="First Owner"/>
    <n v="9"/>
    <s v="Budget"/>
  </r>
  <r>
    <s v="Maruti Ertiga VXI"/>
    <x v="3"/>
    <n v="600000"/>
    <n v="20000"/>
    <x v="0"/>
    <x v="0"/>
    <x v="0"/>
    <s v="First Owner"/>
    <n v="12"/>
    <s v="Mid Range"/>
  </r>
  <r>
    <s v="Hyundai i20 1.4 Magna ABS"/>
    <x v="11"/>
    <n v="180000"/>
    <n v="60000"/>
    <x v="1"/>
    <x v="0"/>
    <x v="0"/>
    <s v="Second Owner"/>
    <n v="17"/>
    <s v="Budget"/>
  </r>
  <r>
    <s v="Maruti Alto LXi"/>
    <x v="0"/>
    <n v="100000"/>
    <n v="195000"/>
    <x v="0"/>
    <x v="0"/>
    <x v="0"/>
    <s v="First Owner"/>
    <n v="19"/>
    <s v="Budget"/>
  </r>
  <r>
    <s v="Maruti Alto LXi"/>
    <x v="10"/>
    <n v="120000"/>
    <n v="90000"/>
    <x v="0"/>
    <x v="0"/>
    <x v="0"/>
    <s v="Second Owner"/>
    <n v="16"/>
    <s v="Budget"/>
  </r>
  <r>
    <s v="Hyundai Getz GL"/>
    <x v="12"/>
    <n v="130000"/>
    <n v="80000"/>
    <x v="0"/>
    <x v="0"/>
    <x v="0"/>
    <s v="Third Owner"/>
    <n v="20"/>
    <s v="Budget"/>
  </r>
  <r>
    <s v="Maruti Wagon R LX BS IV"/>
    <x v="9"/>
    <n v="160000"/>
    <n v="155000"/>
    <x v="0"/>
    <x v="0"/>
    <x v="0"/>
    <s v="First Owner"/>
    <n v="15"/>
    <s v="Budget"/>
  </r>
  <r>
    <s v="Mahindra Bolero Power Plus SLX"/>
    <x v="7"/>
    <n v="860000"/>
    <n v="35000"/>
    <x v="1"/>
    <x v="0"/>
    <x v="0"/>
    <s v="First Owner"/>
    <n v="7"/>
    <s v="Mid Range"/>
  </r>
  <r>
    <s v="Hyundai i20 1.2 Spotz"/>
    <x v="6"/>
    <n v="650000"/>
    <n v="20000"/>
    <x v="0"/>
    <x v="0"/>
    <x v="0"/>
    <s v="Second Owner"/>
    <n v="8"/>
    <s v="Mid Range"/>
  </r>
  <r>
    <s v="Maruti Wagon R LXI Minor"/>
    <x v="10"/>
    <n v="100000"/>
    <n v="80000"/>
    <x v="0"/>
    <x v="0"/>
    <x v="0"/>
    <s v="Second Owner"/>
    <n v="16"/>
    <s v="Budget"/>
  </r>
  <r>
    <s v="Maruti Alto 800 VXI"/>
    <x v="2"/>
    <n v="282000"/>
    <n v="20000"/>
    <x v="0"/>
    <x v="0"/>
    <x v="0"/>
    <s v="First Owner"/>
    <n v="9"/>
    <s v="Budget"/>
  </r>
  <r>
    <s v="Hyundai i20 Asta (o)"/>
    <x v="11"/>
    <n v="300000"/>
    <n v="50000"/>
    <x v="0"/>
    <x v="0"/>
    <x v="0"/>
    <s v="First Owner"/>
    <n v="17"/>
    <s v="Budget"/>
  </r>
  <r>
    <s v="Hyundai i20 Asta"/>
    <x v="10"/>
    <n v="270000"/>
    <n v="110000"/>
    <x v="0"/>
    <x v="0"/>
    <x v="0"/>
    <s v="Second Owner"/>
    <n v="16"/>
    <s v="Budget"/>
  </r>
  <r>
    <s v="Hyundai Verna 1.6 SX CRDi (O)"/>
    <x v="8"/>
    <n v="550000"/>
    <n v="29000"/>
    <x v="1"/>
    <x v="0"/>
    <x v="0"/>
    <s v="First Owner"/>
    <n v="13"/>
    <s v="Mid Range"/>
  </r>
  <r>
    <s v="Mahindra Xylo D2 BSIV"/>
    <x v="8"/>
    <n v="450000"/>
    <n v="120000"/>
    <x v="1"/>
    <x v="0"/>
    <x v="0"/>
    <s v="First Owner"/>
    <n v="13"/>
    <s v="Budget"/>
  </r>
  <r>
    <s v="Mahindra Bolero SLX 2WD BSIII"/>
    <x v="9"/>
    <n v="430000"/>
    <n v="70000"/>
    <x v="1"/>
    <x v="0"/>
    <x v="0"/>
    <s v="Second Owner"/>
    <n v="15"/>
    <s v="Budget"/>
  </r>
  <r>
    <s v="Maruti Ertiga VXI ABS"/>
    <x v="8"/>
    <n v="350000"/>
    <n v="40000"/>
    <x v="0"/>
    <x v="0"/>
    <x v="0"/>
    <s v="First Owner"/>
    <n v="13"/>
    <s v="Budget"/>
  </r>
  <r>
    <s v="Honda Brio 1.2 E MT"/>
    <x v="2"/>
    <n v="350000"/>
    <n v="20000"/>
    <x v="0"/>
    <x v="0"/>
    <x v="0"/>
    <s v="First Owner"/>
    <n v="9"/>
    <s v="Budget"/>
  </r>
  <r>
    <s v="Toyota Etios Liva G"/>
    <x v="8"/>
    <n v="229999"/>
    <n v="50000"/>
    <x v="0"/>
    <x v="0"/>
    <x v="0"/>
    <s v="Second Owner"/>
    <n v="13"/>
    <s v="Budget"/>
  </r>
  <r>
    <s v="Maruti Alto 800 LXI"/>
    <x v="8"/>
    <n v="110000"/>
    <n v="50000"/>
    <x v="0"/>
    <x v="0"/>
    <x v="0"/>
    <s v="First Owner"/>
    <n v="13"/>
    <s v="Budget"/>
  </r>
  <r>
    <s v="Maruti Swift Dzire 1.2 Vxi BSIV"/>
    <x v="1"/>
    <n v="395000"/>
    <n v="49000"/>
    <x v="0"/>
    <x v="0"/>
    <x v="0"/>
    <s v="Second Owner"/>
    <n v="14"/>
    <s v="Budget"/>
  </r>
  <r>
    <s v="Mahindra Scorpio VLS AT 2.2 mHAWK"/>
    <x v="9"/>
    <n v="650000"/>
    <n v="70000"/>
    <x v="1"/>
    <x v="0"/>
    <x v="1"/>
    <s v="Second Owner"/>
    <n v="15"/>
    <s v="Mid Range"/>
  </r>
  <r>
    <s v="Mahindra Bolero SLX"/>
    <x v="9"/>
    <n v="350000"/>
    <n v="90000"/>
    <x v="1"/>
    <x v="0"/>
    <x v="0"/>
    <s v="Second Owner"/>
    <n v="15"/>
    <s v="Budget"/>
  </r>
  <r>
    <s v="Mahindra XUV500 W11 Option AWD"/>
    <x v="20"/>
    <n v="1400000"/>
    <n v="25000"/>
    <x v="1"/>
    <x v="1"/>
    <x v="0"/>
    <s v="First Owner"/>
    <n v="6"/>
    <s v="Premium"/>
  </r>
  <r>
    <s v="Tata Tiago 1.2 Revotron XZ"/>
    <x v="6"/>
    <n v="360000"/>
    <n v="4000"/>
    <x v="0"/>
    <x v="0"/>
    <x v="0"/>
    <s v="First Owner"/>
    <n v="8"/>
    <s v="Budget"/>
  </r>
  <r>
    <s v="Mahindra Marazzo M8 8Str"/>
    <x v="6"/>
    <n v="1300000"/>
    <n v="10000"/>
    <x v="1"/>
    <x v="0"/>
    <x v="0"/>
    <s v="First Owner"/>
    <n v="8"/>
    <s v="Premium"/>
  </r>
  <r>
    <s v="Renault Duster 110PS Diesel RxL"/>
    <x v="5"/>
    <n v="800000"/>
    <n v="15000"/>
    <x v="1"/>
    <x v="0"/>
    <x v="0"/>
    <s v="First Owner"/>
    <n v="11"/>
    <s v="Mid Range"/>
  </r>
  <r>
    <s v="Hyundai EON Magna Plus"/>
    <x v="6"/>
    <n v="229999"/>
    <n v="30000"/>
    <x v="0"/>
    <x v="0"/>
    <x v="0"/>
    <s v="First Owner"/>
    <n v="8"/>
    <s v="Budget"/>
  </r>
  <r>
    <s v="Maruti Wagon R VXI"/>
    <x v="3"/>
    <n v="315000"/>
    <n v="41000"/>
    <x v="0"/>
    <x v="1"/>
    <x v="0"/>
    <s v="First Owner"/>
    <n v="12"/>
    <s v="Budget"/>
  </r>
  <r>
    <s v="Chevrolet Spark 1.0 LT"/>
    <x v="1"/>
    <n v="125000"/>
    <n v="28000"/>
    <x v="0"/>
    <x v="0"/>
    <x v="0"/>
    <s v="First Owner"/>
    <n v="14"/>
    <s v="Budget"/>
  </r>
  <r>
    <s v="Maruti Baleno Alpha"/>
    <x v="7"/>
    <n v="700000"/>
    <n v="16000"/>
    <x v="0"/>
    <x v="0"/>
    <x v="0"/>
    <s v="First Owner"/>
    <n v="7"/>
    <s v="Mid Range"/>
  </r>
  <r>
    <s v="Hyundai EON 1.0 Kappa Magna Plus"/>
    <x v="5"/>
    <n v="160000"/>
    <n v="70000"/>
    <x v="0"/>
    <x v="0"/>
    <x v="0"/>
    <s v="First Owner"/>
    <n v="11"/>
    <s v="Budget"/>
  </r>
  <r>
    <s v="Ford Figo Aspire 1.2 Ti-VCT Trend"/>
    <x v="2"/>
    <n v="530000"/>
    <n v="10832"/>
    <x v="0"/>
    <x v="1"/>
    <x v="0"/>
    <s v="First Owner"/>
    <n v="9"/>
    <s v="Mid Range"/>
  </r>
  <r>
    <s v="Ford Figo Aspire Facelift"/>
    <x v="6"/>
    <n v="624000"/>
    <n v="14681"/>
    <x v="1"/>
    <x v="1"/>
    <x v="0"/>
    <s v="First Owner"/>
    <n v="8"/>
    <s v="Mid Range"/>
  </r>
  <r>
    <s v="Hyundai i10 Era"/>
    <x v="11"/>
    <n v="250000"/>
    <n v="50000"/>
    <x v="0"/>
    <x v="0"/>
    <x v="0"/>
    <s v="First Owner"/>
    <n v="17"/>
    <s v="Budget"/>
  </r>
  <r>
    <s v="Mahindra Bolero SLX"/>
    <x v="4"/>
    <n v="585000"/>
    <n v="51000"/>
    <x v="1"/>
    <x v="1"/>
    <x v="0"/>
    <s v="First Owner"/>
    <n v="10"/>
    <s v="Mid Range"/>
  </r>
  <r>
    <s v="Hyundai Verna 1.4 VTVT"/>
    <x v="5"/>
    <n v="500000"/>
    <n v="25000"/>
    <x v="0"/>
    <x v="0"/>
    <x v="0"/>
    <s v="First Owner"/>
    <n v="11"/>
    <s v="Mid Range"/>
  </r>
  <r>
    <s v="Chevrolet Sail 1.2 LT ABS"/>
    <x v="3"/>
    <n v="350000"/>
    <n v="30000"/>
    <x v="0"/>
    <x v="0"/>
    <x v="0"/>
    <s v="First Owner"/>
    <n v="12"/>
    <s v="Budget"/>
  </r>
  <r>
    <s v="Honda City i-DTEC SV"/>
    <x v="3"/>
    <n v="495000"/>
    <n v="80000"/>
    <x v="1"/>
    <x v="1"/>
    <x v="0"/>
    <s v="First Owner"/>
    <n v="12"/>
    <s v="Budget"/>
  </r>
  <r>
    <s v="Hyundai Grand i10 1.2 Kappa Asta"/>
    <x v="2"/>
    <n v="500000"/>
    <n v="50000"/>
    <x v="0"/>
    <x v="0"/>
    <x v="0"/>
    <s v="First Owner"/>
    <n v="9"/>
    <s v="Mid Range"/>
  </r>
  <r>
    <s v="Mahindra Bolero Power Plus Plus AC BSIV PS"/>
    <x v="5"/>
    <n v="430000"/>
    <n v="200000"/>
    <x v="1"/>
    <x v="0"/>
    <x v="0"/>
    <s v="First Owner"/>
    <n v="11"/>
    <s v="Budget"/>
  </r>
  <r>
    <s v="Hyundai Grand i10 1.2 Kappa Sportz Option"/>
    <x v="8"/>
    <n v="345000"/>
    <n v="44000"/>
    <x v="0"/>
    <x v="1"/>
    <x v="0"/>
    <s v="First Owner"/>
    <n v="13"/>
    <s v="Budget"/>
  </r>
  <r>
    <s v="Maruti Baleno Sigma 1.2"/>
    <x v="5"/>
    <n v="500000"/>
    <n v="10000"/>
    <x v="0"/>
    <x v="0"/>
    <x v="0"/>
    <s v="First Owner"/>
    <n v="11"/>
    <s v="Mid Range"/>
  </r>
  <r>
    <s v="Tata Tiago 1.2 Revotron XZ"/>
    <x v="7"/>
    <n v="425000"/>
    <n v="19600"/>
    <x v="0"/>
    <x v="0"/>
    <x v="0"/>
    <s v="First Owner"/>
    <n v="7"/>
    <s v="Budget"/>
  </r>
  <r>
    <s v="Maruti Wagon R LXI"/>
    <x v="14"/>
    <n v="80000"/>
    <n v="40000"/>
    <x v="0"/>
    <x v="0"/>
    <x v="0"/>
    <s v="Second Owner"/>
    <n v="21"/>
    <s v="Budget"/>
  </r>
  <r>
    <s v="Chevrolet Beat Diesel LS"/>
    <x v="9"/>
    <n v="106000"/>
    <n v="50000"/>
    <x v="1"/>
    <x v="0"/>
    <x v="0"/>
    <s v="First Owner"/>
    <n v="15"/>
    <s v="Budget"/>
  </r>
  <r>
    <s v="Maruti A-Star Vxi"/>
    <x v="11"/>
    <n v="180000"/>
    <n v="46730"/>
    <x v="0"/>
    <x v="0"/>
    <x v="0"/>
    <s v="First Owner"/>
    <n v="17"/>
    <s v="Budget"/>
  </r>
  <r>
    <s v="Datsun GO A"/>
    <x v="5"/>
    <n v="250000"/>
    <n v="40000"/>
    <x v="0"/>
    <x v="0"/>
    <x v="0"/>
    <s v="Second Owner"/>
    <n v="11"/>
    <s v="Budget"/>
  </r>
  <r>
    <s v="Skoda Yeti Ambition 4WD"/>
    <x v="9"/>
    <n v="350000"/>
    <n v="80000"/>
    <x v="1"/>
    <x v="0"/>
    <x v="0"/>
    <s v="First Owner"/>
    <n v="15"/>
    <s v="Budget"/>
  </r>
  <r>
    <s v="Maruti Zen LXi BSII"/>
    <x v="19"/>
    <n v="60000"/>
    <n v="80000"/>
    <x v="0"/>
    <x v="0"/>
    <x v="0"/>
    <s v="Second Owner"/>
    <n v="24"/>
    <s v="Budget"/>
  </r>
  <r>
    <s v="Hyundai Verna CRDi 1.6 EX"/>
    <x v="6"/>
    <n v="900000"/>
    <n v="24000"/>
    <x v="1"/>
    <x v="0"/>
    <x v="0"/>
    <s v="First Owner"/>
    <n v="8"/>
    <s v="Mid Range"/>
  </r>
  <r>
    <s v="Ford Aspire Titanium Diesel BSIV"/>
    <x v="2"/>
    <n v="700000"/>
    <n v="21170"/>
    <x v="1"/>
    <x v="1"/>
    <x v="0"/>
    <s v="First Owner"/>
    <n v="9"/>
    <s v="Mid Range"/>
  </r>
  <r>
    <s v="BMW 3 Series 320d Sport"/>
    <x v="8"/>
    <n v="2000000"/>
    <n v="167223"/>
    <x v="1"/>
    <x v="1"/>
    <x v="1"/>
    <s v="First Owner"/>
    <n v="13"/>
    <s v="Premium"/>
  </r>
  <r>
    <s v="Maruti Ertiga SHVS ZDI Plus"/>
    <x v="2"/>
    <n v="1000000"/>
    <n v="40000"/>
    <x v="1"/>
    <x v="0"/>
    <x v="0"/>
    <s v="First Owner"/>
    <n v="9"/>
    <s v="Mid Range"/>
  </r>
  <r>
    <s v="BMW X1 sDrive 20d Exclusive"/>
    <x v="9"/>
    <n v="1375000"/>
    <n v="60000"/>
    <x v="1"/>
    <x v="0"/>
    <x v="1"/>
    <s v="First Owner"/>
    <n v="15"/>
    <s v="Premium"/>
  </r>
  <r>
    <s v="Toyota Innova Crysta 2.4 VX MT"/>
    <x v="4"/>
    <n v="1800000"/>
    <n v="141440"/>
    <x v="1"/>
    <x v="1"/>
    <x v="0"/>
    <s v="First Owner"/>
    <n v="10"/>
    <s v="Premium"/>
  </r>
  <r>
    <s v="Chevrolet Tavera Neo 3 10 Seats BSIV"/>
    <x v="0"/>
    <n v="160000"/>
    <n v="120000"/>
    <x v="1"/>
    <x v="0"/>
    <x v="0"/>
    <s v="Third Owner"/>
    <n v="19"/>
    <s v="Budget"/>
  </r>
  <r>
    <s v="Mitsubishi Outlander 2.4"/>
    <x v="1"/>
    <n v="525000"/>
    <n v="140000"/>
    <x v="0"/>
    <x v="0"/>
    <x v="1"/>
    <s v="First Owner"/>
    <n v="14"/>
    <s v="Mid Range"/>
  </r>
  <r>
    <s v="Mahindra XUV500 W8 2WD"/>
    <x v="1"/>
    <n v="850000"/>
    <n v="212814"/>
    <x v="1"/>
    <x v="1"/>
    <x v="0"/>
    <s v="First Owner"/>
    <n v="14"/>
    <s v="Mid Range"/>
  </r>
  <r>
    <s v="Maruti Baleno Alpha 1.3"/>
    <x v="7"/>
    <n v="800000"/>
    <n v="30000"/>
    <x v="1"/>
    <x v="0"/>
    <x v="0"/>
    <s v="First Owner"/>
    <n v="7"/>
    <s v="Mid Range"/>
  </r>
  <r>
    <s v="Ford Figo Aspire 1.5 TDCi Titanium"/>
    <x v="2"/>
    <n v="700000"/>
    <n v="88635"/>
    <x v="1"/>
    <x v="1"/>
    <x v="0"/>
    <s v="First Owner"/>
    <n v="9"/>
    <s v="Mid Range"/>
  </r>
  <r>
    <s v="Maruti Swift Dzire VDI"/>
    <x v="6"/>
    <n v="800000"/>
    <n v="25000"/>
    <x v="1"/>
    <x v="0"/>
    <x v="0"/>
    <s v="First Owner"/>
    <n v="8"/>
    <s v="Mid Range"/>
  </r>
  <r>
    <s v="Hyundai i20 1.2 Spotz"/>
    <x v="2"/>
    <n v="575000"/>
    <n v="20000"/>
    <x v="0"/>
    <x v="0"/>
    <x v="0"/>
    <s v="Second Owner"/>
    <n v="9"/>
    <s v="Mid Range"/>
  </r>
  <r>
    <s v="Renault Duster 110PS Diesel RxZ"/>
    <x v="1"/>
    <n v="350000"/>
    <n v="110000"/>
    <x v="1"/>
    <x v="0"/>
    <x v="0"/>
    <s v="Second Owner"/>
    <n v="14"/>
    <s v="Budget"/>
  </r>
  <r>
    <s v="Maruti Swift Vdi BSIII"/>
    <x v="15"/>
    <n v="250000"/>
    <n v="120000"/>
    <x v="1"/>
    <x v="0"/>
    <x v="0"/>
    <s v="Third Owner"/>
    <n v="18"/>
    <s v="Budget"/>
  </r>
  <r>
    <s v="Ford Endeavour Titanium 4X2"/>
    <x v="9"/>
    <n v="600000"/>
    <n v="149674"/>
    <x v="1"/>
    <x v="1"/>
    <x v="0"/>
    <s v="Second Owner"/>
    <n v="15"/>
    <s v="Mid Range"/>
  </r>
  <r>
    <s v="Mahindra Scorpio 2.6 Turbo 9 Str"/>
    <x v="0"/>
    <n v="370000"/>
    <n v="100000"/>
    <x v="1"/>
    <x v="0"/>
    <x v="0"/>
    <s v="Third Owner"/>
    <n v="19"/>
    <s v="Budget"/>
  </r>
  <r>
    <s v="Maruti Baleno Vxi"/>
    <x v="12"/>
    <n v="80000"/>
    <n v="120000"/>
    <x v="0"/>
    <x v="0"/>
    <x v="0"/>
    <s v="Third Owner"/>
    <n v="20"/>
    <s v="Budget"/>
  </r>
  <r>
    <s v="Tata Indica DLX"/>
    <x v="18"/>
    <n v="50000"/>
    <n v="120000"/>
    <x v="1"/>
    <x v="0"/>
    <x v="0"/>
    <s v="Second Owner"/>
    <n v="23"/>
    <s v="Budget"/>
  </r>
  <r>
    <s v="Hyundai Verna CRDi 1.6 EX"/>
    <x v="6"/>
    <n v="900000"/>
    <n v="25000"/>
    <x v="1"/>
    <x v="0"/>
    <x v="0"/>
    <s v="First Owner"/>
    <n v="8"/>
    <s v="Mid Range"/>
  </r>
  <r>
    <s v="Maruti Wagon R VXI BS IV"/>
    <x v="3"/>
    <n v="300000"/>
    <n v="35000"/>
    <x v="0"/>
    <x v="0"/>
    <x v="0"/>
    <s v="Second Owner"/>
    <n v="12"/>
    <s v="Budget"/>
  </r>
  <r>
    <s v="Tata Indica LSI"/>
    <x v="19"/>
    <n v="125000"/>
    <n v="40000"/>
    <x v="0"/>
    <x v="0"/>
    <x v="0"/>
    <s v="First Owner"/>
    <n v="24"/>
    <s v="Budget"/>
  </r>
  <r>
    <s v="Maruti Swift Dzire VDI"/>
    <x v="5"/>
    <n v="490000"/>
    <n v="60000"/>
    <x v="1"/>
    <x v="0"/>
    <x v="0"/>
    <s v="Second Owner"/>
    <n v="11"/>
    <s v="Budget"/>
  </r>
  <r>
    <s v="Toyota Etios Liva GD"/>
    <x v="1"/>
    <n v="300000"/>
    <n v="50000"/>
    <x v="1"/>
    <x v="0"/>
    <x v="0"/>
    <s v="Second Owner"/>
    <n v="14"/>
    <s v="Budget"/>
  </r>
  <r>
    <s v="Tata Nano STD"/>
    <x v="8"/>
    <n v="55000"/>
    <n v="25000"/>
    <x v="0"/>
    <x v="0"/>
    <x v="0"/>
    <s v="Fourth &amp; Above Owner"/>
    <n v="13"/>
    <s v="Budget"/>
  </r>
  <r>
    <s v="Hyundai Grand i10 Sportz"/>
    <x v="4"/>
    <n v="350000"/>
    <n v="25000"/>
    <x v="0"/>
    <x v="0"/>
    <x v="0"/>
    <s v="First Owner"/>
    <n v="10"/>
    <s v="Budget"/>
  </r>
  <r>
    <s v="Hyundai Grand i10 1.2 CRDi Asta"/>
    <x v="7"/>
    <n v="755000"/>
    <n v="8000"/>
    <x v="1"/>
    <x v="0"/>
    <x v="0"/>
    <s v="First Owner"/>
    <n v="7"/>
    <s v="Mid Range"/>
  </r>
  <r>
    <s v="Maruti Ertiga SHVS VDI"/>
    <x v="2"/>
    <n v="720000"/>
    <n v="60000"/>
    <x v="1"/>
    <x v="0"/>
    <x v="0"/>
    <s v="First Owner"/>
    <n v="9"/>
    <s v="Mid Range"/>
  </r>
  <r>
    <s v="Mahindra Bolero SLX"/>
    <x v="12"/>
    <n v="229999"/>
    <n v="200000"/>
    <x v="1"/>
    <x v="0"/>
    <x v="0"/>
    <s v="Third Owner"/>
    <n v="20"/>
    <s v="Budget"/>
  </r>
  <r>
    <s v="Mahindra Scorpio S7 140 BSIV"/>
    <x v="6"/>
    <n v="1100000"/>
    <n v="20000"/>
    <x v="1"/>
    <x v="0"/>
    <x v="0"/>
    <s v="First Owner"/>
    <n v="8"/>
    <s v="Premium"/>
  </r>
  <r>
    <s v="Volkswagen Polo Petrol Comfortline 1.2L"/>
    <x v="8"/>
    <n v="400000"/>
    <n v="100000"/>
    <x v="0"/>
    <x v="0"/>
    <x v="0"/>
    <s v="First Owner"/>
    <n v="13"/>
    <s v="Budget"/>
  </r>
  <r>
    <s v="Hyundai Xcent 1.1 CRDi Base"/>
    <x v="5"/>
    <n v="350000"/>
    <n v="70000"/>
    <x v="1"/>
    <x v="0"/>
    <x v="0"/>
    <s v="Second Owner"/>
    <n v="11"/>
    <s v="Budget"/>
  </r>
  <r>
    <s v="Chevrolet Beat Diesel PS"/>
    <x v="1"/>
    <n v="159000"/>
    <n v="68000"/>
    <x v="1"/>
    <x v="1"/>
    <x v="0"/>
    <s v="First Owner"/>
    <n v="14"/>
    <s v="Budget"/>
  </r>
  <r>
    <s v="Maruti Swift ZXi BSIV"/>
    <x v="2"/>
    <n v="550000"/>
    <n v="38000"/>
    <x v="0"/>
    <x v="1"/>
    <x v="0"/>
    <s v="First Owner"/>
    <n v="9"/>
    <s v="Mid Range"/>
  </r>
  <r>
    <s v="Maruti Ritz VDi"/>
    <x v="8"/>
    <n v="335000"/>
    <n v="80000"/>
    <x v="1"/>
    <x v="1"/>
    <x v="0"/>
    <s v="First Owner"/>
    <n v="13"/>
    <s v="Budget"/>
  </r>
  <r>
    <s v="Tata Indigo CS Emax CNG GLX"/>
    <x v="3"/>
    <n v="185000"/>
    <n v="72000"/>
    <x v="2"/>
    <x v="1"/>
    <x v="0"/>
    <s v="First Owner"/>
    <n v="12"/>
    <s v="Budget"/>
  </r>
  <r>
    <s v="Maruti Eeco 5 STR With AC Plus HTR CNG"/>
    <x v="1"/>
    <n v="229999"/>
    <n v="75000"/>
    <x v="2"/>
    <x v="1"/>
    <x v="0"/>
    <s v="First Owner"/>
    <n v="14"/>
    <s v="Budget"/>
  </r>
  <r>
    <s v="Maruti Estilo LXI"/>
    <x v="3"/>
    <n v="225000"/>
    <n v="43000"/>
    <x v="0"/>
    <x v="1"/>
    <x v="0"/>
    <s v="First Owner"/>
    <n v="12"/>
    <s v="Budget"/>
  </r>
  <r>
    <s v="Maruti Swift VXI with ABS"/>
    <x v="0"/>
    <n v="250000"/>
    <n v="120000"/>
    <x v="0"/>
    <x v="0"/>
    <x v="0"/>
    <s v="Second Owner"/>
    <n v="19"/>
    <s v="Budget"/>
  </r>
  <r>
    <s v="Tata Zest Quadrajet 1.3 XM"/>
    <x v="5"/>
    <n v="400000"/>
    <n v="100000"/>
    <x v="1"/>
    <x v="0"/>
    <x v="0"/>
    <s v="First Owner"/>
    <n v="11"/>
    <s v="Budget"/>
  </r>
  <r>
    <s v="Maruti Swift VDI BSIV"/>
    <x v="3"/>
    <n v="470000"/>
    <n v="163000"/>
    <x v="1"/>
    <x v="0"/>
    <x v="0"/>
    <s v="First Owner"/>
    <n v="12"/>
    <s v="Budget"/>
  </r>
  <r>
    <s v="Maruti Alto K10 VXI AGS Optional"/>
    <x v="6"/>
    <n v="300000"/>
    <n v="25000"/>
    <x v="0"/>
    <x v="0"/>
    <x v="1"/>
    <s v="First Owner"/>
    <n v="8"/>
    <s v="Budget"/>
  </r>
  <r>
    <s v="Maruti Alto LX"/>
    <x v="9"/>
    <n v="145000"/>
    <n v="25000"/>
    <x v="0"/>
    <x v="0"/>
    <x v="0"/>
    <s v="First Owner"/>
    <n v="15"/>
    <s v="Budget"/>
  </r>
  <r>
    <s v="Maruti SX4 Vxi BSIII"/>
    <x v="0"/>
    <n v="100000"/>
    <n v="90000"/>
    <x v="0"/>
    <x v="0"/>
    <x v="0"/>
    <s v="Second Owner"/>
    <n v="19"/>
    <s v="Budget"/>
  </r>
  <r>
    <s v="Mahindra Scorpio SLE BSIV"/>
    <x v="3"/>
    <n v="500000"/>
    <n v="70000"/>
    <x v="1"/>
    <x v="0"/>
    <x v="0"/>
    <s v="Second Owner"/>
    <n v="12"/>
    <s v="Mid Range"/>
  </r>
  <r>
    <s v="Hyundai Santro Xing GLS CNG"/>
    <x v="10"/>
    <n v="130000"/>
    <n v="98000"/>
    <x v="2"/>
    <x v="0"/>
    <x v="0"/>
    <s v="Second Owner"/>
    <n v="16"/>
    <s v="Budget"/>
  </r>
  <r>
    <s v="Chevrolet Cruze LTZ"/>
    <x v="10"/>
    <n v="240000"/>
    <n v="81925"/>
    <x v="1"/>
    <x v="0"/>
    <x v="0"/>
    <s v="First Owner"/>
    <n v="16"/>
    <s v="Budget"/>
  </r>
  <r>
    <s v="Ford Figo Diesel Celebration Edition"/>
    <x v="8"/>
    <n v="150000"/>
    <n v="80000"/>
    <x v="1"/>
    <x v="0"/>
    <x v="0"/>
    <s v="Second Owner"/>
    <n v="13"/>
    <s v="Budget"/>
  </r>
  <r>
    <s v="Renault KWID RXT Optional"/>
    <x v="2"/>
    <n v="270000"/>
    <n v="40000"/>
    <x v="0"/>
    <x v="0"/>
    <x v="0"/>
    <s v="First Owner"/>
    <n v="9"/>
    <s v="Budget"/>
  </r>
  <r>
    <s v="Maruti Swift Dzire VDI"/>
    <x v="3"/>
    <n v="400000"/>
    <n v="90000"/>
    <x v="1"/>
    <x v="0"/>
    <x v="0"/>
    <s v="First Owner"/>
    <n v="12"/>
    <s v="Budget"/>
  </r>
  <r>
    <s v="Hyundai EON Era Plus"/>
    <x v="1"/>
    <n v="200000"/>
    <n v="46000"/>
    <x v="0"/>
    <x v="0"/>
    <x v="0"/>
    <s v="First Owner"/>
    <n v="14"/>
    <s v="Budget"/>
  </r>
  <r>
    <s v="Mahindra XUV500 W6 2WD"/>
    <x v="1"/>
    <n v="550000"/>
    <n v="80000"/>
    <x v="1"/>
    <x v="0"/>
    <x v="0"/>
    <s v="First Owner"/>
    <n v="14"/>
    <s v="Mid Range"/>
  </r>
  <r>
    <s v="Renault KWID 1.0 RXT Optional"/>
    <x v="6"/>
    <n v="325000"/>
    <n v="35000"/>
    <x v="0"/>
    <x v="0"/>
    <x v="0"/>
    <s v="First Owner"/>
    <n v="8"/>
    <s v="Budget"/>
  </r>
  <r>
    <s v="Skoda Rapid 1.5 TDI AT Style BSIV"/>
    <x v="2"/>
    <n v="860000"/>
    <n v="82080"/>
    <x v="1"/>
    <x v="0"/>
    <x v="1"/>
    <s v="First Owner"/>
    <n v="9"/>
    <s v="Mid Range"/>
  </r>
  <r>
    <s v="Mahindra XUV500 W8 2WD"/>
    <x v="1"/>
    <n v="600000"/>
    <n v="200000"/>
    <x v="1"/>
    <x v="0"/>
    <x v="0"/>
    <s v="First Owner"/>
    <n v="14"/>
    <s v="Mid Range"/>
  </r>
  <r>
    <s v="Chevrolet Spark 1.0"/>
    <x v="11"/>
    <n v="125000"/>
    <n v="70000"/>
    <x v="0"/>
    <x v="0"/>
    <x v="0"/>
    <s v="First Owner"/>
    <n v="17"/>
    <s v="Budget"/>
  </r>
  <r>
    <s v="Maruti 800 AC"/>
    <x v="21"/>
    <n v="60000"/>
    <n v="40000"/>
    <x v="0"/>
    <x v="0"/>
    <x v="0"/>
    <s v="Third Owner"/>
    <n v="26"/>
    <s v="Budget"/>
  </r>
  <r>
    <s v="Chevrolet Tavera Neo 3 10 Seats BSIV"/>
    <x v="10"/>
    <n v="300000"/>
    <n v="120000"/>
    <x v="1"/>
    <x v="0"/>
    <x v="0"/>
    <s v="Third Owner"/>
    <n v="16"/>
    <s v="Budget"/>
  </r>
  <r>
    <s v="Ford Fiesta 1.6 ZXi Duratec"/>
    <x v="0"/>
    <n v="190000"/>
    <n v="60000"/>
    <x v="0"/>
    <x v="0"/>
    <x v="0"/>
    <s v="Third Owner"/>
    <n v="19"/>
    <s v="Budget"/>
  </r>
  <r>
    <s v="Maruti Ertiga VDI"/>
    <x v="8"/>
    <n v="400000"/>
    <n v="110000"/>
    <x v="1"/>
    <x v="0"/>
    <x v="0"/>
    <s v="First Owner"/>
    <n v="13"/>
    <s v="Budget"/>
  </r>
  <r>
    <s v="Tata Manza Aura Quadrajet BS IV"/>
    <x v="9"/>
    <n v="260000"/>
    <n v="97000"/>
    <x v="1"/>
    <x v="0"/>
    <x v="0"/>
    <s v="Second Owner"/>
    <n v="15"/>
    <s v="Budget"/>
  </r>
  <r>
    <s v="Maruti Swift VVT VXI"/>
    <x v="2"/>
    <n v="400000"/>
    <n v="30000"/>
    <x v="0"/>
    <x v="0"/>
    <x v="0"/>
    <s v="First Owner"/>
    <n v="9"/>
    <s v="Budget"/>
  </r>
  <r>
    <s v="Hyundai i20 Sportz Petrol"/>
    <x v="10"/>
    <n v="250000"/>
    <n v="40000"/>
    <x v="0"/>
    <x v="0"/>
    <x v="0"/>
    <s v="First Owner"/>
    <n v="16"/>
    <s v="Budget"/>
  </r>
  <r>
    <s v="Hyundai Grand i10 1.2 Kappa Asta"/>
    <x v="7"/>
    <n v="600000"/>
    <n v="10000"/>
    <x v="0"/>
    <x v="0"/>
    <x v="0"/>
    <s v="First Owner"/>
    <n v="7"/>
    <s v="Mid Range"/>
  </r>
  <r>
    <s v="Maruti Zen Estilo VXI BSIV"/>
    <x v="10"/>
    <n v="175000"/>
    <n v="52047"/>
    <x v="0"/>
    <x v="0"/>
    <x v="0"/>
    <s v="First Owner"/>
    <n v="16"/>
    <s v="Budget"/>
  </r>
  <r>
    <s v="Toyota Innova 2.5 G (Diesel) 8 Seater BS IV"/>
    <x v="9"/>
    <n v="450000"/>
    <n v="200000"/>
    <x v="1"/>
    <x v="0"/>
    <x v="0"/>
    <s v="Third Owner"/>
    <n v="15"/>
    <s v="Budget"/>
  </r>
  <r>
    <s v="Tata Tiago 1.2 Revotron XZA"/>
    <x v="7"/>
    <n v="350000"/>
    <n v="15000"/>
    <x v="0"/>
    <x v="0"/>
    <x v="1"/>
    <s v="Second Owner"/>
    <n v="7"/>
    <s v="Budget"/>
  </r>
  <r>
    <s v="Maruti Vitara Brezza ZDi"/>
    <x v="6"/>
    <n v="800000"/>
    <n v="50000"/>
    <x v="1"/>
    <x v="0"/>
    <x v="0"/>
    <s v="First Owner"/>
    <n v="8"/>
    <s v="Mid Range"/>
  </r>
  <r>
    <s v="Maruti Swift VXI BSIII"/>
    <x v="9"/>
    <n v="250000"/>
    <n v="70000"/>
    <x v="0"/>
    <x v="0"/>
    <x v="0"/>
    <s v="Second Owner"/>
    <n v="15"/>
    <s v="Budget"/>
  </r>
  <r>
    <s v="Maruti Swift VXI BSIV"/>
    <x v="7"/>
    <n v="600000"/>
    <n v="10000"/>
    <x v="0"/>
    <x v="0"/>
    <x v="0"/>
    <s v="First Owner"/>
    <n v="7"/>
    <s v="Mid Range"/>
  </r>
  <r>
    <s v="Maruti Swift VDI BSIV"/>
    <x v="2"/>
    <n v="600000"/>
    <n v="90000"/>
    <x v="1"/>
    <x v="0"/>
    <x v="0"/>
    <s v="First Owner"/>
    <n v="9"/>
    <s v="Mid Range"/>
  </r>
  <r>
    <s v="Maruti Alto 800 LXI"/>
    <x v="4"/>
    <n v="130000"/>
    <n v="40000"/>
    <x v="0"/>
    <x v="0"/>
    <x v="0"/>
    <s v="First Owner"/>
    <n v="10"/>
    <s v="Budget"/>
  </r>
  <r>
    <s v="Maruti Wagon R LXI"/>
    <x v="12"/>
    <n v="90000"/>
    <n v="62009"/>
    <x v="0"/>
    <x v="0"/>
    <x v="0"/>
    <s v="Second Owner"/>
    <n v="20"/>
    <s v="Budget"/>
  </r>
  <r>
    <s v="Hyundai i20 Active 1.2 S"/>
    <x v="2"/>
    <n v="595000"/>
    <n v="33100"/>
    <x v="0"/>
    <x v="0"/>
    <x v="0"/>
    <s v="Second Owner"/>
    <n v="9"/>
    <s v="Mid Range"/>
  </r>
  <r>
    <s v="Hyundai EON Era Plus"/>
    <x v="3"/>
    <n v="190000"/>
    <n v="40000"/>
    <x v="0"/>
    <x v="0"/>
    <x v="0"/>
    <s v="Second Owner"/>
    <n v="12"/>
    <s v="Budget"/>
  </r>
  <r>
    <s v="Hyundai Santro GLS I - Euro I"/>
    <x v="22"/>
    <n v="50000"/>
    <n v="120000"/>
    <x v="0"/>
    <x v="0"/>
    <x v="0"/>
    <s v="Second Owner"/>
    <n v="27"/>
    <s v="Budget"/>
  </r>
  <r>
    <s v="Maruti Wagon R LXI Minor"/>
    <x v="0"/>
    <n v="95000"/>
    <n v="80000"/>
    <x v="0"/>
    <x v="0"/>
    <x v="0"/>
    <s v="First Owner"/>
    <n v="19"/>
    <s v="Budget"/>
  </r>
  <r>
    <s v="Tata Safari Storme VX"/>
    <x v="4"/>
    <n v="1000000"/>
    <n v="70000"/>
    <x v="1"/>
    <x v="0"/>
    <x v="0"/>
    <s v="First Owner"/>
    <n v="10"/>
    <s v="Mid Range"/>
  </r>
  <r>
    <s v="Mahindra Scorpio REV 116"/>
    <x v="12"/>
    <n v="220000"/>
    <n v="220000"/>
    <x v="0"/>
    <x v="0"/>
    <x v="0"/>
    <s v="Second Owner"/>
    <n v="20"/>
    <s v="Budget"/>
  </r>
  <r>
    <s v="Mahindra Bolero SLX"/>
    <x v="10"/>
    <n v="400000"/>
    <n v="50000"/>
    <x v="1"/>
    <x v="0"/>
    <x v="0"/>
    <s v="First Owner"/>
    <n v="16"/>
    <s v="Budget"/>
  </r>
  <r>
    <s v="Datsun GO Plus A"/>
    <x v="5"/>
    <n v="315000"/>
    <n v="45000"/>
    <x v="0"/>
    <x v="0"/>
    <x v="0"/>
    <s v="Second Owner"/>
    <n v="11"/>
    <s v="Budget"/>
  </r>
  <r>
    <s v="Toyota Fortuner 4x4 MT"/>
    <x v="3"/>
    <n v="1000000"/>
    <n v="110000"/>
    <x v="1"/>
    <x v="0"/>
    <x v="0"/>
    <s v="First Owner"/>
    <n v="12"/>
    <s v="Mid Range"/>
  </r>
  <r>
    <s v="Ford Ecosport 1.5 DV5 MT Titanium"/>
    <x v="3"/>
    <n v="500000"/>
    <n v="49000"/>
    <x v="1"/>
    <x v="0"/>
    <x v="0"/>
    <s v="First Owner"/>
    <n v="12"/>
    <s v="Mid Range"/>
  </r>
  <r>
    <s v="Mahindra XUV500 W11 AT BSIV"/>
    <x v="6"/>
    <n v="1600000"/>
    <n v="35000"/>
    <x v="1"/>
    <x v="0"/>
    <x v="1"/>
    <s v="First Owner"/>
    <n v="8"/>
    <s v="Premium"/>
  </r>
  <r>
    <s v="Mahindra Supro VX 8 Str"/>
    <x v="2"/>
    <n v="500000"/>
    <n v="160000"/>
    <x v="1"/>
    <x v="0"/>
    <x v="0"/>
    <s v="First Owner"/>
    <n v="9"/>
    <s v="Mid Range"/>
  </r>
  <r>
    <s v="Maruti Alto LX"/>
    <x v="0"/>
    <n v="70000"/>
    <n v="180000"/>
    <x v="0"/>
    <x v="0"/>
    <x v="0"/>
    <s v="Third Owner"/>
    <n v="19"/>
    <s v="Budget"/>
  </r>
  <r>
    <s v="Maruti 800 AC"/>
    <x v="0"/>
    <n v="105000"/>
    <n v="60000"/>
    <x v="0"/>
    <x v="0"/>
    <x v="0"/>
    <s v="Second Owner"/>
    <n v="19"/>
    <s v="Budget"/>
  </r>
  <r>
    <s v="Ford Endeavour 2.5L 4X2 MT"/>
    <x v="15"/>
    <n v="400000"/>
    <n v="110000"/>
    <x v="1"/>
    <x v="0"/>
    <x v="0"/>
    <s v="Third Owner"/>
    <n v="18"/>
    <s v="Budget"/>
  </r>
  <r>
    <s v="Maruti Wagon R LXI"/>
    <x v="16"/>
    <n v="80000"/>
    <n v="60000"/>
    <x v="0"/>
    <x v="0"/>
    <x v="0"/>
    <s v="Third Owner"/>
    <n v="22"/>
    <s v="Budget"/>
  </r>
  <r>
    <s v="Maruti Alto 800 VXI"/>
    <x v="4"/>
    <n v="300000"/>
    <n v="30000"/>
    <x v="0"/>
    <x v="0"/>
    <x v="0"/>
    <s v="First Owner"/>
    <n v="10"/>
    <s v="Budget"/>
  </r>
  <r>
    <s v="Mahindra KUV 100 D75 K2"/>
    <x v="2"/>
    <n v="409999"/>
    <n v="40000"/>
    <x v="1"/>
    <x v="0"/>
    <x v="0"/>
    <s v="First Owner"/>
    <n v="9"/>
    <s v="Budget"/>
  </r>
  <r>
    <s v="Maruti Swift Glam"/>
    <x v="11"/>
    <n v="250000"/>
    <n v="70000"/>
    <x v="0"/>
    <x v="0"/>
    <x v="0"/>
    <s v="First Owner"/>
    <n v="17"/>
    <s v="Budget"/>
  </r>
  <r>
    <s v="Tata New Safari DICOR 2.2 EX 4x2"/>
    <x v="10"/>
    <n v="250000"/>
    <n v="120000"/>
    <x v="1"/>
    <x v="0"/>
    <x v="0"/>
    <s v="Second Owner"/>
    <n v="16"/>
    <s v="Budget"/>
  </r>
  <r>
    <s v="Maruti Swift Dzire VDI"/>
    <x v="1"/>
    <n v="215000"/>
    <n v="80000"/>
    <x v="1"/>
    <x v="0"/>
    <x v="0"/>
    <s v="Third Owner"/>
    <n v="14"/>
    <s v="Budget"/>
  </r>
  <r>
    <s v="Toyota Fortuner 4x4 MT"/>
    <x v="5"/>
    <n v="1400000"/>
    <n v="120000"/>
    <x v="1"/>
    <x v="0"/>
    <x v="0"/>
    <s v="First Owner"/>
    <n v="11"/>
    <s v="Premium"/>
  </r>
  <r>
    <s v="Honda Brio 1.2 VX MT"/>
    <x v="6"/>
    <n v="475000"/>
    <n v="20000"/>
    <x v="0"/>
    <x v="0"/>
    <x v="0"/>
    <s v="First Owner"/>
    <n v="8"/>
    <s v="Budget"/>
  </r>
  <r>
    <s v="Honda Brio 1.2 VX MT"/>
    <x v="6"/>
    <n v="475000"/>
    <n v="22000"/>
    <x v="0"/>
    <x v="0"/>
    <x v="0"/>
    <s v="First Owner"/>
    <n v="8"/>
    <s v="Budget"/>
  </r>
  <r>
    <s v="Chevrolet Spark 1.0 LS"/>
    <x v="15"/>
    <n v="75000"/>
    <n v="35000"/>
    <x v="0"/>
    <x v="0"/>
    <x v="0"/>
    <s v="Second Owner"/>
    <n v="18"/>
    <s v="Budget"/>
  </r>
  <r>
    <s v="Chevrolet Sail Hatchback LS ABS"/>
    <x v="8"/>
    <n v="200000"/>
    <n v="120000"/>
    <x v="1"/>
    <x v="0"/>
    <x v="0"/>
    <s v="Second Owner"/>
    <n v="13"/>
    <s v="Budget"/>
  </r>
  <r>
    <s v="Tata Tiago NRG Petrol"/>
    <x v="7"/>
    <n v="575000"/>
    <n v="8000"/>
    <x v="0"/>
    <x v="0"/>
    <x v="0"/>
    <s v="First Owner"/>
    <n v="7"/>
    <s v="Mid Range"/>
  </r>
  <r>
    <s v="Maruti Ritz VDi"/>
    <x v="9"/>
    <n v="150000"/>
    <n v="40000"/>
    <x v="1"/>
    <x v="0"/>
    <x v="0"/>
    <s v="Second Owner"/>
    <n v="15"/>
    <s v="Budget"/>
  </r>
  <r>
    <s v="Maruti Vitara Brezza ZDi Plus"/>
    <x v="6"/>
    <n v="850000"/>
    <n v="10000"/>
    <x v="1"/>
    <x v="0"/>
    <x v="0"/>
    <s v="First Owner"/>
    <n v="8"/>
    <s v="Mid Range"/>
  </r>
  <r>
    <s v="Hyundai Santro Era"/>
    <x v="7"/>
    <n v="350000"/>
    <n v="30000"/>
    <x v="0"/>
    <x v="0"/>
    <x v="0"/>
    <s v="First Owner"/>
    <n v="7"/>
    <s v="Budget"/>
  </r>
  <r>
    <s v="Ford Endeavour 2.5L 4X2 MT"/>
    <x v="9"/>
    <n v="550000"/>
    <n v="54000"/>
    <x v="1"/>
    <x v="0"/>
    <x v="0"/>
    <s v="Second Owner"/>
    <n v="15"/>
    <s v="Mid Range"/>
  </r>
  <r>
    <s v="Hyundai Verna 1.4 VTVT"/>
    <x v="2"/>
    <n v="330000"/>
    <n v="80577"/>
    <x v="0"/>
    <x v="0"/>
    <x v="0"/>
    <s v="First Owner"/>
    <n v="9"/>
    <s v="Budget"/>
  </r>
  <r>
    <s v="Honda City i-DTEC V"/>
    <x v="2"/>
    <n v="1044999"/>
    <n v="25000"/>
    <x v="1"/>
    <x v="0"/>
    <x v="0"/>
    <s v="First Owner"/>
    <n v="9"/>
    <s v="Premium"/>
  </r>
  <r>
    <s v="Hyundai Verna 1.6 CRDI"/>
    <x v="9"/>
    <n v="300000"/>
    <n v="127500"/>
    <x v="1"/>
    <x v="0"/>
    <x v="0"/>
    <s v="Second Owner"/>
    <n v="15"/>
    <s v="Budget"/>
  </r>
  <r>
    <s v="Hyundai EON D Lite Plus"/>
    <x v="5"/>
    <n v="235000"/>
    <n v="40903"/>
    <x v="0"/>
    <x v="1"/>
    <x v="0"/>
    <s v="First Owner"/>
    <n v="11"/>
    <s v="Budget"/>
  </r>
  <r>
    <s v="Ford Figo Petrol Titanium"/>
    <x v="9"/>
    <n v="120000"/>
    <n v="60000"/>
    <x v="0"/>
    <x v="0"/>
    <x v="0"/>
    <s v="Third Owner"/>
    <n v="15"/>
    <s v="Budget"/>
  </r>
  <r>
    <s v="Maruti Wagon R VXI"/>
    <x v="16"/>
    <n v="130000"/>
    <n v="46000"/>
    <x v="0"/>
    <x v="0"/>
    <x v="0"/>
    <s v="First Owner"/>
    <n v="22"/>
    <s v="Budget"/>
  </r>
  <r>
    <s v="Ford Endeavour 4x4 XLT"/>
    <x v="16"/>
    <n v="275000"/>
    <n v="22288"/>
    <x v="1"/>
    <x v="1"/>
    <x v="0"/>
    <s v="Second Owner"/>
    <n v="22"/>
    <s v="Budget"/>
  </r>
  <r>
    <s v="Volkswagen Jetta 2.0 TDI Trendline"/>
    <x v="9"/>
    <n v="270000"/>
    <n v="180000"/>
    <x v="1"/>
    <x v="0"/>
    <x v="0"/>
    <s v="Second Owner"/>
    <n v="15"/>
    <s v="Budget"/>
  </r>
  <r>
    <s v="Volkswagen Polo 1.5 TDI Highline"/>
    <x v="5"/>
    <n v="500000"/>
    <n v="30000"/>
    <x v="1"/>
    <x v="0"/>
    <x v="0"/>
    <s v="Second Owner"/>
    <n v="11"/>
    <s v="Mid Range"/>
  </r>
  <r>
    <s v="Hyundai Grand i10 Sportz"/>
    <x v="5"/>
    <n v="400000"/>
    <n v="61690"/>
    <x v="0"/>
    <x v="1"/>
    <x v="0"/>
    <s v="First Owner"/>
    <n v="11"/>
    <s v="Budget"/>
  </r>
  <r>
    <s v="Hyundai i20 Asta 1.2"/>
    <x v="5"/>
    <n v="600000"/>
    <n v="64484"/>
    <x v="0"/>
    <x v="1"/>
    <x v="0"/>
    <s v="First Owner"/>
    <n v="11"/>
    <s v="Mid Range"/>
  </r>
  <r>
    <s v="Audi Q5 2.0 TDI"/>
    <x v="1"/>
    <n v="1350000"/>
    <n v="90000"/>
    <x v="1"/>
    <x v="0"/>
    <x v="1"/>
    <s v="Second Owner"/>
    <n v="14"/>
    <s v="Premium"/>
  </r>
  <r>
    <s v="Renault Duster 85PS Diesel RxE"/>
    <x v="8"/>
    <n v="400000"/>
    <n v="75976"/>
    <x v="1"/>
    <x v="1"/>
    <x v="0"/>
    <s v="Second Owner"/>
    <n v="13"/>
    <s v="Budget"/>
  </r>
  <r>
    <s v="Ford Figo Diesel Titanium"/>
    <x v="9"/>
    <n v="220000"/>
    <n v="70000"/>
    <x v="1"/>
    <x v="0"/>
    <x v="0"/>
    <s v="Second Owner"/>
    <n v="15"/>
    <s v="Budget"/>
  </r>
  <r>
    <s v="Honda Brio E MT"/>
    <x v="1"/>
    <n v="300000"/>
    <n v="85962"/>
    <x v="0"/>
    <x v="1"/>
    <x v="0"/>
    <s v="Second Owner"/>
    <n v="14"/>
    <s v="Budget"/>
  </r>
  <r>
    <s v="Maruti Omni E MPI STD BS IV"/>
    <x v="6"/>
    <n v="250000"/>
    <n v="120000"/>
    <x v="0"/>
    <x v="0"/>
    <x v="0"/>
    <s v="First Owner"/>
    <n v="8"/>
    <s v="Budget"/>
  </r>
  <r>
    <s v="Honda Mobilio V i DTEC"/>
    <x v="5"/>
    <n v="600000"/>
    <n v="120000"/>
    <x v="1"/>
    <x v="0"/>
    <x v="0"/>
    <s v="First Owner"/>
    <n v="11"/>
    <s v="Mid Range"/>
  </r>
  <r>
    <s v="Honda Brio S Option AT"/>
    <x v="1"/>
    <n v="285000"/>
    <n v="75000"/>
    <x v="0"/>
    <x v="0"/>
    <x v="1"/>
    <s v="Second Owner"/>
    <n v="14"/>
    <s v="Budget"/>
  </r>
  <r>
    <s v="Honda Accord 2.4 MT"/>
    <x v="11"/>
    <n v="350000"/>
    <n v="57035"/>
    <x v="0"/>
    <x v="1"/>
    <x v="0"/>
    <s v="First Owner"/>
    <n v="17"/>
    <s v="Budget"/>
  </r>
  <r>
    <s v="Mahindra Bolero SLX"/>
    <x v="9"/>
    <n v="170000"/>
    <n v="70000"/>
    <x v="1"/>
    <x v="0"/>
    <x v="0"/>
    <s v="Third Owner"/>
    <n v="15"/>
    <s v="Budget"/>
  </r>
  <r>
    <s v="Ford Figo 1.2P Ambiente MT"/>
    <x v="5"/>
    <n v="229999"/>
    <n v="45000"/>
    <x v="0"/>
    <x v="0"/>
    <x v="0"/>
    <s v="First Owner"/>
    <n v="11"/>
    <s v="Budget"/>
  </r>
  <r>
    <s v="Mahindra XUV500 W6 2WD"/>
    <x v="8"/>
    <n v="500000"/>
    <n v="72104"/>
    <x v="1"/>
    <x v="1"/>
    <x v="0"/>
    <s v="Second Owner"/>
    <n v="13"/>
    <s v="Mid Range"/>
  </r>
  <r>
    <s v="Tata Nano Lx"/>
    <x v="9"/>
    <n v="75000"/>
    <n v="15000"/>
    <x v="0"/>
    <x v="0"/>
    <x v="0"/>
    <s v="First Owner"/>
    <n v="15"/>
    <s v="Budget"/>
  </r>
  <r>
    <s v="Hyundai i20 Active 1.2 SX"/>
    <x v="4"/>
    <n v="600000"/>
    <n v="30000"/>
    <x v="0"/>
    <x v="0"/>
    <x v="0"/>
    <s v="First Owner"/>
    <n v="10"/>
    <s v="Mid Range"/>
  </r>
  <r>
    <s v="Tata Indigo LS Dicor"/>
    <x v="9"/>
    <n v="220000"/>
    <n v="80000"/>
    <x v="1"/>
    <x v="0"/>
    <x v="0"/>
    <s v="First Owner"/>
    <n v="15"/>
    <s v="Budget"/>
  </r>
  <r>
    <s v="Tata Indica Vista Terra 1.4 TDI"/>
    <x v="11"/>
    <n v="150000"/>
    <n v="164000"/>
    <x v="1"/>
    <x v="0"/>
    <x v="0"/>
    <s v="Second Owner"/>
    <n v="17"/>
    <s v="Budget"/>
  </r>
  <r>
    <s v="Maruti Alto LX"/>
    <x v="12"/>
    <n v="65000"/>
    <n v="124439"/>
    <x v="0"/>
    <x v="0"/>
    <x v="0"/>
    <s v="Second Owner"/>
    <n v="20"/>
    <s v="Budget"/>
  </r>
  <r>
    <s v="Maruti Zen VXI"/>
    <x v="12"/>
    <n v="120000"/>
    <n v="77000"/>
    <x v="0"/>
    <x v="0"/>
    <x v="0"/>
    <s v="Second Owner"/>
    <n v="20"/>
    <s v="Budget"/>
  </r>
  <r>
    <s v="Maruti Swift Dzire VDI"/>
    <x v="3"/>
    <n v="240000"/>
    <n v="90000"/>
    <x v="1"/>
    <x v="0"/>
    <x v="0"/>
    <s v="First Owner"/>
    <n v="12"/>
    <s v="Budget"/>
  </r>
  <r>
    <s v="Renault KWID 1.0 RXT Optional"/>
    <x v="2"/>
    <n v="390000"/>
    <n v="30000"/>
    <x v="0"/>
    <x v="0"/>
    <x v="0"/>
    <s v="First Owner"/>
    <n v="9"/>
    <s v="Budget"/>
  </r>
  <r>
    <s v="Chevrolet Beat LS"/>
    <x v="1"/>
    <n v="180000"/>
    <n v="50000"/>
    <x v="0"/>
    <x v="0"/>
    <x v="0"/>
    <s v="First Owner"/>
    <n v="14"/>
    <s v="Budget"/>
  </r>
  <r>
    <s v="Maruti Swift VDI"/>
    <x v="1"/>
    <n v="320000"/>
    <n v="80000"/>
    <x v="1"/>
    <x v="0"/>
    <x v="0"/>
    <s v="Second Owner"/>
    <n v="14"/>
    <s v="Budget"/>
  </r>
  <r>
    <s v="Maruti Alto 800 LXI"/>
    <x v="6"/>
    <n v="310000"/>
    <n v="5000"/>
    <x v="0"/>
    <x v="0"/>
    <x v="0"/>
    <s v="First Owner"/>
    <n v="8"/>
    <s v="Budget"/>
  </r>
  <r>
    <s v="Maruti Wagon R AMT VXI"/>
    <x v="6"/>
    <n v="420000"/>
    <n v="24000"/>
    <x v="0"/>
    <x v="0"/>
    <x v="1"/>
    <s v="First Owner"/>
    <n v="8"/>
    <s v="Budget"/>
  </r>
  <r>
    <s v="Tata Tiago NRG Petrol"/>
    <x v="7"/>
    <n v="550000"/>
    <n v="10000"/>
    <x v="0"/>
    <x v="0"/>
    <x v="0"/>
    <s v="First Owner"/>
    <n v="7"/>
    <s v="Mid Range"/>
  </r>
  <r>
    <s v="Maruti Ertiga SHVS VDI"/>
    <x v="4"/>
    <n v="550000"/>
    <n v="78000"/>
    <x v="1"/>
    <x v="0"/>
    <x v="0"/>
    <s v="Third Owner"/>
    <n v="10"/>
    <s v="Mid Range"/>
  </r>
  <r>
    <s v="Mahindra TUV 300 T4 Plus"/>
    <x v="6"/>
    <n v="760000"/>
    <n v="50000"/>
    <x v="1"/>
    <x v="0"/>
    <x v="0"/>
    <s v="First Owner"/>
    <n v="8"/>
    <s v="Mid Range"/>
  </r>
  <r>
    <s v="Maruti 800 AC BSII"/>
    <x v="23"/>
    <n v="43000"/>
    <n v="100000"/>
    <x v="0"/>
    <x v="0"/>
    <x v="0"/>
    <s v="Second Owner"/>
    <n v="25"/>
    <s v="Budget"/>
  </r>
  <r>
    <s v="Maruti Omni MPI STD BSIV"/>
    <x v="6"/>
    <n v="250000"/>
    <n v="20000"/>
    <x v="0"/>
    <x v="0"/>
    <x v="0"/>
    <s v="First Owner"/>
    <n v="8"/>
    <s v="Budget"/>
  </r>
  <r>
    <s v="Hyundai Santro Magna BSIV"/>
    <x v="7"/>
    <n v="500000"/>
    <n v="1250"/>
    <x v="0"/>
    <x v="0"/>
    <x v="0"/>
    <s v="First Owner"/>
    <n v="7"/>
    <s v="Mid Range"/>
  </r>
  <r>
    <s v="Tata Zest Revotron 1.2 XT"/>
    <x v="5"/>
    <n v="380000"/>
    <n v="17152"/>
    <x v="0"/>
    <x v="0"/>
    <x v="0"/>
    <s v="First Owner"/>
    <n v="11"/>
    <s v="Budget"/>
  </r>
  <r>
    <s v="Mahindra XUV500 W11 Option AT AWD"/>
    <x v="7"/>
    <n v="1850000"/>
    <n v="5000"/>
    <x v="1"/>
    <x v="0"/>
    <x v="1"/>
    <s v="First Owner"/>
    <n v="7"/>
    <s v="Premium"/>
  </r>
  <r>
    <s v="Volkswagen Polo Diesel Trendline 1.2L"/>
    <x v="1"/>
    <n v="350000"/>
    <n v="77000"/>
    <x v="1"/>
    <x v="0"/>
    <x v="0"/>
    <s v="First Owner"/>
    <n v="14"/>
    <s v="Budget"/>
  </r>
  <r>
    <s v="Hyundai Verna CRDi"/>
    <x v="15"/>
    <n v="195000"/>
    <n v="90000"/>
    <x v="1"/>
    <x v="0"/>
    <x v="0"/>
    <s v="Second Owner"/>
    <n v="18"/>
    <s v="Budget"/>
  </r>
  <r>
    <s v="Chevrolet Beat LS"/>
    <x v="9"/>
    <n v="225000"/>
    <n v="80000"/>
    <x v="0"/>
    <x v="0"/>
    <x v="0"/>
    <s v="Second Owner"/>
    <n v="15"/>
    <s v="Budget"/>
  </r>
  <r>
    <s v="Toyota Innova 2.5 G (Diesel) 7 Seater"/>
    <x v="5"/>
    <n v="1125000"/>
    <n v="65000"/>
    <x v="1"/>
    <x v="0"/>
    <x v="0"/>
    <s v="First Owner"/>
    <n v="11"/>
    <s v="Premium"/>
  </r>
  <r>
    <s v="Tata Indica Vista Quadrajet LX"/>
    <x v="9"/>
    <n v="133000"/>
    <n v="80000"/>
    <x v="1"/>
    <x v="0"/>
    <x v="0"/>
    <s v="First Owner"/>
    <n v="15"/>
    <s v="Budget"/>
  </r>
  <r>
    <s v="Hyundai EON Era Plus"/>
    <x v="8"/>
    <n v="200000"/>
    <n v="24005"/>
    <x v="0"/>
    <x v="0"/>
    <x v="0"/>
    <s v="First Owner"/>
    <n v="13"/>
    <s v="Budget"/>
  </r>
  <r>
    <s v="Maruti Vitara Brezza ZDi Plus"/>
    <x v="6"/>
    <n v="940000"/>
    <n v="20000"/>
    <x v="1"/>
    <x v="0"/>
    <x v="0"/>
    <s v="First Owner"/>
    <n v="8"/>
    <s v="Mid Range"/>
  </r>
  <r>
    <s v="Renault Duster 85PS Diesel RxL"/>
    <x v="3"/>
    <n v="400000"/>
    <n v="120000"/>
    <x v="1"/>
    <x v="0"/>
    <x v="0"/>
    <s v="First Owner"/>
    <n v="12"/>
    <s v="Budget"/>
  </r>
  <r>
    <s v="Hyundai i10 Era 1.1"/>
    <x v="11"/>
    <n v="120000"/>
    <n v="120000"/>
    <x v="0"/>
    <x v="0"/>
    <x v="0"/>
    <s v="Second Owner"/>
    <n v="17"/>
    <s v="Budget"/>
  </r>
  <r>
    <s v="Maruti Swift Dzire ZDI"/>
    <x v="5"/>
    <n v="625000"/>
    <n v="80000"/>
    <x v="1"/>
    <x v="0"/>
    <x v="0"/>
    <s v="First Owner"/>
    <n v="11"/>
    <s v="Mid Range"/>
  </r>
  <r>
    <s v="Maruti Swift 1.3 VXi"/>
    <x v="14"/>
    <n v="110000"/>
    <n v="80000"/>
    <x v="0"/>
    <x v="0"/>
    <x v="0"/>
    <s v="First Owner"/>
    <n v="21"/>
    <s v="Budget"/>
  </r>
  <r>
    <s v="Renault Duster 110PS Diesel RxZ"/>
    <x v="1"/>
    <n v="490000"/>
    <n v="100000"/>
    <x v="1"/>
    <x v="0"/>
    <x v="0"/>
    <s v="First Owner"/>
    <n v="14"/>
    <s v="Budget"/>
  </r>
  <r>
    <s v="Maruti Alto LX"/>
    <x v="11"/>
    <n v="140000"/>
    <n v="120000"/>
    <x v="0"/>
    <x v="0"/>
    <x v="0"/>
    <s v="Second Owner"/>
    <n v="17"/>
    <s v="Budget"/>
  </r>
  <r>
    <s v="Ford Figo Diesel ZXI"/>
    <x v="9"/>
    <n v="175000"/>
    <n v="149000"/>
    <x v="1"/>
    <x v="0"/>
    <x v="0"/>
    <s v="Second Owner"/>
    <n v="15"/>
    <s v="Budget"/>
  </r>
  <r>
    <s v="Maruti Wagon R LXI BSIII"/>
    <x v="14"/>
    <n v="90000"/>
    <n v="65000"/>
    <x v="0"/>
    <x v="0"/>
    <x v="0"/>
    <s v="Second Owner"/>
    <n v="21"/>
    <s v="Budget"/>
  </r>
  <r>
    <s v="Maruti Swift Ldi BSIV"/>
    <x v="11"/>
    <n v="275000"/>
    <n v="100000"/>
    <x v="1"/>
    <x v="0"/>
    <x v="0"/>
    <s v="Second Owner"/>
    <n v="17"/>
    <s v="Budget"/>
  </r>
  <r>
    <s v="Volkswagen Vento Diesel Highline"/>
    <x v="9"/>
    <n v="300000"/>
    <n v="65000"/>
    <x v="1"/>
    <x v="0"/>
    <x v="0"/>
    <s v="Second Owner"/>
    <n v="15"/>
    <s v="Budget"/>
  </r>
  <r>
    <s v="Datsun GO Plus T Option BSIV"/>
    <x v="6"/>
    <n v="270000"/>
    <n v="19000"/>
    <x v="0"/>
    <x v="0"/>
    <x v="0"/>
    <s v="Second Owner"/>
    <n v="8"/>
    <s v="Budget"/>
  </r>
  <r>
    <s v="Chevrolet Beat LT"/>
    <x v="10"/>
    <n v="130000"/>
    <n v="80000"/>
    <x v="0"/>
    <x v="0"/>
    <x v="0"/>
    <s v="Second Owner"/>
    <n v="16"/>
    <s v="Budget"/>
  </r>
  <r>
    <s v="Maruti Alto K10 VXI Airbag"/>
    <x v="5"/>
    <n v="275000"/>
    <n v="30000"/>
    <x v="0"/>
    <x v="0"/>
    <x v="0"/>
    <s v="First Owner"/>
    <n v="11"/>
    <s v="Budget"/>
  </r>
  <r>
    <s v="Maruti Swift VDI"/>
    <x v="1"/>
    <n v="352000"/>
    <n v="109000"/>
    <x v="1"/>
    <x v="0"/>
    <x v="0"/>
    <s v="First Owner"/>
    <n v="14"/>
    <s v="Budget"/>
  </r>
  <r>
    <s v="Hyundai EON LPG Magna Plus"/>
    <x v="1"/>
    <n v="180000"/>
    <n v="90000"/>
    <x v="3"/>
    <x v="0"/>
    <x v="0"/>
    <s v="First Owner"/>
    <n v="14"/>
    <s v="Budget"/>
  </r>
  <r>
    <s v="Maruti Alto LX"/>
    <x v="1"/>
    <n v="150000"/>
    <n v="90000"/>
    <x v="0"/>
    <x v="0"/>
    <x v="0"/>
    <s v="First Owner"/>
    <n v="14"/>
    <s v="Budget"/>
  </r>
  <r>
    <s v="Maruti Swift Vdi BSIII"/>
    <x v="10"/>
    <n v="300000"/>
    <n v="110000"/>
    <x v="1"/>
    <x v="0"/>
    <x v="0"/>
    <s v="Second Owner"/>
    <n v="16"/>
    <s v="Budget"/>
  </r>
  <r>
    <s v="Mahindra Bolero DI DX 7 Seater"/>
    <x v="0"/>
    <n v="225000"/>
    <n v="120000"/>
    <x v="1"/>
    <x v="0"/>
    <x v="0"/>
    <s v="First Owner"/>
    <n v="19"/>
    <s v="Budget"/>
  </r>
  <r>
    <s v="Honda Mobilio V i DTEC"/>
    <x v="3"/>
    <n v="600000"/>
    <n v="44000"/>
    <x v="1"/>
    <x v="0"/>
    <x v="0"/>
    <s v="First Owner"/>
    <n v="12"/>
    <s v="Mid Range"/>
  </r>
  <r>
    <s v="Maruti Ertiga BSIV ZXI"/>
    <x v="5"/>
    <n v="500000"/>
    <n v="80000"/>
    <x v="0"/>
    <x v="0"/>
    <x v="0"/>
    <s v="First Owner"/>
    <n v="11"/>
    <s v="Mid Range"/>
  </r>
  <r>
    <s v="Honda BR-V i-VTEC S MT"/>
    <x v="6"/>
    <n v="900000"/>
    <n v="5000"/>
    <x v="0"/>
    <x v="0"/>
    <x v="0"/>
    <s v="First Owner"/>
    <n v="8"/>
    <s v="Mid Range"/>
  </r>
  <r>
    <s v="Hyundai i20 Magna 1.2"/>
    <x v="4"/>
    <n v="600000"/>
    <n v="61000"/>
    <x v="0"/>
    <x v="0"/>
    <x v="0"/>
    <s v="First Owner"/>
    <n v="10"/>
    <s v="Mid Range"/>
  </r>
  <r>
    <s v="Toyota Etios VD"/>
    <x v="9"/>
    <n v="450000"/>
    <n v="100000"/>
    <x v="1"/>
    <x v="0"/>
    <x v="0"/>
    <s v="Second Owner"/>
    <n v="15"/>
    <s v="Budget"/>
  </r>
  <r>
    <s v="Hyundai i10 Era 1.1"/>
    <x v="11"/>
    <n v="270000"/>
    <n v="27633"/>
    <x v="0"/>
    <x v="0"/>
    <x v="0"/>
    <s v="First Owner"/>
    <n v="17"/>
    <s v="Budget"/>
  </r>
  <r>
    <s v="Maruti Swift Vdi BSIII"/>
    <x v="10"/>
    <n v="310000"/>
    <n v="100000"/>
    <x v="1"/>
    <x v="0"/>
    <x v="0"/>
    <s v="Third Owner"/>
    <n v="16"/>
    <s v="Budget"/>
  </r>
  <r>
    <s v="Hyundai Santro Xing GLS Audio LPG"/>
    <x v="1"/>
    <n v="250000"/>
    <n v="100000"/>
    <x v="3"/>
    <x v="0"/>
    <x v="0"/>
    <s v="First Owner"/>
    <n v="14"/>
    <s v="Budget"/>
  </r>
  <r>
    <s v="Ford Figo 1.2P Titanium MT"/>
    <x v="7"/>
    <n v="700000"/>
    <n v="12586"/>
    <x v="0"/>
    <x v="1"/>
    <x v="0"/>
    <s v="First Owner"/>
    <n v="7"/>
    <s v="Mid Range"/>
  </r>
  <r>
    <s v="Fiat Avventura Urban Cross 1.3 Multijet Emotion"/>
    <x v="6"/>
    <n v="650000"/>
    <n v="38083"/>
    <x v="1"/>
    <x v="1"/>
    <x v="0"/>
    <s v="First Owner"/>
    <n v="8"/>
    <s v="Mid Range"/>
  </r>
  <r>
    <s v="Ford Figo Diesel ZXI"/>
    <x v="1"/>
    <n v="400000"/>
    <n v="55328"/>
    <x v="1"/>
    <x v="1"/>
    <x v="0"/>
    <s v="First Owner"/>
    <n v="14"/>
    <s v="Budget"/>
  </r>
  <r>
    <s v="Ford Figo Diesel Titanium"/>
    <x v="1"/>
    <n v="425000"/>
    <n v="81632"/>
    <x v="1"/>
    <x v="1"/>
    <x v="0"/>
    <s v="First Owner"/>
    <n v="14"/>
    <s v="Budget"/>
  </r>
  <r>
    <s v="Ford Aspire Titanium Diesel BSIV"/>
    <x v="4"/>
    <n v="600000"/>
    <n v="155201"/>
    <x v="1"/>
    <x v="1"/>
    <x v="0"/>
    <s v="First Owner"/>
    <n v="10"/>
    <s v="Mid Range"/>
  </r>
  <r>
    <s v="Ford EcoSport 1.5 TDCi Titanium BSIV"/>
    <x v="8"/>
    <n v="600000"/>
    <n v="93283"/>
    <x v="1"/>
    <x v="1"/>
    <x v="0"/>
    <s v="First Owner"/>
    <n v="13"/>
    <s v="Mid Range"/>
  </r>
  <r>
    <s v="Maruti Swift Ldi BSIII"/>
    <x v="11"/>
    <n v="300000"/>
    <n v="217871"/>
    <x v="1"/>
    <x v="1"/>
    <x v="0"/>
    <s v="First Owner"/>
    <n v="17"/>
    <s v="Budget"/>
  </r>
  <r>
    <s v="Ford Fiesta Classic 1.4 Duratorq CLXI"/>
    <x v="1"/>
    <n v="450000"/>
    <n v="90165"/>
    <x v="1"/>
    <x v="1"/>
    <x v="0"/>
    <s v="First Owner"/>
    <n v="14"/>
    <s v="Budget"/>
  </r>
  <r>
    <s v="Ford Ecosport 1.5 DV5 MT Titanium"/>
    <x v="3"/>
    <n v="750000"/>
    <n v="101504"/>
    <x v="1"/>
    <x v="1"/>
    <x v="0"/>
    <s v="First Owner"/>
    <n v="12"/>
    <s v="Mid Range"/>
  </r>
  <r>
    <s v="Ford Figo Titanium Diesel BSIV"/>
    <x v="10"/>
    <n v="325000"/>
    <n v="86017"/>
    <x v="1"/>
    <x v="1"/>
    <x v="0"/>
    <s v="Second Owner"/>
    <n v="16"/>
    <s v="Budget"/>
  </r>
  <r>
    <s v="Mahindra XUV500 W8 2WD"/>
    <x v="8"/>
    <n v="900000"/>
    <n v="85036"/>
    <x v="1"/>
    <x v="1"/>
    <x v="0"/>
    <s v="Second Owner"/>
    <n v="13"/>
    <s v="Mid Range"/>
  </r>
  <r>
    <s v="Ford Ikon 1.3L Rocam Flair"/>
    <x v="12"/>
    <n v="180000"/>
    <n v="91086"/>
    <x v="0"/>
    <x v="1"/>
    <x v="0"/>
    <s v="Second Owner"/>
    <n v="20"/>
    <s v="Budget"/>
  </r>
  <r>
    <s v="Fiat Punto 1.3 Emotion"/>
    <x v="8"/>
    <n v="350000"/>
    <n v="160254"/>
    <x v="1"/>
    <x v="1"/>
    <x v="0"/>
    <s v="Second Owner"/>
    <n v="13"/>
    <s v="Budget"/>
  </r>
  <r>
    <s v="Ford EcoSport 1.5 TDCi Titanium BSIV"/>
    <x v="8"/>
    <n v="600000"/>
    <n v="125531"/>
    <x v="1"/>
    <x v="1"/>
    <x v="0"/>
    <s v="Second Owner"/>
    <n v="13"/>
    <s v="Mid Range"/>
  </r>
  <r>
    <s v="Honda WR-V i-DTEC V"/>
    <x v="7"/>
    <n v="900000"/>
    <n v="60000"/>
    <x v="1"/>
    <x v="0"/>
    <x v="0"/>
    <s v="First Owner"/>
    <n v="7"/>
    <s v="Mid Range"/>
  </r>
  <r>
    <s v="Skoda Laura L n K 1.9 PD"/>
    <x v="12"/>
    <n v="350000"/>
    <n v="100000"/>
    <x v="1"/>
    <x v="0"/>
    <x v="0"/>
    <s v="First Owner"/>
    <n v="20"/>
    <s v="Budget"/>
  </r>
  <r>
    <s v="Maruti Ritz LDi"/>
    <x v="8"/>
    <n v="280000"/>
    <n v="90000"/>
    <x v="1"/>
    <x v="0"/>
    <x v="0"/>
    <s v="Third Owner"/>
    <n v="13"/>
    <s v="Budget"/>
  </r>
  <r>
    <s v="Mahindra Xylo D2"/>
    <x v="11"/>
    <n v="225000"/>
    <n v="120000"/>
    <x v="1"/>
    <x v="0"/>
    <x v="0"/>
    <s v="Second Owner"/>
    <n v="17"/>
    <s v="Budget"/>
  </r>
  <r>
    <s v="Honda City i DTEC S"/>
    <x v="3"/>
    <n v="520000"/>
    <n v="82000"/>
    <x v="1"/>
    <x v="0"/>
    <x v="0"/>
    <s v="First Owner"/>
    <n v="12"/>
    <s v="Mid Range"/>
  </r>
  <r>
    <s v="Mahindra Scorpio 1.99 S4"/>
    <x v="4"/>
    <n v="509999"/>
    <n v="60000"/>
    <x v="1"/>
    <x v="0"/>
    <x v="0"/>
    <s v="First Owner"/>
    <n v="10"/>
    <s v="Mid Range"/>
  </r>
  <r>
    <s v="Maruti Baleno Alpha 1.2"/>
    <x v="7"/>
    <n v="556000"/>
    <n v="24000"/>
    <x v="0"/>
    <x v="0"/>
    <x v="0"/>
    <s v="First Owner"/>
    <n v="7"/>
    <s v="Mid Range"/>
  </r>
  <r>
    <s v="Tata Indigo Grand Dicor"/>
    <x v="3"/>
    <n v="225000"/>
    <n v="120000"/>
    <x v="1"/>
    <x v="0"/>
    <x v="0"/>
    <s v="First Owner"/>
    <n v="12"/>
    <s v="Budget"/>
  </r>
  <r>
    <s v="Honda Amaze EX i-Dtech"/>
    <x v="8"/>
    <n v="325000"/>
    <n v="65000"/>
    <x v="1"/>
    <x v="1"/>
    <x v="0"/>
    <s v="First Owner"/>
    <n v="13"/>
    <s v="Budget"/>
  </r>
  <r>
    <s v="Maruti Swift VDI"/>
    <x v="8"/>
    <n v="365000"/>
    <n v="65000"/>
    <x v="1"/>
    <x v="1"/>
    <x v="0"/>
    <s v="First Owner"/>
    <n v="13"/>
    <s v="Budget"/>
  </r>
  <r>
    <s v="Hyundai Creta 1.6 CRDi SX Plus"/>
    <x v="5"/>
    <n v="850000"/>
    <n v="84000"/>
    <x v="1"/>
    <x v="1"/>
    <x v="0"/>
    <s v="First Owner"/>
    <n v="11"/>
    <s v="Mid Range"/>
  </r>
  <r>
    <s v="Toyota Etios GD SP"/>
    <x v="8"/>
    <n v="350000"/>
    <n v="75000"/>
    <x v="1"/>
    <x v="1"/>
    <x v="0"/>
    <s v="First Owner"/>
    <n v="13"/>
    <s v="Budget"/>
  </r>
  <r>
    <s v="Maruti Swift VDI"/>
    <x v="0"/>
    <n v="225000"/>
    <n v="50000"/>
    <x v="1"/>
    <x v="1"/>
    <x v="0"/>
    <s v="First Owner"/>
    <n v="19"/>
    <s v="Budget"/>
  </r>
  <r>
    <s v="Maruti Alto LX"/>
    <x v="9"/>
    <n v="135000"/>
    <n v="50000"/>
    <x v="0"/>
    <x v="0"/>
    <x v="0"/>
    <s v="First Owner"/>
    <n v="15"/>
    <s v="Budget"/>
  </r>
  <r>
    <s v="Maruti Wagon R LXI Minor"/>
    <x v="0"/>
    <n v="140000"/>
    <n v="49000"/>
    <x v="0"/>
    <x v="1"/>
    <x v="0"/>
    <s v="First Owner"/>
    <n v="19"/>
    <s v="Budget"/>
  </r>
  <r>
    <s v="Maruti SX4 S Cross DDiS 320 Delta"/>
    <x v="4"/>
    <n v="665000"/>
    <n v="560000"/>
    <x v="1"/>
    <x v="1"/>
    <x v="0"/>
    <s v="First Owner"/>
    <n v="10"/>
    <s v="Mid Range"/>
  </r>
  <r>
    <s v="Renault KWID RXT"/>
    <x v="5"/>
    <n v="275000"/>
    <n v="14365"/>
    <x v="0"/>
    <x v="1"/>
    <x v="0"/>
    <s v="First Owner"/>
    <n v="11"/>
    <s v="Budget"/>
  </r>
  <r>
    <s v="Toyota Fortuner 2.8 4WD AT BSIV"/>
    <x v="2"/>
    <n v="2750000"/>
    <n v="41000"/>
    <x v="1"/>
    <x v="0"/>
    <x v="1"/>
    <s v="First Owner"/>
    <n v="9"/>
    <s v="Premium"/>
  </r>
  <r>
    <s v="Hyundai Verna 1.6 SX"/>
    <x v="8"/>
    <n v="484999"/>
    <n v="65000"/>
    <x v="1"/>
    <x v="1"/>
    <x v="0"/>
    <s v="First Owner"/>
    <n v="13"/>
    <s v="Budget"/>
  </r>
  <r>
    <s v="Maruti Ciaz VDi Option SHVS"/>
    <x v="5"/>
    <n v="565000"/>
    <n v="65000"/>
    <x v="1"/>
    <x v="1"/>
    <x v="0"/>
    <s v="First Owner"/>
    <n v="11"/>
    <s v="Mid Range"/>
  </r>
  <r>
    <s v="Maruti Swift Dzire VDI"/>
    <x v="8"/>
    <n v="425000"/>
    <n v="61083"/>
    <x v="1"/>
    <x v="1"/>
    <x v="0"/>
    <s v="First Owner"/>
    <n v="13"/>
    <s v="Budget"/>
  </r>
  <r>
    <s v="Toyota Innova 2.5 VX (Diesel) 8 Seater"/>
    <x v="8"/>
    <n v="925000"/>
    <n v="75000"/>
    <x v="1"/>
    <x v="0"/>
    <x v="0"/>
    <s v="First Owner"/>
    <n v="13"/>
    <s v="Mid Range"/>
  </r>
  <r>
    <s v="Mahindra Scorpio VLX 2WD AIRBAG SE BSIV"/>
    <x v="1"/>
    <n v="565000"/>
    <n v="72000"/>
    <x v="1"/>
    <x v="1"/>
    <x v="0"/>
    <s v="First Owner"/>
    <n v="14"/>
    <s v="Mid Range"/>
  </r>
  <r>
    <s v="Renault Duster 110PS Diesel RxL"/>
    <x v="3"/>
    <n v="525000"/>
    <n v="65000"/>
    <x v="1"/>
    <x v="1"/>
    <x v="0"/>
    <s v="First Owner"/>
    <n v="12"/>
    <s v="Mid Range"/>
  </r>
  <r>
    <s v="Hyundai Tucson 2.0 e-VGT 2WD MT"/>
    <x v="2"/>
    <n v="1650000"/>
    <n v="55000"/>
    <x v="1"/>
    <x v="1"/>
    <x v="0"/>
    <s v="First Owner"/>
    <n v="9"/>
    <s v="Premium"/>
  </r>
  <r>
    <s v="Hyundai EON Era Plus"/>
    <x v="5"/>
    <n v="295000"/>
    <n v="21000"/>
    <x v="0"/>
    <x v="1"/>
    <x v="0"/>
    <s v="Second Owner"/>
    <n v="11"/>
    <s v="Budget"/>
  </r>
  <r>
    <s v="Jaguar XF 5.0 Litre V8 Petrol"/>
    <x v="1"/>
    <n v="2050000"/>
    <n v="66363"/>
    <x v="0"/>
    <x v="1"/>
    <x v="1"/>
    <s v="Second Owner"/>
    <n v="14"/>
    <s v="Premium"/>
  </r>
  <r>
    <s v="Hyundai Creta 1.6 VTVT AT SX Plus"/>
    <x v="6"/>
    <n v="1475000"/>
    <n v="11700"/>
    <x v="0"/>
    <x v="1"/>
    <x v="1"/>
    <s v="First Owner"/>
    <n v="8"/>
    <s v="Premium"/>
  </r>
  <r>
    <s v="Hyundai Verna VTVT 1.6 AT SX Option"/>
    <x v="2"/>
    <n v="1100000"/>
    <n v="10000"/>
    <x v="0"/>
    <x v="0"/>
    <x v="1"/>
    <s v="First Owner"/>
    <n v="9"/>
    <s v="Premium"/>
  </r>
  <r>
    <s v="Mercedes-Benz GL-Class 350 CDI Blue Efficiency"/>
    <x v="3"/>
    <n v="4400000"/>
    <n v="100000"/>
    <x v="1"/>
    <x v="0"/>
    <x v="1"/>
    <s v="Second Owner"/>
    <n v="12"/>
    <s v="Premium"/>
  </r>
  <r>
    <s v="Maruti Swift ZXI BSIV"/>
    <x v="4"/>
    <n v="670000"/>
    <n v="7104"/>
    <x v="0"/>
    <x v="2"/>
    <x v="0"/>
    <s v="First Owner"/>
    <n v="10"/>
    <s v="Mid Range"/>
  </r>
  <r>
    <s v="Maruti S-Cross Zeta DDiS 200 SH"/>
    <x v="5"/>
    <n v="750000"/>
    <n v="45974"/>
    <x v="1"/>
    <x v="2"/>
    <x v="0"/>
    <s v="First Owner"/>
    <n v="11"/>
    <s v="Mid Range"/>
  </r>
  <r>
    <s v="Hyundai Verna 1.6 VTVT SX"/>
    <x v="5"/>
    <n v="760000"/>
    <n v="55340"/>
    <x v="0"/>
    <x v="2"/>
    <x v="0"/>
    <s v="First Owner"/>
    <n v="11"/>
    <s v="Mid Range"/>
  </r>
  <r>
    <s v="Volkswagen Polo GTI"/>
    <x v="2"/>
    <n v="850000"/>
    <n v="20000"/>
    <x v="0"/>
    <x v="1"/>
    <x v="1"/>
    <s v="Second Owner"/>
    <n v="9"/>
    <s v="Mid Range"/>
  </r>
  <r>
    <s v="Renault Pulse RxL"/>
    <x v="5"/>
    <n v="390000"/>
    <n v="61585"/>
    <x v="1"/>
    <x v="2"/>
    <x v="0"/>
    <s v="First Owner"/>
    <n v="11"/>
    <s v="Budget"/>
  </r>
  <r>
    <s v="Maruti Celerio VXI AMT BSIV"/>
    <x v="4"/>
    <n v="450000"/>
    <n v="39415"/>
    <x v="0"/>
    <x v="2"/>
    <x v="1"/>
    <s v="Second Owner"/>
    <n v="10"/>
    <s v="Budget"/>
  </r>
  <r>
    <s v="Honda Brio V MT"/>
    <x v="3"/>
    <n v="425000"/>
    <n v="29654"/>
    <x v="0"/>
    <x v="2"/>
    <x v="0"/>
    <s v="First Owner"/>
    <n v="12"/>
    <s v="Budget"/>
  </r>
  <r>
    <s v="Maruti Baleno Alpha 1.3"/>
    <x v="4"/>
    <n v="770000"/>
    <n v="64672"/>
    <x v="1"/>
    <x v="2"/>
    <x v="0"/>
    <s v="First Owner"/>
    <n v="10"/>
    <s v="Mid Range"/>
  </r>
  <r>
    <s v="Hyundai Creta 1.6 SX Automatic Diesel"/>
    <x v="5"/>
    <n v="1150000"/>
    <n v="54634"/>
    <x v="1"/>
    <x v="2"/>
    <x v="1"/>
    <s v="Second Owner"/>
    <n v="11"/>
    <s v="Premium"/>
  </r>
  <r>
    <s v="Honda City i VTEC V"/>
    <x v="5"/>
    <n v="775000"/>
    <n v="66521"/>
    <x v="0"/>
    <x v="2"/>
    <x v="0"/>
    <s v="First Owner"/>
    <n v="11"/>
    <s v="Mid Range"/>
  </r>
  <r>
    <s v="Toyota Innova Crysta 2.4 GX AT"/>
    <x v="6"/>
    <n v="1725000"/>
    <n v="23974"/>
    <x v="1"/>
    <x v="1"/>
    <x v="1"/>
    <s v="Second Owner"/>
    <n v="8"/>
    <s v="Premium"/>
  </r>
  <r>
    <s v="BMW 3 Series 320d Luxury Line"/>
    <x v="4"/>
    <n v="2150000"/>
    <n v="43000"/>
    <x v="1"/>
    <x v="1"/>
    <x v="1"/>
    <s v="First Owner"/>
    <n v="10"/>
    <s v="Premium"/>
  </r>
  <r>
    <s v="Renault Duster 85PS Diesel RxL"/>
    <x v="8"/>
    <n v="450000"/>
    <n v="1000"/>
    <x v="1"/>
    <x v="1"/>
    <x v="0"/>
    <s v="Second Owner"/>
    <n v="13"/>
    <s v="Budget"/>
  </r>
  <r>
    <s v="Mercedes-Benz C-Class Progressive C 220d"/>
    <x v="6"/>
    <n v="3800000"/>
    <n v="10000"/>
    <x v="1"/>
    <x v="1"/>
    <x v="1"/>
    <s v="First Owner"/>
    <n v="8"/>
    <s v="Premium"/>
  </r>
  <r>
    <s v="Audi A4 3.0 TDI Quattro"/>
    <x v="8"/>
    <n v="1580000"/>
    <n v="86000"/>
    <x v="1"/>
    <x v="1"/>
    <x v="1"/>
    <s v="First Owner"/>
    <n v="13"/>
    <s v="Premium"/>
  </r>
  <r>
    <s v="BMW X5 xDrive 30d xLine"/>
    <x v="7"/>
    <n v="4950000"/>
    <n v="30000"/>
    <x v="1"/>
    <x v="1"/>
    <x v="1"/>
    <s v="First Owner"/>
    <n v="7"/>
    <s v="Premium"/>
  </r>
  <r>
    <s v="Hyundai Creta 1.6 CRDi SX"/>
    <x v="4"/>
    <n v="535000"/>
    <n v="52600"/>
    <x v="1"/>
    <x v="0"/>
    <x v="0"/>
    <s v="First Owner"/>
    <n v="10"/>
    <s v="Mid Range"/>
  </r>
  <r>
    <s v="Maruti SX4 Vxi BSIV"/>
    <x v="1"/>
    <n v="225000"/>
    <n v="110000"/>
    <x v="0"/>
    <x v="0"/>
    <x v="0"/>
    <s v="Second Owner"/>
    <n v="14"/>
    <s v="Budget"/>
  </r>
  <r>
    <s v="Hyundai Grand i10 1.2 Kappa Magna AT"/>
    <x v="2"/>
    <n v="550000"/>
    <n v="19890"/>
    <x v="0"/>
    <x v="1"/>
    <x v="1"/>
    <s v="First Owner"/>
    <n v="9"/>
    <s v="Mid Range"/>
  </r>
  <r>
    <s v="Maruti Ertiga VXI"/>
    <x v="5"/>
    <n v="625000"/>
    <n v="11918"/>
    <x v="0"/>
    <x v="2"/>
    <x v="0"/>
    <s v="First Owner"/>
    <n v="11"/>
    <s v="Mid Range"/>
  </r>
  <r>
    <s v="Hyundai Grand i10 Magna AT"/>
    <x v="2"/>
    <n v="520000"/>
    <n v="10510"/>
    <x v="0"/>
    <x v="1"/>
    <x v="1"/>
    <s v="First Owner"/>
    <n v="9"/>
    <s v="Mid Range"/>
  </r>
  <r>
    <s v="Chevrolet Beat LT Option"/>
    <x v="4"/>
    <n v="239000"/>
    <n v="41000"/>
    <x v="0"/>
    <x v="1"/>
    <x v="0"/>
    <s v="First Owner"/>
    <n v="10"/>
    <s v="Budget"/>
  </r>
  <r>
    <s v="Toyota Fortuner 4x2 AT"/>
    <x v="2"/>
    <n v="2600000"/>
    <n v="47162"/>
    <x v="1"/>
    <x v="2"/>
    <x v="1"/>
    <s v="First Owner"/>
    <n v="9"/>
    <s v="Premium"/>
  </r>
  <r>
    <s v="Hyundai i10 Magna"/>
    <x v="1"/>
    <n v="229999"/>
    <n v="49824"/>
    <x v="0"/>
    <x v="1"/>
    <x v="0"/>
    <s v="First Owner"/>
    <n v="14"/>
    <s v="Budget"/>
  </r>
  <r>
    <s v="Audi A6 2.0 TDI Premium Plus"/>
    <x v="8"/>
    <n v="1300000"/>
    <n v="58500"/>
    <x v="1"/>
    <x v="1"/>
    <x v="1"/>
    <s v="First Owner"/>
    <n v="13"/>
    <s v="Premium"/>
  </r>
  <r>
    <s v="Hyundai Santro GS"/>
    <x v="14"/>
    <n v="80000"/>
    <n v="56580"/>
    <x v="0"/>
    <x v="1"/>
    <x v="0"/>
    <s v="First Owner"/>
    <n v="21"/>
    <s v="Budget"/>
  </r>
  <r>
    <s v="Skoda Laura Ambiente 2.0 TDI CR MT"/>
    <x v="1"/>
    <n v="385000"/>
    <n v="52000"/>
    <x v="1"/>
    <x v="1"/>
    <x v="0"/>
    <s v="First Owner"/>
    <n v="14"/>
    <s v="Budget"/>
  </r>
  <r>
    <s v="Maruti Swift Dzire VDI"/>
    <x v="2"/>
    <n v="600000"/>
    <n v="46507"/>
    <x v="1"/>
    <x v="2"/>
    <x v="0"/>
    <s v="First Owner"/>
    <n v="9"/>
    <s v="Mid Range"/>
  </r>
  <r>
    <s v="Hyundai i20 Sportz 1.2"/>
    <x v="8"/>
    <n v="350000"/>
    <n v="50000"/>
    <x v="0"/>
    <x v="0"/>
    <x v="0"/>
    <s v="Second Owner"/>
    <n v="13"/>
    <s v="Budget"/>
  </r>
  <r>
    <s v="Maruti Alto 800 LXI"/>
    <x v="3"/>
    <n v="114999"/>
    <n v="30000"/>
    <x v="0"/>
    <x v="0"/>
    <x v="0"/>
    <s v="First Owner"/>
    <n v="12"/>
    <s v="Budget"/>
  </r>
  <r>
    <s v="Hyundai i20 Sportz 1.2"/>
    <x v="8"/>
    <n v="380000"/>
    <n v="50000"/>
    <x v="0"/>
    <x v="0"/>
    <x v="0"/>
    <s v="Second Owner"/>
    <n v="13"/>
    <s v="Budget"/>
  </r>
  <r>
    <s v="Maruti Gypsy E MG410W ST"/>
    <x v="24"/>
    <n v="95000"/>
    <n v="100000"/>
    <x v="0"/>
    <x v="0"/>
    <x v="0"/>
    <s v="Second Owner"/>
    <n v="31"/>
    <s v="Budget"/>
  </r>
  <r>
    <s v="Mahindra Scorpio 1.99 S6 Plus"/>
    <x v="4"/>
    <n v="900000"/>
    <n v="35000"/>
    <x v="1"/>
    <x v="0"/>
    <x v="0"/>
    <s v="First Owner"/>
    <n v="10"/>
    <s v="Mid Range"/>
  </r>
  <r>
    <s v="Chevrolet Beat LT"/>
    <x v="1"/>
    <n v="200999"/>
    <n v="90000"/>
    <x v="0"/>
    <x v="0"/>
    <x v="0"/>
    <s v="Second Owner"/>
    <n v="14"/>
    <s v="Budget"/>
  </r>
  <r>
    <s v="Maruti Omni E MPI STD BS IV"/>
    <x v="3"/>
    <n v="229999"/>
    <n v="11451"/>
    <x v="0"/>
    <x v="0"/>
    <x v="0"/>
    <s v="First Owner"/>
    <n v="12"/>
    <s v="Budget"/>
  </r>
  <r>
    <s v="Tata Nexon 1.5 Revotorq XZ"/>
    <x v="7"/>
    <n v="800000"/>
    <n v="60000"/>
    <x v="1"/>
    <x v="0"/>
    <x v="0"/>
    <s v="First Owner"/>
    <n v="7"/>
    <s v="Mid Range"/>
  </r>
  <r>
    <s v="Mahindra Verito 1.5 D4 BSIV"/>
    <x v="1"/>
    <n v="150000"/>
    <n v="172000"/>
    <x v="1"/>
    <x v="0"/>
    <x v="0"/>
    <s v="Second Owner"/>
    <n v="14"/>
    <s v="Budget"/>
  </r>
  <r>
    <s v="Maruti Swift VDI"/>
    <x v="6"/>
    <n v="600000"/>
    <n v="60000"/>
    <x v="1"/>
    <x v="0"/>
    <x v="0"/>
    <s v="First Owner"/>
    <n v="8"/>
    <s v="Mid Range"/>
  </r>
  <r>
    <s v="Chevrolet Tavera LS B3 7 Seats BSII"/>
    <x v="14"/>
    <n v="150000"/>
    <n v="150000"/>
    <x v="1"/>
    <x v="0"/>
    <x v="0"/>
    <s v="First Owner"/>
    <n v="21"/>
    <s v="Budget"/>
  </r>
  <r>
    <s v="Chevrolet Optra Magnum 2.0 LS"/>
    <x v="11"/>
    <n v="150000"/>
    <n v="66000"/>
    <x v="1"/>
    <x v="0"/>
    <x v="0"/>
    <s v="First Owner"/>
    <n v="17"/>
    <s v="Budget"/>
  </r>
  <r>
    <s v="Maruti Eeco 5 Seater Standard BSIV"/>
    <x v="7"/>
    <n v="380000"/>
    <n v="5000"/>
    <x v="0"/>
    <x v="0"/>
    <x v="0"/>
    <s v="First Owner"/>
    <n v="7"/>
    <s v="Budget"/>
  </r>
  <r>
    <s v="Maruti Swift 1.3 VXi"/>
    <x v="12"/>
    <n v="80000"/>
    <n v="66508"/>
    <x v="0"/>
    <x v="0"/>
    <x v="0"/>
    <s v="Second Owner"/>
    <n v="20"/>
    <s v="Budget"/>
  </r>
  <r>
    <s v="Honda Civic 1.8 MT Sport"/>
    <x v="0"/>
    <n v="225000"/>
    <n v="55000"/>
    <x v="0"/>
    <x v="0"/>
    <x v="0"/>
    <s v="Second Owner"/>
    <n v="19"/>
    <s v="Budget"/>
  </r>
  <r>
    <s v="Tata Nano Lx BSIV"/>
    <x v="1"/>
    <n v="75000"/>
    <n v="29900"/>
    <x v="0"/>
    <x v="0"/>
    <x v="0"/>
    <s v="First Owner"/>
    <n v="14"/>
    <s v="Budget"/>
  </r>
  <r>
    <s v="Tata Hexa XT 4X4"/>
    <x v="2"/>
    <n v="1600000"/>
    <n v="3000"/>
    <x v="1"/>
    <x v="0"/>
    <x v="0"/>
    <s v="First Owner"/>
    <n v="9"/>
    <s v="Premium"/>
  </r>
  <r>
    <s v="Tata Indica Vista Quadrajet VX"/>
    <x v="1"/>
    <n v="185000"/>
    <n v="85000"/>
    <x v="1"/>
    <x v="0"/>
    <x v="0"/>
    <s v="First Owner"/>
    <n v="14"/>
    <s v="Budget"/>
  </r>
  <r>
    <s v="Mahindra Scorpio 2.6 CRDe SLE"/>
    <x v="9"/>
    <n v="425000"/>
    <n v="50000"/>
    <x v="1"/>
    <x v="0"/>
    <x v="0"/>
    <s v="First Owner"/>
    <n v="15"/>
    <s v="Budget"/>
  </r>
  <r>
    <s v="Tata Indica Vista Aqua 1.4 TDI"/>
    <x v="10"/>
    <n v="100000"/>
    <n v="120000"/>
    <x v="1"/>
    <x v="0"/>
    <x v="0"/>
    <s v="Second Owner"/>
    <n v="16"/>
    <s v="Budget"/>
  </r>
  <r>
    <s v="Maruti Zen Estilo LXI BSIII"/>
    <x v="15"/>
    <n v="140000"/>
    <n v="90000"/>
    <x v="0"/>
    <x v="0"/>
    <x v="0"/>
    <s v="Third Owner"/>
    <n v="18"/>
    <s v="Budget"/>
  </r>
  <r>
    <s v="Maruti Swift Dzire AMT ZXI Plus BS IV"/>
    <x v="2"/>
    <n v="710000"/>
    <n v="8000"/>
    <x v="0"/>
    <x v="0"/>
    <x v="1"/>
    <s v="First Owner"/>
    <n v="9"/>
    <s v="Mid Range"/>
  </r>
  <r>
    <s v="Honda Amaze S AT i-Vtech"/>
    <x v="5"/>
    <n v="450000"/>
    <n v="7900"/>
    <x v="0"/>
    <x v="0"/>
    <x v="1"/>
    <s v="First Owner"/>
    <n v="11"/>
    <s v="Budget"/>
  </r>
  <r>
    <s v="Datsun RediGO T Option"/>
    <x v="2"/>
    <n v="210000"/>
    <n v="50000"/>
    <x v="0"/>
    <x v="0"/>
    <x v="0"/>
    <s v="First Owner"/>
    <n v="9"/>
    <s v="Budget"/>
  </r>
  <r>
    <s v="Maruti Alto K10 VXI"/>
    <x v="4"/>
    <n v="270000"/>
    <n v="25000"/>
    <x v="0"/>
    <x v="0"/>
    <x v="0"/>
    <s v="First Owner"/>
    <n v="10"/>
    <s v="Budget"/>
  </r>
  <r>
    <s v="Maruti Alto LXi"/>
    <x v="11"/>
    <n v="110000"/>
    <n v="20000"/>
    <x v="0"/>
    <x v="0"/>
    <x v="0"/>
    <s v="First Owner"/>
    <n v="17"/>
    <s v="Budget"/>
  </r>
  <r>
    <s v="Maruti Swift VXI"/>
    <x v="6"/>
    <n v="540000"/>
    <n v="17500"/>
    <x v="0"/>
    <x v="0"/>
    <x v="0"/>
    <s v="First Owner"/>
    <n v="8"/>
    <s v="Mid Range"/>
  </r>
  <r>
    <s v="Mahindra Renault Logan 1.4 GLX Petrol"/>
    <x v="15"/>
    <n v="145000"/>
    <n v="25000"/>
    <x v="0"/>
    <x v="0"/>
    <x v="0"/>
    <s v="First Owner"/>
    <n v="18"/>
    <s v="Budget"/>
  </r>
  <r>
    <s v="Tata Safari Storme VX"/>
    <x v="8"/>
    <n v="360000"/>
    <n v="206500"/>
    <x v="1"/>
    <x v="0"/>
    <x v="0"/>
    <s v="First Owner"/>
    <n v="13"/>
    <s v="Budget"/>
  </r>
  <r>
    <s v="Hyundai i10 Magna LPG"/>
    <x v="8"/>
    <n v="250000"/>
    <n v="88600"/>
    <x v="3"/>
    <x v="0"/>
    <x v="0"/>
    <s v="First Owner"/>
    <n v="13"/>
    <s v="Budget"/>
  </r>
  <r>
    <s v="Tata Venture EX"/>
    <x v="1"/>
    <n v="110000"/>
    <n v="80000"/>
    <x v="1"/>
    <x v="0"/>
    <x v="0"/>
    <s v="First Owner"/>
    <n v="14"/>
    <s v="Budget"/>
  </r>
  <r>
    <s v="Chevrolet Captiva LT"/>
    <x v="15"/>
    <n v="250000"/>
    <n v="100000"/>
    <x v="1"/>
    <x v="0"/>
    <x v="0"/>
    <s v="Fourth &amp; Above Owner"/>
    <n v="18"/>
    <s v="Budget"/>
  </r>
  <r>
    <s v="Ford Fiesta Classic 1.4 Duratorq CLXI"/>
    <x v="9"/>
    <n v="150000"/>
    <n v="186000"/>
    <x v="1"/>
    <x v="0"/>
    <x v="0"/>
    <s v="Second Owner"/>
    <n v="15"/>
    <s v="Budget"/>
  </r>
  <r>
    <s v="Chevrolet Aveo U-VA 1.2 LS"/>
    <x v="10"/>
    <n v="140000"/>
    <n v="60000"/>
    <x v="0"/>
    <x v="0"/>
    <x v="0"/>
    <s v="First Owner"/>
    <n v="16"/>
    <s v="Budget"/>
  </r>
  <r>
    <s v="Maruti Ciaz Zeta BSIV"/>
    <x v="7"/>
    <n v="925000"/>
    <n v="11000"/>
    <x v="0"/>
    <x v="0"/>
    <x v="0"/>
    <s v="First Owner"/>
    <n v="7"/>
    <s v="Mid Range"/>
  </r>
  <r>
    <s v="Tata Hexa XM"/>
    <x v="2"/>
    <n v="969999"/>
    <n v="30000"/>
    <x v="1"/>
    <x v="0"/>
    <x v="0"/>
    <s v="First Owner"/>
    <n v="9"/>
    <s v="Mid Range"/>
  </r>
  <r>
    <s v="Hyundai Santro Xing GL PLUS CNG"/>
    <x v="0"/>
    <n v="90000"/>
    <n v="80000"/>
    <x v="2"/>
    <x v="0"/>
    <x v="0"/>
    <s v="Third Owner"/>
    <n v="19"/>
    <s v="Budget"/>
  </r>
  <r>
    <s v="Hyundai Santro GLS I - Euro I"/>
    <x v="23"/>
    <n v="55000"/>
    <n v="60000"/>
    <x v="0"/>
    <x v="0"/>
    <x v="0"/>
    <s v="Third Owner"/>
    <n v="25"/>
    <s v="Budget"/>
  </r>
  <r>
    <s v="Hyundai Verna CRDi"/>
    <x v="0"/>
    <n v="155000"/>
    <n v="100000"/>
    <x v="1"/>
    <x v="0"/>
    <x v="0"/>
    <s v="Fourth &amp; Above Owner"/>
    <n v="19"/>
    <s v="Budget"/>
  </r>
  <r>
    <s v="Mahindra Thar CRDe ABS"/>
    <x v="7"/>
    <n v="900000"/>
    <n v="15000"/>
    <x v="1"/>
    <x v="0"/>
    <x v="0"/>
    <s v="First Owner"/>
    <n v="7"/>
    <s v="Mid Range"/>
  </r>
  <r>
    <s v="Maruti Alto K10 2010-2014 VXI"/>
    <x v="9"/>
    <n v="135000"/>
    <n v="90000"/>
    <x v="0"/>
    <x v="0"/>
    <x v="0"/>
    <s v="First Owner"/>
    <n v="15"/>
    <s v="Budget"/>
  </r>
  <r>
    <s v="Maruti 800 AC"/>
    <x v="1"/>
    <n v="180000"/>
    <n v="120000"/>
    <x v="0"/>
    <x v="0"/>
    <x v="0"/>
    <s v="First Owner"/>
    <n v="14"/>
    <s v="Budget"/>
  </r>
  <r>
    <s v="Hyundai Verna 1.6 SX"/>
    <x v="8"/>
    <n v="495000"/>
    <n v="100000"/>
    <x v="1"/>
    <x v="0"/>
    <x v="0"/>
    <s v="Second Owner"/>
    <n v="13"/>
    <s v="Budget"/>
  </r>
  <r>
    <s v="Toyota Innova 2.5 V Diesel 8-seater"/>
    <x v="11"/>
    <n v="400000"/>
    <n v="138000"/>
    <x v="1"/>
    <x v="0"/>
    <x v="0"/>
    <s v="Third Owner"/>
    <n v="17"/>
    <s v="Budget"/>
  </r>
  <r>
    <s v="Hyundai Verna CRDi"/>
    <x v="15"/>
    <n v="250000"/>
    <n v="110000"/>
    <x v="1"/>
    <x v="0"/>
    <x v="0"/>
    <s v="Second Owner"/>
    <n v="18"/>
    <s v="Budget"/>
  </r>
  <r>
    <s v="Maruti Alto K10 LXI"/>
    <x v="5"/>
    <n v="138000"/>
    <n v="120000"/>
    <x v="0"/>
    <x v="0"/>
    <x v="0"/>
    <s v="Fourth &amp; Above Owner"/>
    <n v="11"/>
    <s v="Budget"/>
  </r>
  <r>
    <s v="Honda City 1.5 V AT"/>
    <x v="9"/>
    <n v="311000"/>
    <n v="70000"/>
    <x v="0"/>
    <x v="0"/>
    <x v="1"/>
    <s v="Second Owner"/>
    <n v="15"/>
    <s v="Budget"/>
  </r>
  <r>
    <s v="Maruti Alto 800 VXI"/>
    <x v="5"/>
    <n v="190000"/>
    <n v="70000"/>
    <x v="0"/>
    <x v="0"/>
    <x v="0"/>
    <s v="First Owner"/>
    <n v="11"/>
    <s v="Budget"/>
  </r>
  <r>
    <s v="Mahindra Bolero SLX"/>
    <x v="9"/>
    <n v="311000"/>
    <n v="140000"/>
    <x v="1"/>
    <x v="0"/>
    <x v="0"/>
    <s v="First Owner"/>
    <n v="15"/>
    <s v="Budget"/>
  </r>
  <r>
    <s v="Maruti Ritz LXI"/>
    <x v="11"/>
    <n v="300000"/>
    <n v="15000"/>
    <x v="0"/>
    <x v="0"/>
    <x v="0"/>
    <s v="First Owner"/>
    <n v="17"/>
    <s v="Budget"/>
  </r>
  <r>
    <s v="Honda Jazz VX"/>
    <x v="6"/>
    <n v="600000"/>
    <n v="20000"/>
    <x v="0"/>
    <x v="0"/>
    <x v="0"/>
    <s v="First Owner"/>
    <n v="8"/>
    <s v="Mid Range"/>
  </r>
  <r>
    <s v="Mahindra Scorpio SLE BSIII"/>
    <x v="11"/>
    <n v="550000"/>
    <n v="100000"/>
    <x v="1"/>
    <x v="0"/>
    <x v="0"/>
    <s v="First Owner"/>
    <n v="17"/>
    <s v="Mid Range"/>
  </r>
  <r>
    <s v="Skoda Rapid 1.6 MPI AT Elegance Plus"/>
    <x v="5"/>
    <n v="600000"/>
    <n v="70000"/>
    <x v="0"/>
    <x v="0"/>
    <x v="1"/>
    <s v="First Owner"/>
    <n v="11"/>
    <s v="Mid Range"/>
  </r>
  <r>
    <s v="Maruti Alto 800 VXI"/>
    <x v="6"/>
    <n v="195000"/>
    <n v="5000"/>
    <x v="0"/>
    <x v="0"/>
    <x v="0"/>
    <s v="First Owner"/>
    <n v="8"/>
    <s v="Budget"/>
  </r>
  <r>
    <s v="Tata Nano LX"/>
    <x v="8"/>
    <n v="58000"/>
    <n v="27974"/>
    <x v="0"/>
    <x v="0"/>
    <x v="0"/>
    <s v="First Owner"/>
    <n v="13"/>
    <s v="Budget"/>
  </r>
  <r>
    <s v="Maruti Alto 800 VXI"/>
    <x v="6"/>
    <n v="183000"/>
    <n v="40000"/>
    <x v="0"/>
    <x v="0"/>
    <x v="0"/>
    <s v="First Owner"/>
    <n v="8"/>
    <s v="Budget"/>
  </r>
  <r>
    <s v="Maruti Zen Estilo 1.1 VXI BSIII"/>
    <x v="0"/>
    <n v="95000"/>
    <n v="80000"/>
    <x v="0"/>
    <x v="0"/>
    <x v="0"/>
    <s v="First Owner"/>
    <n v="19"/>
    <s v="Budget"/>
  </r>
  <r>
    <s v="Maruti Wagon R LX Minor"/>
    <x v="8"/>
    <n v="250000"/>
    <n v="38000"/>
    <x v="0"/>
    <x v="0"/>
    <x v="0"/>
    <s v="First Owner"/>
    <n v="13"/>
    <s v="Budget"/>
  </r>
  <r>
    <s v="Tata Zest Revotron 1.2 XT"/>
    <x v="3"/>
    <n v="400000"/>
    <n v="35000"/>
    <x v="0"/>
    <x v="0"/>
    <x v="0"/>
    <s v="First Owner"/>
    <n v="12"/>
    <s v="Budget"/>
  </r>
  <r>
    <s v="Hyundai Verna 1.6 SX CRDi (O)"/>
    <x v="1"/>
    <n v="409999"/>
    <n v="60000"/>
    <x v="1"/>
    <x v="0"/>
    <x v="0"/>
    <s v="Second Owner"/>
    <n v="14"/>
    <s v="Budget"/>
  </r>
  <r>
    <s v="Skoda Octavia Classic 1.9 TDI MT"/>
    <x v="16"/>
    <n v="120000"/>
    <n v="120000"/>
    <x v="1"/>
    <x v="0"/>
    <x v="0"/>
    <s v="Second Owner"/>
    <n v="22"/>
    <s v="Budget"/>
  </r>
  <r>
    <s v="Maruti Swift AMT VXI"/>
    <x v="6"/>
    <n v="600000"/>
    <n v="18000"/>
    <x v="0"/>
    <x v="0"/>
    <x v="1"/>
    <s v="First Owner"/>
    <n v="8"/>
    <s v="Mid Range"/>
  </r>
  <r>
    <s v="Honda Amaze SX i-VTEC"/>
    <x v="4"/>
    <n v="600000"/>
    <n v="10000"/>
    <x v="0"/>
    <x v="0"/>
    <x v="0"/>
    <s v="First Owner"/>
    <n v="10"/>
    <s v="Mid Range"/>
  </r>
  <r>
    <s v="Mahindra XUV500 W6 2WD"/>
    <x v="5"/>
    <n v="825000"/>
    <n v="90000"/>
    <x v="1"/>
    <x v="0"/>
    <x v="0"/>
    <s v="Third Owner"/>
    <n v="11"/>
    <s v="Mid Range"/>
  </r>
  <r>
    <s v="Toyota Etios GD"/>
    <x v="4"/>
    <n v="625000"/>
    <n v="80000"/>
    <x v="1"/>
    <x v="0"/>
    <x v="0"/>
    <s v="Second Owner"/>
    <n v="10"/>
    <s v="Mid Range"/>
  </r>
  <r>
    <s v="Hyundai Grand i10 Nios Magna CRDi"/>
    <x v="20"/>
    <n v="700000"/>
    <n v="1400"/>
    <x v="1"/>
    <x v="0"/>
    <x v="0"/>
    <s v="First Owner"/>
    <n v="6"/>
    <s v="Mid Range"/>
  </r>
  <r>
    <s v="Chevrolet Beat LS"/>
    <x v="9"/>
    <n v="160000"/>
    <n v="60000"/>
    <x v="0"/>
    <x v="0"/>
    <x v="0"/>
    <s v="First Owner"/>
    <n v="15"/>
    <s v="Budget"/>
  </r>
  <r>
    <s v="Maruti Alto LX"/>
    <x v="9"/>
    <n v="114999"/>
    <n v="60000"/>
    <x v="0"/>
    <x v="0"/>
    <x v="0"/>
    <s v="Third Owner"/>
    <n v="15"/>
    <s v="Budget"/>
  </r>
  <r>
    <s v="Maruti Wagon R LXI Minor"/>
    <x v="11"/>
    <n v="150000"/>
    <n v="53000"/>
    <x v="0"/>
    <x v="0"/>
    <x v="0"/>
    <s v="First Owner"/>
    <n v="17"/>
    <s v="Budget"/>
  </r>
  <r>
    <s v="Volkswagen Jetta 1.9 L TDI"/>
    <x v="10"/>
    <n v="250000"/>
    <n v="100000"/>
    <x v="1"/>
    <x v="1"/>
    <x v="0"/>
    <s v="First Owner"/>
    <n v="16"/>
    <s v="Budget"/>
  </r>
  <r>
    <s v="Hyundai Verna 1.6 SX"/>
    <x v="1"/>
    <n v="390000"/>
    <n v="86000"/>
    <x v="1"/>
    <x v="1"/>
    <x v="0"/>
    <s v="Second Owner"/>
    <n v="14"/>
    <s v="Budget"/>
  </r>
  <r>
    <s v="Renault Duster 85PS Diesel RxL"/>
    <x v="5"/>
    <n v="650000"/>
    <n v="100000"/>
    <x v="1"/>
    <x v="0"/>
    <x v="0"/>
    <s v="First Owner"/>
    <n v="11"/>
    <s v="Mid Range"/>
  </r>
  <r>
    <s v="Hyundai Xcent 1.1 CRDi SX Option"/>
    <x v="4"/>
    <n v="600000"/>
    <n v="30000"/>
    <x v="1"/>
    <x v="0"/>
    <x v="0"/>
    <s v="First Owner"/>
    <n v="10"/>
    <s v="Mid Range"/>
  </r>
  <r>
    <s v="Hyundai i20 1.2 Sportz"/>
    <x v="9"/>
    <n v="250000"/>
    <n v="120000"/>
    <x v="0"/>
    <x v="0"/>
    <x v="0"/>
    <s v="First Owner"/>
    <n v="15"/>
    <s v="Budget"/>
  </r>
  <r>
    <s v="Hyundai Santro Xing GL Plus LPG"/>
    <x v="9"/>
    <n v="229999"/>
    <n v="60000"/>
    <x v="3"/>
    <x v="0"/>
    <x v="0"/>
    <s v="Second Owner"/>
    <n v="15"/>
    <s v="Budget"/>
  </r>
  <r>
    <s v="Maruti Ritz LDi"/>
    <x v="4"/>
    <n v="299000"/>
    <n v="50000"/>
    <x v="1"/>
    <x v="0"/>
    <x v="0"/>
    <s v="Second Owner"/>
    <n v="10"/>
    <s v="Budget"/>
  </r>
  <r>
    <s v="Chevrolet Cruze LTZ"/>
    <x v="10"/>
    <n v="330000"/>
    <n v="124000"/>
    <x v="1"/>
    <x v="0"/>
    <x v="0"/>
    <s v="Second Owner"/>
    <n v="16"/>
    <s v="Budget"/>
  </r>
  <r>
    <s v="Hyundai Accent Executive"/>
    <x v="1"/>
    <n v="180000"/>
    <n v="100000"/>
    <x v="0"/>
    <x v="0"/>
    <x v="0"/>
    <s v="Third Owner"/>
    <n v="14"/>
    <s v="Budget"/>
  </r>
  <r>
    <s v="Hyundai Grand i10 1.2 Kappa Asta"/>
    <x v="2"/>
    <n v="475000"/>
    <n v="42000"/>
    <x v="0"/>
    <x v="0"/>
    <x v="0"/>
    <s v="First Owner"/>
    <n v="9"/>
    <s v="Budget"/>
  </r>
  <r>
    <s v="Hyundai Grand i10 CRDi Sportz"/>
    <x v="5"/>
    <n v="325000"/>
    <n v="100000"/>
    <x v="1"/>
    <x v="0"/>
    <x v="0"/>
    <s v="First Owner"/>
    <n v="11"/>
    <s v="Budget"/>
  </r>
  <r>
    <s v="Honda City i VTEC V"/>
    <x v="4"/>
    <n v="639000"/>
    <n v="28205"/>
    <x v="0"/>
    <x v="1"/>
    <x v="0"/>
    <s v="First Owner"/>
    <n v="10"/>
    <s v="Mid Range"/>
  </r>
  <r>
    <s v="Maruti Celerio VXI AT"/>
    <x v="2"/>
    <n v="415000"/>
    <n v="32670"/>
    <x v="0"/>
    <x v="1"/>
    <x v="1"/>
    <s v="First Owner"/>
    <n v="9"/>
    <s v="Budget"/>
  </r>
  <r>
    <s v="Hyundai Creta 1.6 CRDi AT SX Plus"/>
    <x v="4"/>
    <n v="1199000"/>
    <n v="30093"/>
    <x v="1"/>
    <x v="1"/>
    <x v="1"/>
    <s v="First Owner"/>
    <n v="10"/>
    <s v="Premium"/>
  </r>
  <r>
    <s v="Maruti Ertiga VXI CNG"/>
    <x v="8"/>
    <n v="525000"/>
    <n v="56228"/>
    <x v="2"/>
    <x v="1"/>
    <x v="0"/>
    <s v="First Owner"/>
    <n v="13"/>
    <s v="Mid Range"/>
  </r>
  <r>
    <s v="Hyundai Verna 1.6 SX VTVT"/>
    <x v="8"/>
    <n v="425000"/>
    <n v="59319"/>
    <x v="0"/>
    <x v="1"/>
    <x v="0"/>
    <s v="First Owner"/>
    <n v="13"/>
    <s v="Budget"/>
  </r>
  <r>
    <s v="Maruti Vitara Brezza VDi"/>
    <x v="4"/>
    <n v="699000"/>
    <n v="39503"/>
    <x v="1"/>
    <x v="1"/>
    <x v="0"/>
    <s v="First Owner"/>
    <n v="10"/>
    <s v="Mid Range"/>
  </r>
  <r>
    <s v="Hyundai Grand i10 1.2 Kappa Sportz Dual Tone"/>
    <x v="8"/>
    <n v="325000"/>
    <n v="35299"/>
    <x v="0"/>
    <x v="1"/>
    <x v="0"/>
    <s v="First Owner"/>
    <n v="13"/>
    <s v="Budget"/>
  </r>
  <r>
    <s v="Toyota Etios V"/>
    <x v="9"/>
    <n v="275000"/>
    <n v="51687"/>
    <x v="0"/>
    <x v="1"/>
    <x v="0"/>
    <s v="First Owner"/>
    <n v="15"/>
    <s v="Budget"/>
  </r>
  <r>
    <s v="Volkswagen Vento Petrol Highline AT"/>
    <x v="9"/>
    <n v="269000"/>
    <n v="76259"/>
    <x v="0"/>
    <x v="1"/>
    <x v="1"/>
    <s v="First Owner"/>
    <n v="15"/>
    <s v="Budget"/>
  </r>
  <r>
    <s v="Volkswagen Polo Diesel Highline 1.2L"/>
    <x v="8"/>
    <n v="399000"/>
    <n v="44049"/>
    <x v="1"/>
    <x v="1"/>
    <x v="0"/>
    <s v="First Owner"/>
    <n v="13"/>
    <s v="Budget"/>
  </r>
  <r>
    <s v="Mahindra KUV 100 mFALCON D75 K8"/>
    <x v="2"/>
    <n v="475000"/>
    <n v="45087"/>
    <x v="1"/>
    <x v="1"/>
    <x v="0"/>
    <s v="First Owner"/>
    <n v="9"/>
    <s v="Budget"/>
  </r>
  <r>
    <s v="Toyota Etios V"/>
    <x v="9"/>
    <n v="249000"/>
    <n v="41125"/>
    <x v="0"/>
    <x v="1"/>
    <x v="0"/>
    <s v="First Owner"/>
    <n v="15"/>
    <s v="Budget"/>
  </r>
  <r>
    <s v="Audi A4 New  2.0 TDI Multitronic"/>
    <x v="3"/>
    <n v="1549000"/>
    <n v="42215"/>
    <x v="1"/>
    <x v="1"/>
    <x v="1"/>
    <s v="First Owner"/>
    <n v="12"/>
    <s v="Premium"/>
  </r>
  <r>
    <s v="Volkswagen Polo Petrol Highline 1.2L"/>
    <x v="9"/>
    <n v="254999"/>
    <n v="54206"/>
    <x v="0"/>
    <x v="1"/>
    <x v="0"/>
    <s v="First Owner"/>
    <n v="15"/>
    <s v="Budget"/>
  </r>
  <r>
    <s v="Skoda Rapid 1.6 MPI Active"/>
    <x v="1"/>
    <n v="269000"/>
    <n v="52547"/>
    <x v="0"/>
    <x v="1"/>
    <x v="0"/>
    <s v="First Owner"/>
    <n v="14"/>
    <s v="Budget"/>
  </r>
  <r>
    <s v="Maruti Ertiga ZDI"/>
    <x v="3"/>
    <n v="665000"/>
    <n v="59110"/>
    <x v="1"/>
    <x v="1"/>
    <x v="0"/>
    <s v="First Owner"/>
    <n v="12"/>
    <s v="Mid Range"/>
  </r>
  <r>
    <s v="Maruti Wagon R Stingray LXI"/>
    <x v="3"/>
    <n v="299000"/>
    <n v="54565"/>
    <x v="0"/>
    <x v="1"/>
    <x v="0"/>
    <s v="First Owner"/>
    <n v="12"/>
    <s v="Budget"/>
  </r>
  <r>
    <s v="Hyundai i20 Asta"/>
    <x v="10"/>
    <n v="265000"/>
    <n v="47564"/>
    <x v="0"/>
    <x v="1"/>
    <x v="0"/>
    <s v="Second Owner"/>
    <n v="16"/>
    <s v="Budget"/>
  </r>
  <r>
    <s v="Volkswagen Polo Petrol Highline 1.2L"/>
    <x v="10"/>
    <n v="211000"/>
    <n v="45143"/>
    <x v="0"/>
    <x v="1"/>
    <x v="0"/>
    <s v="Second Owner"/>
    <n v="16"/>
    <s v="Budget"/>
  </r>
  <r>
    <s v="Skoda Superb 1.8 TSI"/>
    <x v="8"/>
    <n v="599000"/>
    <n v="61624"/>
    <x v="0"/>
    <x v="1"/>
    <x v="1"/>
    <s v="Second Owner"/>
    <n v="13"/>
    <s v="Mid Range"/>
  </r>
  <r>
    <s v="Tata Indigo LS"/>
    <x v="0"/>
    <n v="55000"/>
    <n v="195000"/>
    <x v="1"/>
    <x v="0"/>
    <x v="0"/>
    <s v="Third Owner"/>
    <n v="19"/>
    <s v="Budget"/>
  </r>
  <r>
    <s v="Hyundai Verna 1.6 SX CRDi (O)"/>
    <x v="3"/>
    <n v="550000"/>
    <n v="50000"/>
    <x v="1"/>
    <x v="0"/>
    <x v="0"/>
    <s v="First Owner"/>
    <n v="12"/>
    <s v="Mid Range"/>
  </r>
  <r>
    <s v="Land Rover Discovery Sport TD4 HSE 7S"/>
    <x v="6"/>
    <n v="4000000"/>
    <n v="68000"/>
    <x v="1"/>
    <x v="0"/>
    <x v="1"/>
    <s v="First Owner"/>
    <n v="8"/>
    <s v="Premium"/>
  </r>
  <r>
    <s v="Tata Sumo GX TC 8 Str"/>
    <x v="10"/>
    <n v="220000"/>
    <n v="120000"/>
    <x v="1"/>
    <x v="0"/>
    <x v="0"/>
    <s v="Second Owner"/>
    <n v="16"/>
    <s v="Budget"/>
  </r>
  <r>
    <s v="Maruti Swift VXI"/>
    <x v="7"/>
    <n v="500000"/>
    <n v="20000"/>
    <x v="0"/>
    <x v="0"/>
    <x v="0"/>
    <s v="First Owner"/>
    <n v="7"/>
    <s v="Mid Range"/>
  </r>
  <r>
    <s v="Maruti Alto LXi"/>
    <x v="10"/>
    <n v="140000"/>
    <n v="30000"/>
    <x v="0"/>
    <x v="0"/>
    <x v="0"/>
    <s v="First Owner"/>
    <n v="16"/>
    <s v="Budget"/>
  </r>
  <r>
    <s v="Maruti Swift VDI"/>
    <x v="8"/>
    <n v="325000"/>
    <n v="60000"/>
    <x v="1"/>
    <x v="0"/>
    <x v="0"/>
    <s v="First Owner"/>
    <n v="13"/>
    <s v="Budget"/>
  </r>
  <r>
    <s v="Hyundai i20 Magna"/>
    <x v="10"/>
    <n v="210000"/>
    <n v="90000"/>
    <x v="0"/>
    <x v="0"/>
    <x v="0"/>
    <s v="Third Owner"/>
    <n v="16"/>
    <s v="Budget"/>
  </r>
  <r>
    <s v="Maruti Alto LXi"/>
    <x v="15"/>
    <n v="110000"/>
    <n v="90000"/>
    <x v="0"/>
    <x v="0"/>
    <x v="0"/>
    <s v="Second Owner"/>
    <n v="18"/>
    <s v="Budget"/>
  </r>
  <r>
    <s v="Hyundai Verna CRDi 1.6 SX Option"/>
    <x v="7"/>
    <n v="1200000"/>
    <n v="25000"/>
    <x v="1"/>
    <x v="0"/>
    <x v="0"/>
    <s v="First Owner"/>
    <n v="7"/>
    <s v="Premium"/>
  </r>
  <r>
    <s v="Maruti Alto 800 VXI"/>
    <x v="2"/>
    <n v="229999"/>
    <n v="40000"/>
    <x v="0"/>
    <x v="0"/>
    <x v="0"/>
    <s v="First Owner"/>
    <n v="9"/>
    <s v="Budget"/>
  </r>
  <r>
    <s v="Maruti Alto 800 LXI"/>
    <x v="12"/>
    <n v="165000"/>
    <n v="132000"/>
    <x v="0"/>
    <x v="0"/>
    <x v="0"/>
    <s v="First Owner"/>
    <n v="20"/>
    <s v="Budget"/>
  </r>
  <r>
    <s v="Tata Tiago XZA AMT"/>
    <x v="6"/>
    <n v="525000"/>
    <n v="10980"/>
    <x v="0"/>
    <x v="1"/>
    <x v="1"/>
    <s v="First Owner"/>
    <n v="8"/>
    <s v="Mid Range"/>
  </r>
  <r>
    <s v="Hyundai EON Era Plus"/>
    <x v="6"/>
    <n v="325000"/>
    <n v="20629"/>
    <x v="0"/>
    <x v="1"/>
    <x v="0"/>
    <s v="First Owner"/>
    <n v="8"/>
    <s v="Budget"/>
  </r>
  <r>
    <s v="Toyota Innova Crysta 2.4 VX MT BSIV"/>
    <x v="6"/>
    <n v="1500000"/>
    <n v="50000"/>
    <x v="1"/>
    <x v="0"/>
    <x v="0"/>
    <s v="First Owner"/>
    <n v="8"/>
    <s v="Premium"/>
  </r>
  <r>
    <s v="Hyundai Grand i10 AT Asta"/>
    <x v="5"/>
    <n v="400000"/>
    <n v="30000"/>
    <x v="0"/>
    <x v="0"/>
    <x v="1"/>
    <s v="First Owner"/>
    <n v="11"/>
    <s v="Budget"/>
  </r>
  <r>
    <s v="Maruti Ciaz VXi"/>
    <x v="5"/>
    <n v="550000"/>
    <n v="69782"/>
    <x v="0"/>
    <x v="1"/>
    <x v="0"/>
    <s v="First Owner"/>
    <n v="11"/>
    <s v="Mid Range"/>
  </r>
  <r>
    <s v="Maruti 800 Std"/>
    <x v="18"/>
    <n v="98000"/>
    <n v="54000"/>
    <x v="0"/>
    <x v="0"/>
    <x v="0"/>
    <s v="First Owner"/>
    <n v="23"/>
    <s v="Budget"/>
  </r>
  <r>
    <s v="Mahindra XUV500 W8 4WD"/>
    <x v="8"/>
    <n v="900000"/>
    <n v="63654"/>
    <x v="1"/>
    <x v="1"/>
    <x v="0"/>
    <s v="First Owner"/>
    <n v="13"/>
    <s v="Mid Range"/>
  </r>
  <r>
    <s v="Renault Lodgy 85PS RxL"/>
    <x v="2"/>
    <n v="700000"/>
    <n v="60000"/>
    <x v="1"/>
    <x v="0"/>
    <x v="0"/>
    <s v="First Owner"/>
    <n v="9"/>
    <s v="Mid Range"/>
  </r>
  <r>
    <s v="Mahindra Scorpio S6 Plus 7 Seater"/>
    <x v="5"/>
    <n v="890000"/>
    <n v="52000"/>
    <x v="1"/>
    <x v="1"/>
    <x v="0"/>
    <s v="First Owner"/>
    <n v="11"/>
    <s v="Mid Range"/>
  </r>
  <r>
    <s v="Maruti Swift LDI BSIV"/>
    <x v="5"/>
    <n v="490000"/>
    <n v="59385"/>
    <x v="1"/>
    <x v="1"/>
    <x v="0"/>
    <s v="First Owner"/>
    <n v="11"/>
    <s v="Budget"/>
  </r>
  <r>
    <s v="Hyundai i20 2015-2017 Magna 1.2"/>
    <x v="5"/>
    <n v="525000"/>
    <n v="70378"/>
    <x v="0"/>
    <x v="1"/>
    <x v="0"/>
    <s v="First Owner"/>
    <n v="11"/>
    <s v="Mid Range"/>
  </r>
  <r>
    <s v="Maruti Wagon R LXI BS IV"/>
    <x v="8"/>
    <n v="330000"/>
    <n v="55425"/>
    <x v="0"/>
    <x v="1"/>
    <x v="0"/>
    <s v="First Owner"/>
    <n v="13"/>
    <s v="Budget"/>
  </r>
  <r>
    <s v="Mahindra Bolero 2011-2019 SLX 2WD BSIII"/>
    <x v="8"/>
    <n v="550000"/>
    <n v="78413"/>
    <x v="1"/>
    <x v="1"/>
    <x v="0"/>
    <s v="Second Owner"/>
    <n v="13"/>
    <s v="Mid Range"/>
  </r>
  <r>
    <s v="Mahindra Bolero Power Plus SLX"/>
    <x v="6"/>
    <n v="790000"/>
    <n v="40890"/>
    <x v="1"/>
    <x v="1"/>
    <x v="0"/>
    <s v="First Owner"/>
    <n v="8"/>
    <s v="Mid Range"/>
  </r>
  <r>
    <s v="Honda Brio S MT"/>
    <x v="5"/>
    <n v="350000"/>
    <n v="34823"/>
    <x v="0"/>
    <x v="1"/>
    <x v="0"/>
    <s v="Second Owner"/>
    <n v="11"/>
    <s v="Budget"/>
  </r>
  <r>
    <s v="Toyota Innova Crysta 2.8 ZX AT BSIV"/>
    <x v="2"/>
    <n v="1700000"/>
    <n v="75000"/>
    <x v="1"/>
    <x v="0"/>
    <x v="1"/>
    <s v="First Owner"/>
    <n v="9"/>
    <s v="Premium"/>
  </r>
  <r>
    <s v="Maruti Ciaz VDI SHVS"/>
    <x v="2"/>
    <n v="750000"/>
    <n v="55545"/>
    <x v="1"/>
    <x v="1"/>
    <x v="0"/>
    <s v="First Owner"/>
    <n v="9"/>
    <s v="Mid Range"/>
  </r>
  <r>
    <s v="Honda Amaze EX i-Dtech"/>
    <x v="3"/>
    <n v="409999"/>
    <n v="56541"/>
    <x v="1"/>
    <x v="1"/>
    <x v="0"/>
    <s v="First Owner"/>
    <n v="12"/>
    <s v="Budget"/>
  </r>
  <r>
    <s v="Hyundai EON Magna Plus"/>
    <x v="4"/>
    <n v="220000"/>
    <n v="43700"/>
    <x v="0"/>
    <x v="0"/>
    <x v="0"/>
    <s v="First Owner"/>
    <n v="10"/>
    <s v="Budget"/>
  </r>
  <r>
    <s v="Tata Indica GLS BS IV"/>
    <x v="11"/>
    <n v="68000"/>
    <n v="120000"/>
    <x v="0"/>
    <x v="0"/>
    <x v="0"/>
    <s v="Second Owner"/>
    <n v="17"/>
    <s v="Budget"/>
  </r>
  <r>
    <s v="Hyundai EON Era Plus"/>
    <x v="2"/>
    <n v="290000"/>
    <n v="20000"/>
    <x v="0"/>
    <x v="0"/>
    <x v="0"/>
    <s v="First Owner"/>
    <n v="9"/>
    <s v="Budget"/>
  </r>
  <r>
    <s v="Honda City i DTec SV"/>
    <x v="3"/>
    <n v="600000"/>
    <n v="27483"/>
    <x v="1"/>
    <x v="1"/>
    <x v="0"/>
    <s v="First Owner"/>
    <n v="12"/>
    <s v="Mid Range"/>
  </r>
  <r>
    <s v="Maruti Swift LXI"/>
    <x v="7"/>
    <n v="470000"/>
    <n v="8000"/>
    <x v="0"/>
    <x v="0"/>
    <x v="0"/>
    <s v="First Owner"/>
    <n v="7"/>
    <s v="Budget"/>
  </r>
  <r>
    <s v="Hyundai i10 Sportz 1.2"/>
    <x v="15"/>
    <n v="150000"/>
    <n v="30000"/>
    <x v="0"/>
    <x v="0"/>
    <x v="0"/>
    <s v="First Owner"/>
    <n v="18"/>
    <s v="Budget"/>
  </r>
  <r>
    <s v="Maruti Alto 800 LXI"/>
    <x v="3"/>
    <n v="180000"/>
    <n v="56207"/>
    <x v="0"/>
    <x v="1"/>
    <x v="0"/>
    <s v="Second Owner"/>
    <n v="12"/>
    <s v="Budget"/>
  </r>
  <r>
    <s v="Maruti Zen LXI"/>
    <x v="12"/>
    <n v="80000"/>
    <n v="70000"/>
    <x v="0"/>
    <x v="0"/>
    <x v="0"/>
    <s v="First Owner"/>
    <n v="20"/>
    <s v="Budget"/>
  </r>
  <r>
    <s v="Honda WR-V i-VTEC VX"/>
    <x v="6"/>
    <n v="875000"/>
    <n v="1440"/>
    <x v="0"/>
    <x v="0"/>
    <x v="0"/>
    <s v="First Owner"/>
    <n v="8"/>
    <s v="Mid Range"/>
  </r>
  <r>
    <s v="Maruti Alto 800 LXI"/>
    <x v="7"/>
    <n v="300000"/>
    <n v="50000"/>
    <x v="0"/>
    <x v="0"/>
    <x v="0"/>
    <s v="First Owner"/>
    <n v="7"/>
    <s v="Budget"/>
  </r>
  <r>
    <s v="Toyota Fortuner 2.8 2WD AT BSIV"/>
    <x v="2"/>
    <n v="2800000"/>
    <n v="20000"/>
    <x v="1"/>
    <x v="0"/>
    <x v="1"/>
    <s v="First Owner"/>
    <n v="9"/>
    <s v="Premium"/>
  </r>
  <r>
    <s v="Toyota Innova Crysta 2.4 ZX MT"/>
    <x v="2"/>
    <n v="1330000"/>
    <n v="91195"/>
    <x v="1"/>
    <x v="1"/>
    <x v="0"/>
    <s v="First Owner"/>
    <n v="9"/>
    <s v="Premium"/>
  </r>
  <r>
    <s v="Volkswagen Polo 1.5 TDI Trendline"/>
    <x v="9"/>
    <n v="220000"/>
    <n v="63657"/>
    <x v="1"/>
    <x v="1"/>
    <x v="0"/>
    <s v="First Owner"/>
    <n v="15"/>
    <s v="Budget"/>
  </r>
  <r>
    <s v="Mahindra Verito Vibe 1.5 dCi D4"/>
    <x v="8"/>
    <n v="250000"/>
    <n v="60000"/>
    <x v="1"/>
    <x v="0"/>
    <x v="0"/>
    <s v="First Owner"/>
    <n v="13"/>
    <s v="Budget"/>
  </r>
  <r>
    <s v="Toyota Innova 2.5 G (Diesel) 7 Seater"/>
    <x v="4"/>
    <n v="919999"/>
    <n v="75000"/>
    <x v="1"/>
    <x v="1"/>
    <x v="0"/>
    <s v="First Owner"/>
    <n v="10"/>
    <s v="Mid Range"/>
  </r>
  <r>
    <s v="Volkswagen Vento Magnific 1.6 Highline"/>
    <x v="8"/>
    <n v="380000"/>
    <n v="97248"/>
    <x v="0"/>
    <x v="1"/>
    <x v="0"/>
    <s v="First Owner"/>
    <n v="13"/>
    <s v="Budget"/>
  </r>
  <r>
    <s v="Maruti Swift VDI"/>
    <x v="1"/>
    <n v="450000"/>
    <n v="46000"/>
    <x v="1"/>
    <x v="0"/>
    <x v="0"/>
    <s v="First Owner"/>
    <n v="14"/>
    <s v="Budget"/>
  </r>
  <r>
    <s v="Hyundai Verna 1.6 VTVT AT S Option"/>
    <x v="4"/>
    <n v="770000"/>
    <n v="10000"/>
    <x v="0"/>
    <x v="0"/>
    <x v="1"/>
    <s v="First Owner"/>
    <n v="10"/>
    <s v="Mid Range"/>
  </r>
  <r>
    <s v="Maruti Swift Dzire LDI"/>
    <x v="6"/>
    <n v="550000"/>
    <n v="80000"/>
    <x v="1"/>
    <x v="0"/>
    <x v="0"/>
    <s v="First Owner"/>
    <n v="8"/>
    <s v="Mid Range"/>
  </r>
  <r>
    <s v="Tata New Safari DICOR 2.2 GX 4x2"/>
    <x v="9"/>
    <n v="320000"/>
    <n v="100000"/>
    <x v="1"/>
    <x v="0"/>
    <x v="0"/>
    <s v="Second Owner"/>
    <n v="15"/>
    <s v="Budget"/>
  </r>
  <r>
    <s v="Maruti SX4 Vxi BSIV"/>
    <x v="8"/>
    <n v="400000"/>
    <n v="35000"/>
    <x v="0"/>
    <x v="0"/>
    <x v="0"/>
    <s v="First Owner"/>
    <n v="13"/>
    <s v="Budget"/>
  </r>
  <r>
    <s v="Maruti Celerio VXI AT"/>
    <x v="2"/>
    <n v="450000"/>
    <n v="50000"/>
    <x v="0"/>
    <x v="0"/>
    <x v="1"/>
    <s v="First Owner"/>
    <n v="9"/>
    <s v="Budget"/>
  </r>
  <r>
    <s v="Maruti SX4 ZDI"/>
    <x v="9"/>
    <n v="220000"/>
    <n v="90000"/>
    <x v="1"/>
    <x v="0"/>
    <x v="0"/>
    <s v="Third Owner"/>
    <n v="15"/>
    <s v="Budget"/>
  </r>
  <r>
    <s v="Mahindra XUV500 W8 2WD"/>
    <x v="1"/>
    <n v="400000"/>
    <n v="150000"/>
    <x v="1"/>
    <x v="0"/>
    <x v="0"/>
    <s v="Second Owner"/>
    <n v="14"/>
    <s v="Budget"/>
  </r>
  <r>
    <s v="Hyundai Verna 1.6 SX VTVT (O)"/>
    <x v="8"/>
    <n v="530000"/>
    <n v="89000"/>
    <x v="0"/>
    <x v="0"/>
    <x v="0"/>
    <s v="Second Owner"/>
    <n v="13"/>
    <s v="Mid Range"/>
  </r>
  <r>
    <s v="Maruti Swift Dzire VDI"/>
    <x v="3"/>
    <n v="390000"/>
    <n v="60000"/>
    <x v="1"/>
    <x v="0"/>
    <x v="0"/>
    <s v="Second Owner"/>
    <n v="12"/>
    <s v="Budget"/>
  </r>
  <r>
    <s v="Fiat Grande Punto 1.3 Dynamic (Diesel)"/>
    <x v="1"/>
    <n v="185000"/>
    <n v="100000"/>
    <x v="1"/>
    <x v="0"/>
    <x v="0"/>
    <s v="Second Owner"/>
    <n v="14"/>
    <s v="Budget"/>
  </r>
  <r>
    <s v="Maruti SX4 Vxi BSIV"/>
    <x v="1"/>
    <n v="300000"/>
    <n v="100000"/>
    <x v="0"/>
    <x v="0"/>
    <x v="0"/>
    <s v="Second Owner"/>
    <n v="14"/>
    <s v="Budget"/>
  </r>
  <r>
    <s v="Maruti Swift VDI BSIV"/>
    <x v="3"/>
    <n v="575000"/>
    <n v="90000"/>
    <x v="1"/>
    <x v="0"/>
    <x v="0"/>
    <s v="Second Owner"/>
    <n v="12"/>
    <s v="Mid Range"/>
  </r>
  <r>
    <s v="Maruti Wagon R Stingray VXI"/>
    <x v="3"/>
    <n v="300000"/>
    <n v="75000"/>
    <x v="0"/>
    <x v="0"/>
    <x v="0"/>
    <s v="First Owner"/>
    <n v="12"/>
    <s v="Budget"/>
  </r>
  <r>
    <s v="Toyota Etios Liva 1.4 VD"/>
    <x v="2"/>
    <n v="425000"/>
    <n v="36000"/>
    <x v="1"/>
    <x v="1"/>
    <x v="0"/>
    <s v="First Owner"/>
    <n v="9"/>
    <s v="Budget"/>
  </r>
  <r>
    <s v="Hyundai Xcent 1.2 Kappa SX"/>
    <x v="4"/>
    <n v="350000"/>
    <n v="12000"/>
    <x v="0"/>
    <x v="0"/>
    <x v="0"/>
    <s v="First Owner"/>
    <n v="10"/>
    <s v="Budget"/>
  </r>
  <r>
    <s v="Honda Amaze VX O iDTEC"/>
    <x v="2"/>
    <n v="550000"/>
    <n v="12997"/>
    <x v="1"/>
    <x v="1"/>
    <x v="0"/>
    <s v="First Owner"/>
    <n v="9"/>
    <s v="Mid Range"/>
  </r>
  <r>
    <s v="Maruti Ciaz 1.4 AT Zeta"/>
    <x v="2"/>
    <n v="500000"/>
    <n v="40000"/>
    <x v="0"/>
    <x v="0"/>
    <x v="1"/>
    <s v="First Owner"/>
    <n v="9"/>
    <s v="Mid Range"/>
  </r>
  <r>
    <s v="Mahindra Scorpio S4 4WD"/>
    <x v="5"/>
    <n v="600000"/>
    <n v="60000"/>
    <x v="1"/>
    <x v="0"/>
    <x v="0"/>
    <s v="First Owner"/>
    <n v="11"/>
    <s v="Mid Range"/>
  </r>
  <r>
    <s v="Mahindra Quanto C8"/>
    <x v="8"/>
    <n v="300000"/>
    <n v="25000"/>
    <x v="1"/>
    <x v="0"/>
    <x v="0"/>
    <s v="Second Owner"/>
    <n v="13"/>
    <s v="Budget"/>
  </r>
  <r>
    <s v="Hyundai Verna CRDi 1.6 SX Option"/>
    <x v="6"/>
    <n v="1150000"/>
    <n v="26430"/>
    <x v="1"/>
    <x v="1"/>
    <x v="0"/>
    <s v="First Owner"/>
    <n v="8"/>
    <s v="Premium"/>
  </r>
  <r>
    <s v="Maruti Swift 1.3 VXI ABS"/>
    <x v="5"/>
    <n v="475000"/>
    <n v="24600"/>
    <x v="0"/>
    <x v="1"/>
    <x v="0"/>
    <s v="First Owner"/>
    <n v="11"/>
    <s v="Budget"/>
  </r>
  <r>
    <s v="Maruti Wagon R LXI"/>
    <x v="9"/>
    <n v="260000"/>
    <n v="28481"/>
    <x v="0"/>
    <x v="1"/>
    <x v="0"/>
    <s v="First Owner"/>
    <n v="15"/>
    <s v="Budget"/>
  </r>
  <r>
    <s v="Ford Ecosport 1.0 Ecoboost Titanium Optional"/>
    <x v="8"/>
    <n v="350000"/>
    <n v="100000"/>
    <x v="0"/>
    <x v="0"/>
    <x v="0"/>
    <s v="First Owner"/>
    <n v="13"/>
    <s v="Budget"/>
  </r>
  <r>
    <s v="Mahindra XUV500 W8 2WD"/>
    <x v="8"/>
    <n v="750000"/>
    <n v="41988"/>
    <x v="1"/>
    <x v="1"/>
    <x v="0"/>
    <s v="First Owner"/>
    <n v="13"/>
    <s v="Mid Range"/>
  </r>
  <r>
    <s v="Maruti Wagon R LXI"/>
    <x v="11"/>
    <n v="180000"/>
    <n v="30375"/>
    <x v="0"/>
    <x v="1"/>
    <x v="0"/>
    <s v="First Owner"/>
    <n v="17"/>
    <s v="Budget"/>
  </r>
  <r>
    <s v="Renault KWID Climber 1.0 AMT BSIV"/>
    <x v="2"/>
    <n v="350000"/>
    <n v="7658"/>
    <x v="0"/>
    <x v="1"/>
    <x v="1"/>
    <s v="First Owner"/>
    <n v="9"/>
    <s v="Budget"/>
  </r>
  <r>
    <s v="Maruti Swift Dzire VDI"/>
    <x v="2"/>
    <n v="611000"/>
    <n v="34400"/>
    <x v="1"/>
    <x v="1"/>
    <x v="0"/>
    <s v="First Owner"/>
    <n v="9"/>
    <s v="Mid Range"/>
  </r>
  <r>
    <s v="Renault KWID RXL BSIV"/>
    <x v="2"/>
    <n v="325000"/>
    <n v="18500"/>
    <x v="0"/>
    <x v="1"/>
    <x v="0"/>
    <s v="First Owner"/>
    <n v="9"/>
    <s v="Budget"/>
  </r>
  <r>
    <s v="Hyundai EON 1.0 Era Plus"/>
    <x v="1"/>
    <n v="225000"/>
    <n v="48000"/>
    <x v="0"/>
    <x v="1"/>
    <x v="0"/>
    <s v="First Owner"/>
    <n v="14"/>
    <s v="Budget"/>
  </r>
  <r>
    <s v="Maruti Wagon R AMT VXI"/>
    <x v="3"/>
    <n v="300000"/>
    <n v="28942"/>
    <x v="0"/>
    <x v="1"/>
    <x v="1"/>
    <s v="First Owner"/>
    <n v="12"/>
    <s v="Budget"/>
  </r>
  <r>
    <s v="Mahindra Bolero Power Plus SLX"/>
    <x v="2"/>
    <n v="400000"/>
    <n v="50000"/>
    <x v="1"/>
    <x v="0"/>
    <x v="0"/>
    <s v="Second Owner"/>
    <n v="9"/>
    <s v="Budget"/>
  </r>
  <r>
    <s v="Mahindra XUV500 W8 2WD"/>
    <x v="1"/>
    <n v="711000"/>
    <n v="53600"/>
    <x v="1"/>
    <x v="1"/>
    <x v="0"/>
    <s v="First Owner"/>
    <n v="14"/>
    <s v="Mid Range"/>
  </r>
  <r>
    <s v="Toyota Innova 2.5 G (Diesel) 8 Seater"/>
    <x v="5"/>
    <n v="851000"/>
    <n v="53652"/>
    <x v="1"/>
    <x v="1"/>
    <x v="0"/>
    <s v="First Owner"/>
    <n v="11"/>
    <s v="Mid Range"/>
  </r>
  <r>
    <s v="Maruti Ertiga VXI"/>
    <x v="3"/>
    <n v="500000"/>
    <n v="25000"/>
    <x v="0"/>
    <x v="0"/>
    <x v="0"/>
    <s v="First Owner"/>
    <n v="12"/>
    <s v="Mid Range"/>
  </r>
  <r>
    <s v="Toyota Innova 2.5 G4 Diesel 8-seater"/>
    <x v="0"/>
    <n v="250000"/>
    <n v="80000"/>
    <x v="1"/>
    <x v="0"/>
    <x v="0"/>
    <s v="Second Owner"/>
    <n v="19"/>
    <s v="Budget"/>
  </r>
  <r>
    <s v="Maruti Alto 800 VXI"/>
    <x v="2"/>
    <n v="150000"/>
    <n v="50000"/>
    <x v="0"/>
    <x v="0"/>
    <x v="0"/>
    <s v="First Owner"/>
    <n v="9"/>
    <s v="Budget"/>
  </r>
  <r>
    <s v="Mahindra Scorpio 1.99 S10"/>
    <x v="4"/>
    <n v="610000"/>
    <n v="15000"/>
    <x v="1"/>
    <x v="0"/>
    <x v="0"/>
    <s v="Second Owner"/>
    <n v="10"/>
    <s v="Mid Range"/>
  </r>
  <r>
    <s v="Mahindra KUV 100 G80 K2"/>
    <x v="6"/>
    <n v="450000"/>
    <n v="5000"/>
    <x v="0"/>
    <x v="0"/>
    <x v="0"/>
    <s v="First Owner"/>
    <n v="8"/>
    <s v="Budget"/>
  </r>
  <r>
    <s v="Hyundai i20 1.4 Asta Option"/>
    <x v="2"/>
    <n v="744000"/>
    <n v="106000"/>
    <x v="1"/>
    <x v="0"/>
    <x v="0"/>
    <s v="First Owner"/>
    <n v="9"/>
    <s v="Mid Range"/>
  </r>
  <r>
    <s v="Chevrolet Spark 1.0"/>
    <x v="15"/>
    <n v="120000"/>
    <n v="100000"/>
    <x v="0"/>
    <x v="0"/>
    <x v="0"/>
    <s v="Third Owner"/>
    <n v="18"/>
    <s v="Budget"/>
  </r>
  <r>
    <s v="Renault KWID RXL"/>
    <x v="4"/>
    <n v="220000"/>
    <n v="60000"/>
    <x v="0"/>
    <x v="0"/>
    <x v="0"/>
    <s v="Third Owner"/>
    <n v="10"/>
    <s v="Budget"/>
  </r>
  <r>
    <s v="Maruti Ertiga ZDI"/>
    <x v="1"/>
    <n v="480000"/>
    <n v="120000"/>
    <x v="1"/>
    <x v="0"/>
    <x v="0"/>
    <s v="Fourth &amp; Above Owner"/>
    <n v="14"/>
    <s v="Budget"/>
  </r>
  <r>
    <s v="Maruti Celerio ZXI Optional AMT BSIV"/>
    <x v="2"/>
    <n v="370000"/>
    <n v="82000"/>
    <x v="0"/>
    <x v="0"/>
    <x v="1"/>
    <s v="First Owner"/>
    <n v="9"/>
    <s v="Budget"/>
  </r>
  <r>
    <s v="Fiat Palio D 1.9 EL PS"/>
    <x v="18"/>
    <n v="55000"/>
    <n v="35000"/>
    <x v="1"/>
    <x v="0"/>
    <x v="0"/>
    <s v="Second Owner"/>
    <n v="23"/>
    <s v="Budget"/>
  </r>
  <r>
    <s v="Hyundai EON Magna Plus"/>
    <x v="8"/>
    <n v="125000"/>
    <n v="205000"/>
    <x v="0"/>
    <x v="0"/>
    <x v="0"/>
    <s v="First Owner"/>
    <n v="13"/>
    <s v="Budget"/>
  </r>
  <r>
    <s v="Hyundai Verna 1.6 CRDI"/>
    <x v="9"/>
    <n v="260000"/>
    <n v="125000"/>
    <x v="1"/>
    <x v="0"/>
    <x v="0"/>
    <s v="Third Owner"/>
    <n v="15"/>
    <s v="Budget"/>
  </r>
  <r>
    <s v="Fiat Linea Classic 1.3 Multijet"/>
    <x v="5"/>
    <n v="350000"/>
    <n v="130000"/>
    <x v="1"/>
    <x v="0"/>
    <x v="0"/>
    <s v="First Owner"/>
    <n v="11"/>
    <s v="Budget"/>
  </r>
  <r>
    <s v="Maruti Alto 800 CNG LXI"/>
    <x v="1"/>
    <n v="170000"/>
    <n v="97000"/>
    <x v="2"/>
    <x v="0"/>
    <x v="0"/>
    <s v="Second Owner"/>
    <n v="14"/>
    <s v="Budget"/>
  </r>
  <r>
    <s v="Hyundai Grand i10 Sportz"/>
    <x v="5"/>
    <n v="350000"/>
    <n v="90000"/>
    <x v="0"/>
    <x v="0"/>
    <x v="0"/>
    <s v="Second Owner"/>
    <n v="11"/>
    <s v="Budget"/>
  </r>
  <r>
    <s v="Maruti Swift Dzire VXi"/>
    <x v="11"/>
    <n v="250000"/>
    <n v="60000"/>
    <x v="0"/>
    <x v="0"/>
    <x v="0"/>
    <s v="Third Owner"/>
    <n v="17"/>
    <s v="Budget"/>
  </r>
  <r>
    <s v="Tata Indigo CR4"/>
    <x v="8"/>
    <n v="170000"/>
    <n v="60000"/>
    <x v="1"/>
    <x v="0"/>
    <x v="0"/>
    <s v="First Owner"/>
    <n v="13"/>
    <s v="Budget"/>
  </r>
  <r>
    <s v="Mahindra Scorpio S11 BSIV"/>
    <x v="6"/>
    <n v="1300000"/>
    <n v="35000"/>
    <x v="1"/>
    <x v="0"/>
    <x v="0"/>
    <s v="First Owner"/>
    <n v="8"/>
    <s v="Premium"/>
  </r>
  <r>
    <s v="Hyundai Grand i10 1.2 Kappa Sportz BSIV"/>
    <x v="7"/>
    <n v="550000"/>
    <n v="25000"/>
    <x v="0"/>
    <x v="0"/>
    <x v="0"/>
    <s v="First Owner"/>
    <n v="7"/>
    <s v="Mid Range"/>
  </r>
  <r>
    <s v="Honda Brio 1.2 S MT"/>
    <x v="2"/>
    <n v="400000"/>
    <n v="15000"/>
    <x v="0"/>
    <x v="0"/>
    <x v="0"/>
    <s v="First Owner"/>
    <n v="9"/>
    <s v="Budget"/>
  </r>
  <r>
    <s v="Tata Nano Lx"/>
    <x v="9"/>
    <n v="120000"/>
    <n v="20000"/>
    <x v="0"/>
    <x v="0"/>
    <x v="0"/>
    <s v="First Owner"/>
    <n v="15"/>
    <s v="Budget"/>
  </r>
  <r>
    <s v="Ford Figo Petrol Titanium"/>
    <x v="10"/>
    <n v="275000"/>
    <n v="70000"/>
    <x v="0"/>
    <x v="0"/>
    <x v="0"/>
    <s v="First Owner"/>
    <n v="16"/>
    <s v="Budget"/>
  </r>
  <r>
    <s v="Tata Zest Revotron 1.2T XE"/>
    <x v="4"/>
    <n v="285000"/>
    <n v="90000"/>
    <x v="0"/>
    <x v="0"/>
    <x v="0"/>
    <s v="First Owner"/>
    <n v="10"/>
    <s v="Budget"/>
  </r>
  <r>
    <s v="Hyundai Creta 1.4 CRDi Base"/>
    <x v="4"/>
    <n v="900000"/>
    <n v="80000"/>
    <x v="1"/>
    <x v="0"/>
    <x v="0"/>
    <s v="First Owner"/>
    <n v="10"/>
    <s v="Mid Range"/>
  </r>
  <r>
    <s v="Mercedes-Benz M-Class ML 350 CDI"/>
    <x v="3"/>
    <n v="2500000"/>
    <n v="79500"/>
    <x v="1"/>
    <x v="0"/>
    <x v="1"/>
    <s v="Second Owner"/>
    <n v="12"/>
    <s v="Premium"/>
  </r>
  <r>
    <s v="Hyundai Verna 1.6 SX CRDi (O)"/>
    <x v="8"/>
    <n v="620000"/>
    <n v="70000"/>
    <x v="1"/>
    <x v="0"/>
    <x v="0"/>
    <s v="Second Owner"/>
    <n v="13"/>
    <s v="Mid Range"/>
  </r>
  <r>
    <s v="Toyota Innova Crysta 2.4 GX MT 8S BSIV"/>
    <x v="6"/>
    <n v="1700000"/>
    <n v="5000"/>
    <x v="1"/>
    <x v="0"/>
    <x v="0"/>
    <s v="First Owner"/>
    <n v="8"/>
    <s v="Premium"/>
  </r>
  <r>
    <s v="Ford Figo Aspire 1.2 Ti-VCT Titanium Plus"/>
    <x v="6"/>
    <n v="650000"/>
    <n v="15000"/>
    <x v="0"/>
    <x v="0"/>
    <x v="0"/>
    <s v="First Owner"/>
    <n v="8"/>
    <s v="Mid Range"/>
  </r>
  <r>
    <s v="Maruti Ertiga VXI"/>
    <x v="3"/>
    <n v="500000"/>
    <n v="35000"/>
    <x v="0"/>
    <x v="0"/>
    <x v="0"/>
    <s v="First Owner"/>
    <n v="12"/>
    <s v="Mid Range"/>
  </r>
  <r>
    <s v="Tata New Safari DICOR 2.2 EX 4x4"/>
    <x v="11"/>
    <n v="250000"/>
    <n v="120000"/>
    <x v="1"/>
    <x v="0"/>
    <x v="0"/>
    <s v="Second Owner"/>
    <n v="17"/>
    <s v="Budget"/>
  </r>
  <r>
    <s v="Mahindra Marazzo M4"/>
    <x v="6"/>
    <n v="950000"/>
    <n v="15000"/>
    <x v="1"/>
    <x v="0"/>
    <x v="0"/>
    <s v="Second Owner"/>
    <n v="8"/>
    <s v="Mid Range"/>
  </r>
  <r>
    <s v="Toyota Etios Cross 1.2L G"/>
    <x v="5"/>
    <n v="320000"/>
    <n v="60000"/>
    <x v="0"/>
    <x v="0"/>
    <x v="0"/>
    <s v="First Owner"/>
    <n v="11"/>
    <s v="Budget"/>
  </r>
  <r>
    <s v="Renault Duster 110PS Diesel RxZ"/>
    <x v="8"/>
    <n v="450000"/>
    <n v="120000"/>
    <x v="1"/>
    <x v="0"/>
    <x v="0"/>
    <s v="First Owner"/>
    <n v="13"/>
    <s v="Budget"/>
  </r>
  <r>
    <s v="Mahindra KUV 100 mFALCON D75 K8 AW"/>
    <x v="4"/>
    <n v="350000"/>
    <n v="90000"/>
    <x v="1"/>
    <x v="0"/>
    <x v="0"/>
    <s v="First Owner"/>
    <n v="10"/>
    <s v="Budget"/>
  </r>
  <r>
    <s v="Maruti Swift Dzire VXI"/>
    <x v="5"/>
    <n v="400000"/>
    <n v="90000"/>
    <x v="0"/>
    <x v="0"/>
    <x v="0"/>
    <s v="First Owner"/>
    <n v="11"/>
    <s v="Budget"/>
  </r>
  <r>
    <s v="Hyundai i20 Asta 1.4 CRDi (Diesel)"/>
    <x v="11"/>
    <n v="250000"/>
    <n v="72000"/>
    <x v="1"/>
    <x v="0"/>
    <x v="0"/>
    <s v="Second Owner"/>
    <n v="17"/>
    <s v="Budget"/>
  </r>
  <r>
    <s v="Toyota Innova 2.0 GX 8 STR BSIV"/>
    <x v="9"/>
    <n v="550000"/>
    <n v="197000"/>
    <x v="0"/>
    <x v="0"/>
    <x v="0"/>
    <s v="Second Owner"/>
    <n v="15"/>
    <s v="Mid Range"/>
  </r>
  <r>
    <s v="Maruti Zen LXI"/>
    <x v="22"/>
    <n v="85000"/>
    <n v="70000"/>
    <x v="0"/>
    <x v="0"/>
    <x v="0"/>
    <s v="Second Owner"/>
    <n v="27"/>
    <s v="Budget"/>
  </r>
  <r>
    <s v="Hyundai Santro LP zipPlus"/>
    <x v="23"/>
    <n v="52000"/>
    <n v="50000"/>
    <x v="0"/>
    <x v="0"/>
    <x v="0"/>
    <s v="Third Owner"/>
    <n v="25"/>
    <s v="Budget"/>
  </r>
  <r>
    <s v="Tata Hexa XTA"/>
    <x v="2"/>
    <n v="1200000"/>
    <n v="50000"/>
    <x v="1"/>
    <x v="0"/>
    <x v="1"/>
    <s v="First Owner"/>
    <n v="9"/>
    <s v="Premium"/>
  </r>
  <r>
    <s v="Hyundai Verna 1.6 SX VTVT AT"/>
    <x v="9"/>
    <n v="450000"/>
    <n v="60000"/>
    <x v="0"/>
    <x v="0"/>
    <x v="1"/>
    <s v="Third Owner"/>
    <n v="15"/>
    <s v="Budget"/>
  </r>
  <r>
    <s v="Maruti Swift Dzire VXI 1.2 BS IV"/>
    <x v="6"/>
    <n v="615000"/>
    <n v="40000"/>
    <x v="0"/>
    <x v="0"/>
    <x v="0"/>
    <s v="First Owner"/>
    <n v="8"/>
    <s v="Mid Range"/>
  </r>
  <r>
    <s v="Maruti SX4 ZDI Leather"/>
    <x v="1"/>
    <n v="400000"/>
    <n v="60000"/>
    <x v="1"/>
    <x v="0"/>
    <x v="0"/>
    <s v="Second Owner"/>
    <n v="14"/>
    <s v="Budget"/>
  </r>
  <r>
    <s v="Tata Nano LX"/>
    <x v="8"/>
    <n v="60000"/>
    <n v="40000"/>
    <x v="0"/>
    <x v="0"/>
    <x v="0"/>
    <s v="First Owner"/>
    <n v="13"/>
    <s v="Budget"/>
  </r>
  <r>
    <s v="Maruti Ignis 1.2 Alpha BSIV"/>
    <x v="2"/>
    <n v="500000"/>
    <n v="9161"/>
    <x v="0"/>
    <x v="0"/>
    <x v="0"/>
    <s v="First Owner"/>
    <n v="9"/>
    <s v="Mid Range"/>
  </r>
  <r>
    <s v="Honda Mobilio V i VTEC"/>
    <x v="5"/>
    <n v="600000"/>
    <n v="45000"/>
    <x v="0"/>
    <x v="0"/>
    <x v="0"/>
    <s v="First Owner"/>
    <n v="11"/>
    <s v="Mid Range"/>
  </r>
  <r>
    <s v="Hyundai Getz 1.3 GVS"/>
    <x v="10"/>
    <n v="110000"/>
    <n v="110000"/>
    <x v="0"/>
    <x v="0"/>
    <x v="0"/>
    <s v="First Owner"/>
    <n v="16"/>
    <s v="Budget"/>
  </r>
  <r>
    <s v="Hyundai Santro Xing GL Plus"/>
    <x v="8"/>
    <n v="175000"/>
    <n v="80000"/>
    <x v="0"/>
    <x v="0"/>
    <x v="0"/>
    <s v="First Owner"/>
    <n v="13"/>
    <s v="Budget"/>
  </r>
  <r>
    <s v="Ford Fiesta Titanium 1.5 TDCi"/>
    <x v="9"/>
    <n v="325000"/>
    <n v="100000"/>
    <x v="1"/>
    <x v="0"/>
    <x v="0"/>
    <s v="Second Owner"/>
    <n v="15"/>
    <s v="Budget"/>
  </r>
  <r>
    <s v="Maruti Swift Dzire LDI"/>
    <x v="2"/>
    <n v="425000"/>
    <n v="90000"/>
    <x v="1"/>
    <x v="0"/>
    <x v="0"/>
    <s v="First Owner"/>
    <n v="9"/>
    <s v="Budget"/>
  </r>
  <r>
    <s v="Hyundai Accent GLE CNG"/>
    <x v="11"/>
    <n v="160000"/>
    <n v="70000"/>
    <x v="2"/>
    <x v="0"/>
    <x v="0"/>
    <s v="Third Owner"/>
    <n v="17"/>
    <s v="Budget"/>
  </r>
  <r>
    <s v="Maruti Zen Estilo LXI BSIII"/>
    <x v="0"/>
    <n v="100000"/>
    <n v="80000"/>
    <x v="0"/>
    <x v="0"/>
    <x v="0"/>
    <s v="Third Owner"/>
    <n v="19"/>
    <s v="Budget"/>
  </r>
  <r>
    <s v="Maruti Swift Dzire LDI"/>
    <x v="3"/>
    <n v="390000"/>
    <n v="110000"/>
    <x v="1"/>
    <x v="0"/>
    <x v="0"/>
    <s v="Second Owner"/>
    <n v="12"/>
    <s v="Budget"/>
  </r>
  <r>
    <s v="Hyundai i20 1.2 Spotz"/>
    <x v="2"/>
    <n v="400000"/>
    <n v="50000"/>
    <x v="0"/>
    <x v="0"/>
    <x v="0"/>
    <s v="First Owner"/>
    <n v="9"/>
    <s v="Budget"/>
  </r>
  <r>
    <s v="Tata Tigor 1.2 Revotron XM"/>
    <x v="6"/>
    <n v="509999"/>
    <n v="5000"/>
    <x v="0"/>
    <x v="0"/>
    <x v="0"/>
    <s v="First Owner"/>
    <n v="8"/>
    <s v="Mid Range"/>
  </r>
  <r>
    <s v="Hyundai i10 Magna 1.1"/>
    <x v="15"/>
    <n v="150000"/>
    <n v="90000"/>
    <x v="0"/>
    <x v="0"/>
    <x v="0"/>
    <s v="Third Owner"/>
    <n v="18"/>
    <s v="Budget"/>
  </r>
  <r>
    <s v="Hyundai Santro Xing GLS"/>
    <x v="11"/>
    <n v="110000"/>
    <n v="120000"/>
    <x v="0"/>
    <x v="0"/>
    <x v="0"/>
    <s v="First Owner"/>
    <n v="17"/>
    <s v="Budget"/>
  </r>
  <r>
    <s v="Nissan Sunny Diesel XV"/>
    <x v="8"/>
    <n v="450000"/>
    <n v="80000"/>
    <x v="1"/>
    <x v="0"/>
    <x v="0"/>
    <s v="First Owner"/>
    <n v="13"/>
    <s v="Budget"/>
  </r>
  <r>
    <s v="Hyundai i20 1.2 Spotz"/>
    <x v="2"/>
    <n v="400000"/>
    <n v="38000"/>
    <x v="0"/>
    <x v="0"/>
    <x v="0"/>
    <s v="Second Owner"/>
    <n v="9"/>
    <s v="Budget"/>
  </r>
  <r>
    <s v="Hyundai Santro Xing GLS"/>
    <x v="11"/>
    <n v="140000"/>
    <n v="120000"/>
    <x v="0"/>
    <x v="0"/>
    <x v="0"/>
    <s v="First Owner"/>
    <n v="17"/>
    <s v="Budget"/>
  </r>
  <r>
    <s v="Tata Indigo CR4"/>
    <x v="9"/>
    <n v="130000"/>
    <n v="90000"/>
    <x v="1"/>
    <x v="0"/>
    <x v="0"/>
    <s v="First Owner"/>
    <n v="15"/>
    <s v="Budget"/>
  </r>
  <r>
    <s v="Maruti Alto 800 LXI"/>
    <x v="2"/>
    <n v="160000"/>
    <n v="50000"/>
    <x v="0"/>
    <x v="0"/>
    <x v="0"/>
    <s v="First Owner"/>
    <n v="9"/>
    <s v="Budget"/>
  </r>
  <r>
    <s v="Maruti Alto 800 LXI"/>
    <x v="4"/>
    <n v="150000"/>
    <n v="60000"/>
    <x v="0"/>
    <x v="0"/>
    <x v="0"/>
    <s v="First Owner"/>
    <n v="10"/>
    <s v="Budget"/>
  </r>
  <r>
    <s v="Mahindra XUV500 W8 2WD"/>
    <x v="8"/>
    <n v="500000"/>
    <n v="100000"/>
    <x v="1"/>
    <x v="0"/>
    <x v="0"/>
    <s v="Second Owner"/>
    <n v="13"/>
    <s v="Mid Range"/>
  </r>
  <r>
    <s v="Tata Nano Std"/>
    <x v="9"/>
    <n v="40000"/>
    <n v="19000"/>
    <x v="0"/>
    <x v="0"/>
    <x v="0"/>
    <s v="First Owner"/>
    <n v="15"/>
    <s v="Budget"/>
  </r>
  <r>
    <s v="Chevrolet Tavera LT L1 7 Seats BSIII"/>
    <x v="12"/>
    <n v="140000"/>
    <n v="200000"/>
    <x v="1"/>
    <x v="0"/>
    <x v="0"/>
    <s v="Third Owner"/>
    <n v="20"/>
    <s v="Budget"/>
  </r>
  <r>
    <s v="Mahindra Verito 1.5 D2 BSIV"/>
    <x v="5"/>
    <n v="227000"/>
    <n v="70000"/>
    <x v="1"/>
    <x v="0"/>
    <x v="0"/>
    <s v="Second Owner"/>
    <n v="11"/>
    <s v="Budget"/>
  </r>
  <r>
    <s v="Maruti Swift VDI"/>
    <x v="9"/>
    <n v="285000"/>
    <n v="50000"/>
    <x v="1"/>
    <x v="0"/>
    <x v="0"/>
    <s v="Second Owner"/>
    <n v="15"/>
    <s v="Budget"/>
  </r>
  <r>
    <s v="Maruti Alto LX"/>
    <x v="1"/>
    <n v="155000"/>
    <n v="19077"/>
    <x v="0"/>
    <x v="0"/>
    <x v="0"/>
    <s v="Second Owner"/>
    <n v="14"/>
    <s v="Budget"/>
  </r>
  <r>
    <s v="Hyundai EON D Lite"/>
    <x v="4"/>
    <n v="210000"/>
    <n v="30000"/>
    <x v="0"/>
    <x v="0"/>
    <x v="0"/>
    <s v="First Owner"/>
    <n v="10"/>
    <s v="Budget"/>
  </r>
  <r>
    <s v="Maruti Alto LXi"/>
    <x v="11"/>
    <n v="140000"/>
    <n v="80000"/>
    <x v="0"/>
    <x v="0"/>
    <x v="0"/>
    <s v="Second Owner"/>
    <n v="17"/>
    <s v="Budget"/>
  </r>
  <r>
    <s v="Toyota Innova 2.5 GX (Diesel) 7 Seater"/>
    <x v="5"/>
    <n v="940000"/>
    <n v="128000"/>
    <x v="1"/>
    <x v="0"/>
    <x v="0"/>
    <s v="First Owner"/>
    <n v="11"/>
    <s v="Mid Range"/>
  </r>
  <r>
    <s v="Nissan Terrano XV Premium 110 PS"/>
    <x v="8"/>
    <n v="750000"/>
    <n v="80000"/>
    <x v="1"/>
    <x v="0"/>
    <x v="0"/>
    <s v="First Owner"/>
    <n v="13"/>
    <s v="Mid Range"/>
  </r>
  <r>
    <s v="Maruti Baleno Alpha 1.3"/>
    <x v="4"/>
    <n v="610000"/>
    <n v="100000"/>
    <x v="1"/>
    <x v="0"/>
    <x v="0"/>
    <s v="First Owner"/>
    <n v="10"/>
    <s v="Mid Range"/>
  </r>
  <r>
    <s v="Nissan Sunny XV D Premium Leather"/>
    <x v="5"/>
    <n v="450000"/>
    <n v="50000"/>
    <x v="1"/>
    <x v="0"/>
    <x v="0"/>
    <s v="First Owner"/>
    <n v="11"/>
    <s v="Budget"/>
  </r>
  <r>
    <s v="Toyota Etios Liva GD"/>
    <x v="1"/>
    <n v="409999"/>
    <n v="56000"/>
    <x v="1"/>
    <x v="0"/>
    <x v="0"/>
    <s v="First Owner"/>
    <n v="14"/>
    <s v="Budget"/>
  </r>
  <r>
    <s v="Hyundai EON 1.0 Era Plus"/>
    <x v="6"/>
    <n v="100000"/>
    <n v="21302"/>
    <x v="0"/>
    <x v="0"/>
    <x v="0"/>
    <s v="First Owner"/>
    <n v="8"/>
    <s v="Budget"/>
  </r>
  <r>
    <s v="Renault KWID 1.0 RXT Optional"/>
    <x v="6"/>
    <n v="300000"/>
    <n v="10500"/>
    <x v="0"/>
    <x v="0"/>
    <x v="0"/>
    <s v="First Owner"/>
    <n v="8"/>
    <s v="Budget"/>
  </r>
  <r>
    <s v="Mahindra Bolero 2011-2019 SLX"/>
    <x v="8"/>
    <n v="400000"/>
    <n v="107000"/>
    <x v="1"/>
    <x v="0"/>
    <x v="0"/>
    <s v="First Owner"/>
    <n v="13"/>
    <s v="Budget"/>
  </r>
  <r>
    <s v="Hyundai i10 Sportz 1.2"/>
    <x v="10"/>
    <n v="210000"/>
    <n v="60000"/>
    <x v="0"/>
    <x v="0"/>
    <x v="0"/>
    <s v="Second Owner"/>
    <n v="16"/>
    <s v="Budget"/>
  </r>
  <r>
    <s v="Hyundai Santro Xing XG eRLX Euro III"/>
    <x v="12"/>
    <n v="90000"/>
    <n v="120000"/>
    <x v="0"/>
    <x v="0"/>
    <x v="0"/>
    <s v="Second Owner"/>
    <n v="20"/>
    <s v="Budget"/>
  </r>
  <r>
    <s v="Maruti Wagon R LXI BS IV"/>
    <x v="10"/>
    <n v="222000"/>
    <n v="70000"/>
    <x v="0"/>
    <x v="0"/>
    <x v="0"/>
    <s v="First Owner"/>
    <n v="16"/>
    <s v="Budget"/>
  </r>
  <r>
    <s v="Maruti Alto 800 LXI"/>
    <x v="5"/>
    <n v="240000"/>
    <n v="50000"/>
    <x v="0"/>
    <x v="0"/>
    <x v="0"/>
    <s v="Second Owner"/>
    <n v="11"/>
    <s v="Budget"/>
  </r>
  <r>
    <s v="Toyota Etios Liva GD"/>
    <x v="8"/>
    <n v="450000"/>
    <n v="70000"/>
    <x v="1"/>
    <x v="0"/>
    <x v="0"/>
    <s v="Second Owner"/>
    <n v="13"/>
    <s v="Budget"/>
  </r>
  <r>
    <s v="Volkswagen Jetta 2.0L TDI Highline AT"/>
    <x v="1"/>
    <n v="735000"/>
    <n v="55300"/>
    <x v="1"/>
    <x v="1"/>
    <x v="1"/>
    <s v="First Owner"/>
    <n v="14"/>
    <s v="Mid Range"/>
  </r>
  <r>
    <s v="Tata Indica Vista Quadrajet 90 VX"/>
    <x v="1"/>
    <n v="285000"/>
    <n v="74300"/>
    <x v="1"/>
    <x v="1"/>
    <x v="0"/>
    <s v="First Owner"/>
    <n v="14"/>
    <s v="Budget"/>
  </r>
  <r>
    <s v="Honda City VX MT"/>
    <x v="10"/>
    <n v="350000"/>
    <n v="48781"/>
    <x v="0"/>
    <x v="1"/>
    <x v="0"/>
    <s v="First Owner"/>
    <n v="16"/>
    <s v="Budget"/>
  </r>
  <r>
    <s v="Volkswagen Jetta 1.9 Highline TDI"/>
    <x v="10"/>
    <n v="290000"/>
    <n v="87620"/>
    <x v="1"/>
    <x v="1"/>
    <x v="1"/>
    <s v="First Owner"/>
    <n v="16"/>
    <s v="Budget"/>
  </r>
  <r>
    <s v="Volkswagen Vento 1.5 TDI Highline Plus AT"/>
    <x v="2"/>
    <n v="890000"/>
    <n v="40219"/>
    <x v="1"/>
    <x v="1"/>
    <x v="1"/>
    <s v="First Owner"/>
    <n v="9"/>
    <s v="Mid Range"/>
  </r>
  <r>
    <s v="Honda Jazz VX"/>
    <x v="9"/>
    <n v="385000"/>
    <n v="11473"/>
    <x v="0"/>
    <x v="1"/>
    <x v="0"/>
    <s v="First Owner"/>
    <n v="15"/>
    <s v="Budget"/>
  </r>
  <r>
    <s v="Maruti Eeco 5 Seater AC BSIV"/>
    <x v="2"/>
    <n v="425000"/>
    <n v="8352"/>
    <x v="0"/>
    <x v="1"/>
    <x v="0"/>
    <s v="First Owner"/>
    <n v="9"/>
    <s v="Budget"/>
  </r>
  <r>
    <s v="Maruti Wagon R VXI AMT1.2BSIV"/>
    <x v="2"/>
    <n v="525000"/>
    <n v="9745"/>
    <x v="0"/>
    <x v="1"/>
    <x v="1"/>
    <s v="First Owner"/>
    <n v="9"/>
    <s v="Mid Range"/>
  </r>
  <r>
    <s v="Hyundai Grand i10 Asta"/>
    <x v="2"/>
    <n v="550000"/>
    <n v="9748"/>
    <x v="0"/>
    <x v="1"/>
    <x v="0"/>
    <s v="First Owner"/>
    <n v="9"/>
    <s v="Mid Range"/>
  </r>
  <r>
    <s v="Volkswagen Polo 1.0 MPI Trendline"/>
    <x v="1"/>
    <n v="271000"/>
    <n v="49000"/>
    <x v="0"/>
    <x v="1"/>
    <x v="0"/>
    <s v="First Owner"/>
    <n v="14"/>
    <s v="Budget"/>
  </r>
  <r>
    <s v="Hyundai Creta 1.6 CRDi SX Option"/>
    <x v="6"/>
    <n v="1490000"/>
    <n v="20694"/>
    <x v="1"/>
    <x v="1"/>
    <x v="0"/>
    <s v="First Owner"/>
    <n v="8"/>
    <s v="Premium"/>
  </r>
  <r>
    <s v="Hyundai Grand i10 Asta Option"/>
    <x v="5"/>
    <n v="490000"/>
    <n v="31080"/>
    <x v="0"/>
    <x v="1"/>
    <x v="0"/>
    <s v="First Owner"/>
    <n v="11"/>
    <s v="Budget"/>
  </r>
  <r>
    <s v="Hyundai EON Era Plus"/>
    <x v="3"/>
    <n v="260000"/>
    <n v="37605"/>
    <x v="0"/>
    <x v="1"/>
    <x v="0"/>
    <s v="First Owner"/>
    <n v="12"/>
    <s v="Budget"/>
  </r>
  <r>
    <s v="Hyundai Xcent 1.1 CRDi SX Option"/>
    <x v="3"/>
    <n v="455000"/>
    <n v="55850"/>
    <x v="1"/>
    <x v="1"/>
    <x v="0"/>
    <s v="First Owner"/>
    <n v="12"/>
    <s v="Budget"/>
  </r>
  <r>
    <s v="Tata Nano Lx BSIV"/>
    <x v="10"/>
    <n v="75000"/>
    <n v="58850"/>
    <x v="0"/>
    <x v="1"/>
    <x v="0"/>
    <s v="First Owner"/>
    <n v="16"/>
    <s v="Budget"/>
  </r>
  <r>
    <s v="Toyota Etios Cross 1.2L G"/>
    <x v="5"/>
    <n v="421000"/>
    <n v="23839"/>
    <x v="0"/>
    <x v="1"/>
    <x v="0"/>
    <s v="First Owner"/>
    <n v="11"/>
    <s v="Budget"/>
  </r>
  <r>
    <s v="Maruti Swift DDiS LDI"/>
    <x v="4"/>
    <n v="550000"/>
    <n v="54000"/>
    <x v="1"/>
    <x v="1"/>
    <x v="0"/>
    <s v="First Owner"/>
    <n v="10"/>
    <s v="Mid Range"/>
  </r>
  <r>
    <s v="Hyundai i10 Sportz 1.2 AT"/>
    <x v="8"/>
    <n v="330000"/>
    <n v="38000"/>
    <x v="0"/>
    <x v="1"/>
    <x v="1"/>
    <s v="First Owner"/>
    <n v="13"/>
    <s v="Budget"/>
  </r>
  <r>
    <s v="Volkswagen Vento 1.5 TDI Comfortline"/>
    <x v="1"/>
    <n v="390000"/>
    <n v="45454"/>
    <x v="1"/>
    <x v="1"/>
    <x v="0"/>
    <s v="First Owner"/>
    <n v="14"/>
    <s v="Budget"/>
  </r>
  <r>
    <s v="Skoda Rapid 1.5 TDI AT Ambition"/>
    <x v="5"/>
    <n v="599000"/>
    <n v="46957"/>
    <x v="1"/>
    <x v="1"/>
    <x v="1"/>
    <s v="First Owner"/>
    <n v="11"/>
    <s v="Mid Range"/>
  </r>
  <r>
    <s v="Hyundai Getz GLE"/>
    <x v="0"/>
    <n v="110000"/>
    <n v="60000"/>
    <x v="0"/>
    <x v="0"/>
    <x v="0"/>
    <s v="Fourth &amp; Above Owner"/>
    <n v="19"/>
    <s v="Budget"/>
  </r>
  <r>
    <s v="Renault KWID RXT Optional"/>
    <x v="4"/>
    <n v="250000"/>
    <n v="25000"/>
    <x v="0"/>
    <x v="0"/>
    <x v="0"/>
    <s v="First Owner"/>
    <n v="10"/>
    <s v="Budget"/>
  </r>
  <r>
    <s v="Mahindra Scorpio M2DI"/>
    <x v="1"/>
    <n v="600000"/>
    <n v="110000"/>
    <x v="1"/>
    <x v="0"/>
    <x v="0"/>
    <s v="Fourth &amp; Above Owner"/>
    <n v="14"/>
    <s v="Mid Range"/>
  </r>
  <r>
    <s v="Ford Endeavour XLT TDCi 4X2"/>
    <x v="15"/>
    <n v="280000"/>
    <n v="190000"/>
    <x v="1"/>
    <x v="0"/>
    <x v="0"/>
    <s v="Second Owner"/>
    <n v="18"/>
    <s v="Budget"/>
  </r>
  <r>
    <s v="Audi Q3 35 TDI Quattro Technology"/>
    <x v="6"/>
    <n v="2700000"/>
    <n v="25000"/>
    <x v="1"/>
    <x v="0"/>
    <x v="1"/>
    <s v="First Owner"/>
    <n v="8"/>
    <s v="Premium"/>
  </r>
  <r>
    <s v="Mahindra Renault Logan 1.4 GLX Petrol"/>
    <x v="15"/>
    <n v="80000"/>
    <n v="90000"/>
    <x v="0"/>
    <x v="0"/>
    <x v="0"/>
    <s v="First Owner"/>
    <n v="18"/>
    <s v="Budget"/>
  </r>
  <r>
    <s v="Maruti Alto K10 VXI"/>
    <x v="7"/>
    <n v="350000"/>
    <n v="5000"/>
    <x v="0"/>
    <x v="0"/>
    <x v="0"/>
    <s v="First Owner"/>
    <n v="7"/>
    <s v="Budget"/>
  </r>
  <r>
    <s v="Maruti Swift VDI BSIV"/>
    <x v="5"/>
    <n v="475000"/>
    <n v="60000"/>
    <x v="1"/>
    <x v="0"/>
    <x v="0"/>
    <s v="First Owner"/>
    <n v="11"/>
    <s v="Budget"/>
  </r>
  <r>
    <s v="Audi A5 Sportback"/>
    <x v="20"/>
    <n v="4700000"/>
    <n v="1500"/>
    <x v="1"/>
    <x v="0"/>
    <x v="1"/>
    <s v="First Owner"/>
    <n v="6"/>
    <s v="Premium"/>
  </r>
  <r>
    <s v="Maruti Swift Dzire VDI"/>
    <x v="6"/>
    <n v="500000"/>
    <n v="50000"/>
    <x v="1"/>
    <x v="0"/>
    <x v="0"/>
    <s v="First Owner"/>
    <n v="8"/>
    <s v="Mid Range"/>
  </r>
  <r>
    <s v="Chevrolet Sail Hatchback 1.3 TCDi LT ABS"/>
    <x v="3"/>
    <n v="250000"/>
    <n v="120000"/>
    <x v="1"/>
    <x v="0"/>
    <x v="0"/>
    <s v="First Owner"/>
    <n v="12"/>
    <s v="Budget"/>
  </r>
  <r>
    <s v="Hyundai Accent CRDi"/>
    <x v="14"/>
    <n v="100000"/>
    <n v="120000"/>
    <x v="1"/>
    <x v="0"/>
    <x v="0"/>
    <s v="Second Owner"/>
    <n v="21"/>
    <s v="Budget"/>
  </r>
  <r>
    <s v="Maruti Alto K10 VXI Airbag"/>
    <x v="7"/>
    <n v="350000"/>
    <n v="5000"/>
    <x v="0"/>
    <x v="0"/>
    <x v="0"/>
    <s v="First Owner"/>
    <n v="7"/>
    <s v="Budget"/>
  </r>
  <r>
    <s v="BMW 7 Series Signature 730Ld"/>
    <x v="3"/>
    <n v="4000000"/>
    <n v="47000"/>
    <x v="1"/>
    <x v="0"/>
    <x v="1"/>
    <s v="First Owner"/>
    <n v="12"/>
    <s v="Premium"/>
  </r>
  <r>
    <s v="Toyota Camry 2.5 Hybrid"/>
    <x v="2"/>
    <n v="1900000"/>
    <n v="20000"/>
    <x v="0"/>
    <x v="0"/>
    <x v="1"/>
    <s v="First Owner"/>
    <n v="9"/>
    <s v="Premium"/>
  </r>
  <r>
    <s v="Hyundai Santro Xing XG"/>
    <x v="14"/>
    <n v="95000"/>
    <n v="120000"/>
    <x v="0"/>
    <x v="0"/>
    <x v="0"/>
    <s v="Second Owner"/>
    <n v="21"/>
    <s v="Budget"/>
  </r>
  <r>
    <s v="Hyundai Grand i10 CRDi Sportz"/>
    <x v="5"/>
    <n v="409999"/>
    <n v="58000"/>
    <x v="1"/>
    <x v="0"/>
    <x v="0"/>
    <s v="First Owner"/>
    <n v="11"/>
    <s v="Budget"/>
  </r>
  <r>
    <s v="Mahindra XUV500 W5 BSIV"/>
    <x v="6"/>
    <n v="1050000"/>
    <n v="35000"/>
    <x v="1"/>
    <x v="0"/>
    <x v="0"/>
    <s v="First Owner"/>
    <n v="8"/>
    <s v="Premium"/>
  </r>
  <r>
    <s v="Maruti Alto K10 VXI"/>
    <x v="2"/>
    <n v="320000"/>
    <n v="30000"/>
    <x v="0"/>
    <x v="0"/>
    <x v="0"/>
    <s v="First Owner"/>
    <n v="9"/>
    <s v="Budget"/>
  </r>
  <r>
    <s v="Mahindra XUV300 W8 Option Diesel BSIV"/>
    <x v="7"/>
    <n v="1000000"/>
    <n v="10000"/>
    <x v="1"/>
    <x v="0"/>
    <x v="0"/>
    <s v="First Owner"/>
    <n v="7"/>
    <s v="Mid Range"/>
  </r>
  <r>
    <s v="Toyota Innova Crysta 2.4 VX MT BSIV"/>
    <x v="2"/>
    <n v="1770000"/>
    <n v="25000"/>
    <x v="1"/>
    <x v="0"/>
    <x v="0"/>
    <s v="First Owner"/>
    <n v="9"/>
    <s v="Premium"/>
  </r>
  <r>
    <s v="Mahindra Thar CRDe"/>
    <x v="6"/>
    <n v="950000"/>
    <n v="20000"/>
    <x v="1"/>
    <x v="0"/>
    <x v="0"/>
    <s v="First Owner"/>
    <n v="8"/>
    <s v="Mid Range"/>
  </r>
  <r>
    <s v="Maruti Swift Dzire ZDI"/>
    <x v="6"/>
    <n v="750000"/>
    <n v="50000"/>
    <x v="1"/>
    <x v="0"/>
    <x v="0"/>
    <s v="First Owner"/>
    <n v="8"/>
    <s v="Mid Range"/>
  </r>
  <r>
    <s v="Hyundai EON Magna Plus"/>
    <x v="3"/>
    <n v="220000"/>
    <n v="42000"/>
    <x v="0"/>
    <x v="0"/>
    <x v="0"/>
    <s v="First Owner"/>
    <n v="12"/>
    <s v="Budget"/>
  </r>
  <r>
    <s v="Tata Hexa XM"/>
    <x v="2"/>
    <n v="1000000"/>
    <n v="50000"/>
    <x v="1"/>
    <x v="0"/>
    <x v="0"/>
    <s v="First Owner"/>
    <n v="9"/>
    <s v="Mid Range"/>
  </r>
  <r>
    <s v="Honda Mobilio E i DTEC"/>
    <x v="2"/>
    <n v="660000"/>
    <n v="116000"/>
    <x v="1"/>
    <x v="0"/>
    <x v="0"/>
    <s v="First Owner"/>
    <n v="9"/>
    <s v="Mid Range"/>
  </r>
  <r>
    <s v="Maruti Ertiga ZDI"/>
    <x v="5"/>
    <n v="716000"/>
    <n v="100000"/>
    <x v="1"/>
    <x v="0"/>
    <x v="0"/>
    <s v="First Owner"/>
    <n v="11"/>
    <s v="Mid Range"/>
  </r>
  <r>
    <s v="Maruti Ciaz ZXi Plus"/>
    <x v="5"/>
    <n v="675000"/>
    <n v="66000"/>
    <x v="0"/>
    <x v="0"/>
    <x v="0"/>
    <s v="First Owner"/>
    <n v="11"/>
    <s v="Mid Range"/>
  </r>
  <r>
    <s v="Mahindra Scorpio LX"/>
    <x v="10"/>
    <n v="385000"/>
    <n v="110000"/>
    <x v="1"/>
    <x v="0"/>
    <x v="0"/>
    <s v="Third Owner"/>
    <n v="16"/>
    <s v="Budget"/>
  </r>
  <r>
    <s v="Fiat Grande Punto EVO 1.3 Dynamic"/>
    <x v="3"/>
    <n v="325000"/>
    <n v="70000"/>
    <x v="1"/>
    <x v="0"/>
    <x v="0"/>
    <s v="First Owner"/>
    <n v="12"/>
    <s v="Budget"/>
  </r>
  <r>
    <s v="Hyundai Creta 1.6 CRDi SX Option"/>
    <x v="5"/>
    <n v="950000"/>
    <n v="60000"/>
    <x v="1"/>
    <x v="0"/>
    <x v="0"/>
    <s v="First Owner"/>
    <n v="11"/>
    <s v="Mid Range"/>
  </r>
  <r>
    <s v="Ford Endeavour Hurricane Limited Edition"/>
    <x v="0"/>
    <n v="400000"/>
    <n v="110000"/>
    <x v="1"/>
    <x v="0"/>
    <x v="1"/>
    <s v="Fourth &amp; Above Owner"/>
    <n v="19"/>
    <s v="Budget"/>
  </r>
  <r>
    <s v="Tata Indica Vista TDI LS"/>
    <x v="3"/>
    <n v="250000"/>
    <n v="25000"/>
    <x v="1"/>
    <x v="0"/>
    <x v="0"/>
    <s v="First Owner"/>
    <n v="12"/>
    <s v="Budget"/>
  </r>
  <r>
    <s v="Land Rover Discovery S 2.0 SD4"/>
    <x v="6"/>
    <n v="4000000"/>
    <n v="68000"/>
    <x v="0"/>
    <x v="0"/>
    <x v="1"/>
    <s v="First Owner"/>
    <n v="8"/>
    <s v="Premium"/>
  </r>
  <r>
    <s v="Maruti Alto 800 LXI"/>
    <x v="3"/>
    <n v="210000"/>
    <n v="20000"/>
    <x v="0"/>
    <x v="0"/>
    <x v="0"/>
    <s v="First Owner"/>
    <n v="12"/>
    <s v="Budget"/>
  </r>
  <r>
    <s v="Hyundai i10 Era 1.1 iTech SE"/>
    <x v="9"/>
    <n v="147000"/>
    <n v="110000"/>
    <x v="0"/>
    <x v="0"/>
    <x v="0"/>
    <s v="Second Owner"/>
    <n v="15"/>
    <s v="Budget"/>
  </r>
  <r>
    <s v="Maruti Vitara Brezza VDi Option"/>
    <x v="6"/>
    <n v="725000"/>
    <n v="26350"/>
    <x v="1"/>
    <x v="0"/>
    <x v="0"/>
    <s v="First Owner"/>
    <n v="8"/>
    <s v="Mid Range"/>
  </r>
  <r>
    <s v="Mahindra Scorpio SLE BSIV"/>
    <x v="1"/>
    <n v="550000"/>
    <n v="90000"/>
    <x v="1"/>
    <x v="0"/>
    <x v="0"/>
    <s v="First Owner"/>
    <n v="14"/>
    <s v="Mid Range"/>
  </r>
  <r>
    <s v="Hyundai i20 Sportz Option 1.2"/>
    <x v="4"/>
    <n v="475000"/>
    <n v="25000"/>
    <x v="0"/>
    <x v="0"/>
    <x v="0"/>
    <s v="First Owner"/>
    <n v="10"/>
    <s v="Budget"/>
  </r>
  <r>
    <s v="Hyundai Santro Xing GLS"/>
    <x v="3"/>
    <n v="250000"/>
    <n v="50000"/>
    <x v="0"/>
    <x v="0"/>
    <x v="0"/>
    <s v="Second Owner"/>
    <n v="12"/>
    <s v="Budget"/>
  </r>
  <r>
    <s v="Tata Indica LSI"/>
    <x v="12"/>
    <n v="70000"/>
    <n v="60000"/>
    <x v="0"/>
    <x v="0"/>
    <x v="0"/>
    <s v="Second Owner"/>
    <n v="20"/>
    <s v="Budget"/>
  </r>
  <r>
    <s v="Hyundai EON Era Plus"/>
    <x v="1"/>
    <n v="160000"/>
    <n v="70000"/>
    <x v="0"/>
    <x v="0"/>
    <x v="0"/>
    <s v="Third Owner"/>
    <n v="14"/>
    <s v="Budget"/>
  </r>
  <r>
    <s v="Ford Endeavour 3.0L 4X4 AT"/>
    <x v="9"/>
    <n v="1000000"/>
    <n v="90000"/>
    <x v="1"/>
    <x v="0"/>
    <x v="1"/>
    <s v="Second Owner"/>
    <n v="15"/>
    <s v="Mid Range"/>
  </r>
  <r>
    <s v="Hyundai Santro LE zipPlus"/>
    <x v="23"/>
    <n v="68000"/>
    <n v="70000"/>
    <x v="0"/>
    <x v="0"/>
    <x v="0"/>
    <s v="First Owner"/>
    <n v="25"/>
    <s v="Budget"/>
  </r>
  <r>
    <s v="Hyundai Grand i10 1.2 Kappa Asta"/>
    <x v="2"/>
    <n v="500000"/>
    <n v="26500"/>
    <x v="0"/>
    <x v="0"/>
    <x v="0"/>
    <s v="First Owner"/>
    <n v="9"/>
    <s v="Mid Range"/>
  </r>
  <r>
    <s v="Hyundai Creta 1.4 EX Diesel"/>
    <x v="20"/>
    <n v="1050000"/>
    <n v="10000"/>
    <x v="1"/>
    <x v="0"/>
    <x v="0"/>
    <s v="First Owner"/>
    <n v="6"/>
    <s v="Premium"/>
  </r>
  <r>
    <s v="Hyundai Verna CRDi 1.6 SX"/>
    <x v="2"/>
    <n v="900000"/>
    <n v="50000"/>
    <x v="1"/>
    <x v="0"/>
    <x v="0"/>
    <s v="First Owner"/>
    <n v="9"/>
    <s v="Mid Range"/>
  </r>
  <r>
    <s v="Maruti Alto LX"/>
    <x v="0"/>
    <n v="100000"/>
    <n v="52000"/>
    <x v="0"/>
    <x v="0"/>
    <x v="0"/>
    <s v="Second Owner"/>
    <n v="19"/>
    <s v="Budget"/>
  </r>
  <r>
    <s v="Hyundai i20 Asta 1.4 CRDi"/>
    <x v="8"/>
    <n v="300000"/>
    <n v="90000"/>
    <x v="1"/>
    <x v="0"/>
    <x v="0"/>
    <s v="First Owner"/>
    <n v="13"/>
    <s v="Budget"/>
  </r>
  <r>
    <s v="Tata Indigo LX"/>
    <x v="9"/>
    <n v="140000"/>
    <n v="60000"/>
    <x v="1"/>
    <x v="0"/>
    <x v="0"/>
    <s v="Second Owner"/>
    <n v="15"/>
    <s v="Budget"/>
  </r>
  <r>
    <s v="Ford Figo Aspire 1.2 Ti-VCT Trend"/>
    <x v="6"/>
    <n v="550000"/>
    <n v="35000"/>
    <x v="0"/>
    <x v="0"/>
    <x v="0"/>
    <s v="First Owner"/>
    <n v="8"/>
    <s v="Mid Range"/>
  </r>
  <r>
    <s v="Mahindra XUV500 W8 4WD"/>
    <x v="1"/>
    <n v="650000"/>
    <n v="71042"/>
    <x v="1"/>
    <x v="1"/>
    <x v="0"/>
    <s v="First Owner"/>
    <n v="14"/>
    <s v="Mid Range"/>
  </r>
  <r>
    <s v="Mitsubishi Pajero Sport 4X4"/>
    <x v="1"/>
    <n v="1025000"/>
    <n v="167870"/>
    <x v="1"/>
    <x v="1"/>
    <x v="0"/>
    <s v="Second Owner"/>
    <n v="14"/>
    <s v="Premium"/>
  </r>
  <r>
    <s v="Ford Fiesta 1.5 TDCi Titanium"/>
    <x v="9"/>
    <n v="195000"/>
    <n v="133564"/>
    <x v="1"/>
    <x v="1"/>
    <x v="0"/>
    <s v="First Owner"/>
    <n v="15"/>
    <s v="Budget"/>
  </r>
  <r>
    <s v="BMW 3 Series 320d Sport"/>
    <x v="8"/>
    <n v="1490000"/>
    <n v="40000"/>
    <x v="1"/>
    <x v="1"/>
    <x v="1"/>
    <s v="First Owner"/>
    <n v="13"/>
    <s v="Premium"/>
  </r>
  <r>
    <s v="Honda City i-VTEC CVT ZX"/>
    <x v="6"/>
    <n v="1140000"/>
    <n v="23038"/>
    <x v="0"/>
    <x v="2"/>
    <x v="1"/>
    <s v="First Owner"/>
    <n v="8"/>
    <s v="Premium"/>
  </r>
  <r>
    <s v="Chevrolet Beat Diesel LS"/>
    <x v="9"/>
    <n v="95000"/>
    <n v="70000"/>
    <x v="1"/>
    <x v="0"/>
    <x v="0"/>
    <s v="First Owner"/>
    <n v="15"/>
    <s v="Budget"/>
  </r>
  <r>
    <s v="BMW 3 Series GT Luxury Line"/>
    <x v="2"/>
    <n v="3050000"/>
    <n v="30000"/>
    <x v="1"/>
    <x v="0"/>
    <x v="1"/>
    <s v="First Owner"/>
    <n v="9"/>
    <s v="Premium"/>
  </r>
  <r>
    <s v="Maruti Baleno Delta 1.2"/>
    <x v="2"/>
    <n v="585000"/>
    <n v="43608"/>
    <x v="0"/>
    <x v="2"/>
    <x v="0"/>
    <s v="First Owner"/>
    <n v="9"/>
    <s v="Mid Range"/>
  </r>
  <r>
    <s v="Maruti Baleno Alpha CVT"/>
    <x v="6"/>
    <n v="825000"/>
    <n v="11212"/>
    <x v="0"/>
    <x v="2"/>
    <x v="1"/>
    <s v="First Owner"/>
    <n v="8"/>
    <s v="Mid Range"/>
  </r>
  <r>
    <s v="Hyundai i20 1.4 Magna Executive"/>
    <x v="8"/>
    <n v="280000"/>
    <n v="52000"/>
    <x v="1"/>
    <x v="1"/>
    <x v="0"/>
    <s v="First Owner"/>
    <n v="13"/>
    <s v="Budget"/>
  </r>
  <r>
    <s v="Maruti Baleno Zeta"/>
    <x v="4"/>
    <n v="725000"/>
    <n v="49217"/>
    <x v="0"/>
    <x v="2"/>
    <x v="0"/>
    <s v="First Owner"/>
    <n v="10"/>
    <s v="Mid Range"/>
  </r>
  <r>
    <s v="Mahindra Verito 1.5 D4 BSIV"/>
    <x v="5"/>
    <n v="300000"/>
    <n v="90000"/>
    <x v="1"/>
    <x v="0"/>
    <x v="0"/>
    <s v="First Owner"/>
    <n v="11"/>
    <s v="Budget"/>
  </r>
  <r>
    <s v="Hyundai Xcent 1.2 Kappa S"/>
    <x v="5"/>
    <n v="375000"/>
    <n v="70000"/>
    <x v="0"/>
    <x v="0"/>
    <x v="0"/>
    <s v="First Owner"/>
    <n v="11"/>
    <s v="Budget"/>
  </r>
  <r>
    <s v="Honda City VTEC"/>
    <x v="18"/>
    <n v="310000"/>
    <n v="90000"/>
    <x v="0"/>
    <x v="0"/>
    <x v="0"/>
    <s v="Fourth &amp; Above Owner"/>
    <n v="23"/>
    <s v="Budget"/>
  </r>
  <r>
    <s v="Maruti Swift Dzire VDi"/>
    <x v="9"/>
    <n v="375000"/>
    <n v="190000"/>
    <x v="1"/>
    <x v="0"/>
    <x v="0"/>
    <s v="Third Owner"/>
    <n v="15"/>
    <s v="Budget"/>
  </r>
  <r>
    <s v="Ford Endeavour 3.2 Titanium AT 4X4"/>
    <x v="4"/>
    <n v="1950000"/>
    <n v="106000"/>
    <x v="1"/>
    <x v="0"/>
    <x v="1"/>
    <s v="First Owner"/>
    <n v="10"/>
    <s v="Premium"/>
  </r>
  <r>
    <s v="Tata Xenon XT EX 4X2"/>
    <x v="1"/>
    <n v="400000"/>
    <n v="80000"/>
    <x v="1"/>
    <x v="0"/>
    <x v="0"/>
    <s v="Second Owner"/>
    <n v="14"/>
    <s v="Budget"/>
  </r>
  <r>
    <s v="Nissan Terrano XL Plus 85 PS"/>
    <x v="3"/>
    <n v="550000"/>
    <n v="80000"/>
    <x v="1"/>
    <x v="0"/>
    <x v="0"/>
    <s v="Second Owner"/>
    <n v="12"/>
    <s v="Mid Range"/>
  </r>
  <r>
    <s v="Maruti Eeco 7 Seater Standard BSIV"/>
    <x v="6"/>
    <n v="270000"/>
    <n v="20000"/>
    <x v="0"/>
    <x v="0"/>
    <x v="0"/>
    <s v="First Owner"/>
    <n v="8"/>
    <s v="Budget"/>
  </r>
  <r>
    <s v="Maruti Ertiga ZDI"/>
    <x v="1"/>
    <n v="555000"/>
    <n v="110000"/>
    <x v="1"/>
    <x v="0"/>
    <x v="0"/>
    <s v="Second Owner"/>
    <n v="14"/>
    <s v="Mid Range"/>
  </r>
  <r>
    <s v="Ford Ecosport 1.5 DV5 MT Ambiente"/>
    <x v="8"/>
    <n v="500000"/>
    <n v="60000"/>
    <x v="1"/>
    <x v="0"/>
    <x v="0"/>
    <s v="Second Owner"/>
    <n v="13"/>
    <s v="Mid Range"/>
  </r>
  <r>
    <s v="Skoda Laura Elegance 1.9 TDI  AT"/>
    <x v="10"/>
    <n v="400000"/>
    <n v="130000"/>
    <x v="1"/>
    <x v="0"/>
    <x v="1"/>
    <s v="Second Owner"/>
    <n v="16"/>
    <s v="Budget"/>
  </r>
  <r>
    <s v="Hyundai EON 1.0 Era Plus"/>
    <x v="2"/>
    <n v="280000"/>
    <n v="28838"/>
    <x v="0"/>
    <x v="0"/>
    <x v="0"/>
    <s v="First Owner"/>
    <n v="9"/>
    <s v="Budget"/>
  </r>
  <r>
    <s v="Tata Indica GLS BS IV"/>
    <x v="15"/>
    <n v="80000"/>
    <n v="200000"/>
    <x v="0"/>
    <x v="0"/>
    <x v="0"/>
    <s v="First Owner"/>
    <n v="18"/>
    <s v="Budget"/>
  </r>
  <r>
    <s v="Tata Indica DLS"/>
    <x v="12"/>
    <n v="55000"/>
    <n v="100000"/>
    <x v="1"/>
    <x v="0"/>
    <x v="0"/>
    <s v="First Owner"/>
    <n v="20"/>
    <s v="Budget"/>
  </r>
  <r>
    <s v="Maruti Alto 800 LXI Airbag"/>
    <x v="3"/>
    <n v="250000"/>
    <n v="50000"/>
    <x v="0"/>
    <x v="0"/>
    <x v="0"/>
    <s v="First Owner"/>
    <n v="12"/>
    <s v="Budget"/>
  </r>
  <r>
    <s v="Mahindra Bolero SLX 2WD"/>
    <x v="10"/>
    <n v="250000"/>
    <n v="190000"/>
    <x v="1"/>
    <x v="0"/>
    <x v="0"/>
    <s v="Fourth &amp; Above Owner"/>
    <n v="16"/>
    <s v="Budget"/>
  </r>
  <r>
    <s v="Mahindra Jeep MM 540"/>
    <x v="0"/>
    <n v="95000"/>
    <n v="100000"/>
    <x v="1"/>
    <x v="0"/>
    <x v="0"/>
    <s v="Second Owner"/>
    <n v="19"/>
    <s v="Budget"/>
  </r>
  <r>
    <s v="Mahindra Scorpio 1.99 S10"/>
    <x v="3"/>
    <n v="725000"/>
    <n v="135000"/>
    <x v="1"/>
    <x v="0"/>
    <x v="0"/>
    <s v="Second Owner"/>
    <n v="12"/>
    <s v="Mid Range"/>
  </r>
  <r>
    <s v="Mahindra Bolero Power Plus Plus AC BSIV PS"/>
    <x v="5"/>
    <n v="320000"/>
    <n v="50000"/>
    <x v="1"/>
    <x v="0"/>
    <x v="0"/>
    <s v="Third Owner"/>
    <n v="11"/>
    <s v="Budget"/>
  </r>
  <r>
    <s v="Skoda Octavia Elegance 2.0 TDI AT"/>
    <x v="3"/>
    <n v="1200000"/>
    <n v="135000"/>
    <x v="1"/>
    <x v="0"/>
    <x v="1"/>
    <s v="Third Owner"/>
    <n v="12"/>
    <s v="Premium"/>
  </r>
  <r>
    <s v="Chevrolet Beat Diesel LS"/>
    <x v="1"/>
    <n v="160000"/>
    <n v="50000"/>
    <x v="1"/>
    <x v="0"/>
    <x v="0"/>
    <s v="First Owner"/>
    <n v="14"/>
    <s v="Budget"/>
  </r>
  <r>
    <s v="Honda Jazz 1.5 VX i DTEC"/>
    <x v="6"/>
    <n v="790000"/>
    <n v="19571"/>
    <x v="1"/>
    <x v="1"/>
    <x v="0"/>
    <s v="First Owner"/>
    <n v="8"/>
    <s v="Mid Range"/>
  </r>
  <r>
    <s v="Honda City i-VTEC ZX"/>
    <x v="6"/>
    <n v="1200000"/>
    <n v="29600"/>
    <x v="0"/>
    <x v="1"/>
    <x v="0"/>
    <s v="First Owner"/>
    <n v="8"/>
    <s v="Premium"/>
  </r>
  <r>
    <s v="Maruti Swift LXI"/>
    <x v="9"/>
    <n v="175000"/>
    <n v="70000"/>
    <x v="0"/>
    <x v="0"/>
    <x v="0"/>
    <s v="First Owner"/>
    <n v="15"/>
    <s v="Budget"/>
  </r>
  <r>
    <s v="Maruti Vitara Brezza ZDi Plus AMT Dual Tone"/>
    <x v="6"/>
    <n v="950000"/>
    <n v="15000"/>
    <x v="1"/>
    <x v="0"/>
    <x v="1"/>
    <s v="First Owner"/>
    <n v="8"/>
    <s v="Mid Range"/>
  </r>
  <r>
    <s v="Maruti Celerio LXI MT BSIV"/>
    <x v="7"/>
    <n v="340000"/>
    <n v="50000"/>
    <x v="0"/>
    <x v="0"/>
    <x v="0"/>
    <s v="First Owner"/>
    <n v="7"/>
    <s v="Budget"/>
  </r>
  <r>
    <s v="Renault Captur 1.5 Diesel RXT"/>
    <x v="2"/>
    <n v="825000"/>
    <n v="13500"/>
    <x v="1"/>
    <x v="0"/>
    <x v="0"/>
    <s v="First Owner"/>
    <n v="9"/>
    <s v="Mid Range"/>
  </r>
  <r>
    <s v="Audi A4 30 TFSI Technology"/>
    <x v="6"/>
    <n v="3100000"/>
    <n v="22000"/>
    <x v="0"/>
    <x v="0"/>
    <x v="1"/>
    <s v="First Owner"/>
    <n v="8"/>
    <s v="Premium"/>
  </r>
  <r>
    <s v="Honda Amaze VX Diesel BSIV"/>
    <x v="6"/>
    <n v="780000"/>
    <n v="25000"/>
    <x v="1"/>
    <x v="1"/>
    <x v="0"/>
    <s v="First Owner"/>
    <n v="8"/>
    <s v="Mid Range"/>
  </r>
  <r>
    <s v="Toyota Corolla Altis 1.8 VL AT"/>
    <x v="10"/>
    <n v="350000"/>
    <n v="80000"/>
    <x v="0"/>
    <x v="0"/>
    <x v="1"/>
    <s v="Third Owner"/>
    <n v="16"/>
    <s v="Budget"/>
  </r>
  <r>
    <s v="Honda Amaze VX Petrol BSIV"/>
    <x v="6"/>
    <n v="690000"/>
    <n v="39000"/>
    <x v="0"/>
    <x v="1"/>
    <x v="0"/>
    <s v="First Owner"/>
    <n v="8"/>
    <s v="Mid Range"/>
  </r>
  <r>
    <s v="Maruti Alto 800 VXI"/>
    <x v="4"/>
    <n v="245000"/>
    <n v="60000"/>
    <x v="0"/>
    <x v="0"/>
    <x v="0"/>
    <s v="First Owner"/>
    <n v="10"/>
    <s v="Budget"/>
  </r>
  <r>
    <s v="Honda Amaze VX Diesel BSIV"/>
    <x v="6"/>
    <n v="790000"/>
    <n v="49000"/>
    <x v="1"/>
    <x v="1"/>
    <x v="0"/>
    <s v="First Owner"/>
    <n v="8"/>
    <s v="Mid Range"/>
  </r>
  <r>
    <s v="Honda Amaze VX i-VTEC"/>
    <x v="6"/>
    <n v="680000"/>
    <n v="48600"/>
    <x v="0"/>
    <x v="1"/>
    <x v="0"/>
    <s v="First Owner"/>
    <n v="8"/>
    <s v="Mid Range"/>
  </r>
  <r>
    <s v="Hyundai Grand i10 Asta Option"/>
    <x v="2"/>
    <n v="540000"/>
    <n v="20000"/>
    <x v="0"/>
    <x v="0"/>
    <x v="0"/>
    <s v="Second Owner"/>
    <n v="9"/>
    <s v="Mid Range"/>
  </r>
  <r>
    <s v="Mahindra KUV 100 mFALCON G80 K2"/>
    <x v="4"/>
    <n v="425000"/>
    <n v="25000"/>
    <x v="0"/>
    <x v="0"/>
    <x v="0"/>
    <s v="First Owner"/>
    <n v="10"/>
    <s v="Budget"/>
  </r>
  <r>
    <s v="Maruti Zen Estilo Sports"/>
    <x v="15"/>
    <n v="140000"/>
    <n v="120000"/>
    <x v="0"/>
    <x v="0"/>
    <x v="0"/>
    <s v="First Owner"/>
    <n v="18"/>
    <s v="Budget"/>
  </r>
  <r>
    <s v="Maruti Ertiga ZDI Plus"/>
    <x v="7"/>
    <n v="1100000"/>
    <n v="30000"/>
    <x v="1"/>
    <x v="0"/>
    <x v="0"/>
    <s v="First Owner"/>
    <n v="7"/>
    <s v="Premium"/>
  </r>
  <r>
    <s v="Renault Lodgy 85PS RxL"/>
    <x v="5"/>
    <n v="715000"/>
    <n v="35000"/>
    <x v="1"/>
    <x v="0"/>
    <x v="0"/>
    <s v="First Owner"/>
    <n v="11"/>
    <s v="Mid Range"/>
  </r>
  <r>
    <s v="Audi Q3 2.0 TDI Quattro Premium Plus"/>
    <x v="5"/>
    <n v="1750000"/>
    <n v="127643"/>
    <x v="1"/>
    <x v="1"/>
    <x v="1"/>
    <s v="First Owner"/>
    <n v="11"/>
    <s v="Premium"/>
  </r>
  <r>
    <s v="Tata Zest Revotron 1.2T XMS"/>
    <x v="6"/>
    <n v="400000"/>
    <n v="54000"/>
    <x v="0"/>
    <x v="1"/>
    <x v="0"/>
    <s v="Second Owner"/>
    <n v="8"/>
    <s v="Budget"/>
  </r>
  <r>
    <s v="Audi A6 2.0 TDI  Design Edition"/>
    <x v="3"/>
    <n v="1750000"/>
    <n v="102354"/>
    <x v="1"/>
    <x v="1"/>
    <x v="1"/>
    <s v="First Owner"/>
    <n v="12"/>
    <s v="Premium"/>
  </r>
  <r>
    <s v="Audi Q5 2.0 TFSI Quattro Premium Plus"/>
    <x v="3"/>
    <n v="1850000"/>
    <n v="62237"/>
    <x v="0"/>
    <x v="1"/>
    <x v="1"/>
    <s v="First Owner"/>
    <n v="12"/>
    <s v="Premium"/>
  </r>
  <r>
    <s v="Hyundai Santro Xing XL eRLX Euro III"/>
    <x v="14"/>
    <n v="114999"/>
    <n v="90000"/>
    <x v="0"/>
    <x v="1"/>
    <x v="0"/>
    <s v="Second Owner"/>
    <n v="21"/>
    <s v="Budget"/>
  </r>
  <r>
    <s v="Ford EcoSport 1.5 TDCi Titanium BSIV"/>
    <x v="6"/>
    <n v="950000"/>
    <n v="21394"/>
    <x v="1"/>
    <x v="1"/>
    <x v="0"/>
    <s v="First Owner"/>
    <n v="8"/>
    <s v="Mid Range"/>
  </r>
  <r>
    <s v="Datsun GO T Petrol"/>
    <x v="5"/>
    <n v="310000"/>
    <n v="32686"/>
    <x v="0"/>
    <x v="1"/>
    <x v="0"/>
    <s v="First Owner"/>
    <n v="11"/>
    <s v="Budget"/>
  </r>
  <r>
    <s v="Mahindra Jeep CJ 500 DI"/>
    <x v="12"/>
    <n v="575000"/>
    <n v="1001"/>
    <x v="1"/>
    <x v="1"/>
    <x v="0"/>
    <s v="First Owner"/>
    <n v="20"/>
    <s v="Mid Range"/>
  </r>
  <r>
    <s v="Renault Pulse RxZ"/>
    <x v="2"/>
    <n v="490000"/>
    <n v="22000"/>
    <x v="1"/>
    <x v="1"/>
    <x v="0"/>
    <s v="First Owner"/>
    <n v="9"/>
    <s v="Budget"/>
  </r>
  <r>
    <s v="Hyundai Grand i10 Magna"/>
    <x v="2"/>
    <n v="480000"/>
    <n v="53261"/>
    <x v="0"/>
    <x v="1"/>
    <x v="0"/>
    <s v="First Owner"/>
    <n v="9"/>
    <s v="Budget"/>
  </r>
  <r>
    <s v="Land Rover Discovery Sport SD4 HSE Luxury"/>
    <x v="4"/>
    <n v="3500000"/>
    <n v="53000"/>
    <x v="1"/>
    <x v="1"/>
    <x v="1"/>
    <s v="First Owner"/>
    <n v="10"/>
    <s v="Premium"/>
  </r>
  <r>
    <s v="Renault KWID 1.0 RXT Optional"/>
    <x v="6"/>
    <n v="370000"/>
    <n v="10000"/>
    <x v="0"/>
    <x v="1"/>
    <x v="0"/>
    <s v="First Owner"/>
    <n v="8"/>
    <s v="Budget"/>
  </r>
  <r>
    <s v="Maruti Baleno Alpha 1.3"/>
    <x v="2"/>
    <n v="835000"/>
    <n v="14000"/>
    <x v="1"/>
    <x v="1"/>
    <x v="0"/>
    <s v="First Owner"/>
    <n v="9"/>
    <s v="Mid Range"/>
  </r>
  <r>
    <s v="Volkswagen Polo 2015-2019 1.2 MPI Highline"/>
    <x v="2"/>
    <n v="650000"/>
    <n v="44000"/>
    <x v="0"/>
    <x v="1"/>
    <x v="0"/>
    <s v="First Owner"/>
    <n v="9"/>
    <s v="Mid Range"/>
  </r>
  <r>
    <s v="Toyota Etios VD"/>
    <x v="3"/>
    <n v="670000"/>
    <n v="39895"/>
    <x v="1"/>
    <x v="1"/>
    <x v="0"/>
    <s v="First Owner"/>
    <n v="12"/>
    <s v="Mid Range"/>
  </r>
  <r>
    <s v="Chevrolet Cruze LTZ AT"/>
    <x v="2"/>
    <n v="950000"/>
    <n v="73000"/>
    <x v="1"/>
    <x v="1"/>
    <x v="1"/>
    <s v="First Owner"/>
    <n v="9"/>
    <s v="Mid Range"/>
  </r>
  <r>
    <s v="Honda City i-VTEC SV"/>
    <x v="3"/>
    <n v="690000"/>
    <n v="17000"/>
    <x v="0"/>
    <x v="1"/>
    <x v="0"/>
    <s v="First Owner"/>
    <n v="12"/>
    <s v="Mid Range"/>
  </r>
  <r>
    <s v="Volkswagen Polo 2015-2019 1.2 MPI Highline"/>
    <x v="2"/>
    <n v="670000"/>
    <n v="18591"/>
    <x v="0"/>
    <x v="1"/>
    <x v="0"/>
    <s v="First Owner"/>
    <n v="9"/>
    <s v="Mid Range"/>
  </r>
  <r>
    <s v="Tata Nexon 1.5 Revotorq XZ"/>
    <x v="2"/>
    <n v="925000"/>
    <n v="26766"/>
    <x v="1"/>
    <x v="1"/>
    <x v="0"/>
    <s v="First Owner"/>
    <n v="9"/>
    <s v="Mid Range"/>
  </r>
  <r>
    <s v="Hyundai EON Magna Plus"/>
    <x v="5"/>
    <n v="250000"/>
    <n v="30000"/>
    <x v="0"/>
    <x v="0"/>
    <x v="0"/>
    <s v="First Owner"/>
    <n v="11"/>
    <s v="Budget"/>
  </r>
  <r>
    <s v="Tata Sumo Gold EX"/>
    <x v="4"/>
    <n v="509999"/>
    <n v="42000"/>
    <x v="1"/>
    <x v="0"/>
    <x v="0"/>
    <s v="First Owner"/>
    <n v="10"/>
    <s v="Mid Range"/>
  </r>
  <r>
    <s v="Honda City i DTEC VX"/>
    <x v="3"/>
    <n v="520000"/>
    <n v="110000"/>
    <x v="1"/>
    <x v="0"/>
    <x v="0"/>
    <s v="First Owner"/>
    <n v="12"/>
    <s v="Mid Range"/>
  </r>
  <r>
    <s v="Tata Indica DLE"/>
    <x v="14"/>
    <n v="100000"/>
    <n v="100000"/>
    <x v="1"/>
    <x v="0"/>
    <x v="0"/>
    <s v="First Owner"/>
    <n v="21"/>
    <s v="Budget"/>
  </r>
  <r>
    <s v="Tata Indica DLS"/>
    <x v="12"/>
    <n v="85000"/>
    <n v="300000"/>
    <x v="1"/>
    <x v="0"/>
    <x v="0"/>
    <s v="Second Owner"/>
    <n v="20"/>
    <s v="Budget"/>
  </r>
  <r>
    <s v="Tata Indigo LX"/>
    <x v="11"/>
    <n v="130000"/>
    <n v="110000"/>
    <x v="1"/>
    <x v="0"/>
    <x v="0"/>
    <s v="Third Owner"/>
    <n v="17"/>
    <s v="Budget"/>
  </r>
  <r>
    <s v="Ford EcoSport 1.5 TDCi Titanium BSIV"/>
    <x v="6"/>
    <n v="950000"/>
    <n v="27620"/>
    <x v="1"/>
    <x v="1"/>
    <x v="0"/>
    <s v="First Owner"/>
    <n v="8"/>
    <s v="Mid Range"/>
  </r>
  <r>
    <s v="Ford Figo Aspire 1.2 Ti-VCT Titanium Plus"/>
    <x v="5"/>
    <n v="450000"/>
    <n v="70000"/>
    <x v="0"/>
    <x v="0"/>
    <x v="0"/>
    <s v="First Owner"/>
    <n v="11"/>
    <s v="Budget"/>
  </r>
  <r>
    <s v="Honda City S"/>
    <x v="1"/>
    <n v="320000"/>
    <n v="50000"/>
    <x v="0"/>
    <x v="0"/>
    <x v="0"/>
    <s v="Second Owner"/>
    <n v="14"/>
    <s v="Budget"/>
  </r>
  <r>
    <s v="Maruti Swift Dzire VDI"/>
    <x v="5"/>
    <n v="480000"/>
    <n v="50000"/>
    <x v="1"/>
    <x v="0"/>
    <x v="0"/>
    <s v="First Owner"/>
    <n v="11"/>
    <s v="Budget"/>
  </r>
  <r>
    <s v="Mercedes-Benz New C-Class C 220 CDI Grand Edition"/>
    <x v="3"/>
    <n v="2490000"/>
    <n v="46000"/>
    <x v="1"/>
    <x v="0"/>
    <x v="1"/>
    <s v="First Owner"/>
    <n v="12"/>
    <s v="Premium"/>
  </r>
  <r>
    <s v="Toyota Innova 2.5 VX 8 STR"/>
    <x v="1"/>
    <n v="790000"/>
    <n v="82000"/>
    <x v="1"/>
    <x v="0"/>
    <x v="0"/>
    <s v="First Owner"/>
    <n v="14"/>
    <s v="Mid Range"/>
  </r>
  <r>
    <s v="Maruti Omni MPI STD BSIV"/>
    <x v="4"/>
    <n v="120000"/>
    <n v="120000"/>
    <x v="0"/>
    <x v="0"/>
    <x v="0"/>
    <s v="First Owner"/>
    <n v="10"/>
    <s v="Budget"/>
  </r>
  <r>
    <s v="Maruti Alto LXi"/>
    <x v="12"/>
    <n v="75000"/>
    <n v="80000"/>
    <x v="0"/>
    <x v="0"/>
    <x v="0"/>
    <s v="Third Owner"/>
    <n v="20"/>
    <s v="Budget"/>
  </r>
  <r>
    <s v="Tata Indica GLS BS IV"/>
    <x v="10"/>
    <n v="99000"/>
    <n v="70000"/>
    <x v="0"/>
    <x v="0"/>
    <x v="0"/>
    <s v="First Owner"/>
    <n v="16"/>
    <s v="Budget"/>
  </r>
  <r>
    <s v="Maruti S-Cross Zeta DDiS 200 SH"/>
    <x v="6"/>
    <n v="1015000"/>
    <n v="20000"/>
    <x v="1"/>
    <x v="0"/>
    <x v="0"/>
    <s v="First Owner"/>
    <n v="8"/>
    <s v="Premium"/>
  </r>
  <r>
    <s v="Mahindra Xylo D4 BSIV"/>
    <x v="8"/>
    <n v="250000"/>
    <n v="200000"/>
    <x v="1"/>
    <x v="0"/>
    <x v="0"/>
    <s v="Second Owner"/>
    <n v="13"/>
    <s v="Budget"/>
  </r>
  <r>
    <s v="Toyota Innova Crysta 2.5 VX BS IV"/>
    <x v="9"/>
    <n v="520000"/>
    <n v="120000"/>
    <x v="1"/>
    <x v="0"/>
    <x v="0"/>
    <s v="First Owner"/>
    <n v="15"/>
    <s v="Mid Range"/>
  </r>
  <r>
    <s v="Hyundai Verna CRDi 1.6 AT SX Option"/>
    <x v="6"/>
    <n v="1100000"/>
    <n v="30000"/>
    <x v="1"/>
    <x v="0"/>
    <x v="1"/>
    <s v="First Owner"/>
    <n v="8"/>
    <s v="Premium"/>
  </r>
  <r>
    <s v="Toyota Innova 2.5 V Diesel 7-seater"/>
    <x v="14"/>
    <n v="200000"/>
    <n v="223000"/>
    <x v="1"/>
    <x v="0"/>
    <x v="0"/>
    <s v="First Owner"/>
    <n v="21"/>
    <s v="Budget"/>
  </r>
  <r>
    <s v="Maruti Swift Dzire VDI"/>
    <x v="4"/>
    <n v="525000"/>
    <n v="60000"/>
    <x v="1"/>
    <x v="0"/>
    <x v="0"/>
    <s v="First Owner"/>
    <n v="10"/>
    <s v="Mid Range"/>
  </r>
  <r>
    <s v="Hyundai i20 Asta 1.2"/>
    <x v="4"/>
    <n v="500000"/>
    <n v="40000"/>
    <x v="0"/>
    <x v="0"/>
    <x v="0"/>
    <s v="First Owner"/>
    <n v="10"/>
    <s v="Mid Range"/>
  </r>
  <r>
    <s v="Mahindra Scorpio S2 7 Seater"/>
    <x v="4"/>
    <n v="675000"/>
    <n v="161327"/>
    <x v="1"/>
    <x v="0"/>
    <x v="0"/>
    <s v="First Owner"/>
    <n v="10"/>
    <s v="Mid Range"/>
  </r>
  <r>
    <s v="Hyundai i10 Magna 1.2 iTech SE"/>
    <x v="11"/>
    <n v="150000"/>
    <n v="60000"/>
    <x v="0"/>
    <x v="0"/>
    <x v="0"/>
    <s v="Third Owner"/>
    <n v="17"/>
    <s v="Budget"/>
  </r>
  <r>
    <s v="Mahindra Bolero DI"/>
    <x v="0"/>
    <n v="250000"/>
    <n v="50000"/>
    <x v="1"/>
    <x v="0"/>
    <x v="0"/>
    <s v="First Owner"/>
    <n v="19"/>
    <s v="Budget"/>
  </r>
  <r>
    <s v="Hyundai Grand i10 1.2 Kappa Sportz BSIV"/>
    <x v="6"/>
    <n v="450000"/>
    <n v="6000"/>
    <x v="0"/>
    <x v="0"/>
    <x v="0"/>
    <s v="First Owner"/>
    <n v="8"/>
    <s v="Budget"/>
  </r>
  <r>
    <s v="Hyundai Santro Xing XS"/>
    <x v="11"/>
    <n v="150000"/>
    <n v="68000"/>
    <x v="0"/>
    <x v="0"/>
    <x v="0"/>
    <s v="Second Owner"/>
    <n v="17"/>
    <s v="Budget"/>
  </r>
  <r>
    <s v="Chevrolet Beat Diesel LS"/>
    <x v="1"/>
    <n v="200000"/>
    <n v="85000"/>
    <x v="1"/>
    <x v="0"/>
    <x v="0"/>
    <s v="First Owner"/>
    <n v="14"/>
    <s v="Budget"/>
  </r>
  <r>
    <s v="Mahindra Scorpio VLS AT 2.2 mHAWK"/>
    <x v="9"/>
    <n v="525000"/>
    <n v="70000"/>
    <x v="1"/>
    <x v="0"/>
    <x v="1"/>
    <s v="First Owner"/>
    <n v="15"/>
    <s v="Mid Range"/>
  </r>
  <r>
    <s v="Maruti Esteem VX"/>
    <x v="22"/>
    <n v="60000"/>
    <n v="35000"/>
    <x v="0"/>
    <x v="0"/>
    <x v="0"/>
    <s v="Second Owner"/>
    <n v="27"/>
    <s v="Budget"/>
  </r>
  <r>
    <s v="Maruti Swift Vdi BSIII"/>
    <x v="10"/>
    <n v="180000"/>
    <n v="100000"/>
    <x v="1"/>
    <x v="0"/>
    <x v="0"/>
    <s v="Second Owner"/>
    <n v="16"/>
    <s v="Budget"/>
  </r>
  <r>
    <s v="Honda Amaze S i-Dtech"/>
    <x v="5"/>
    <n v="475000"/>
    <n v="110000"/>
    <x v="1"/>
    <x v="0"/>
    <x v="0"/>
    <s v="First Owner"/>
    <n v="11"/>
    <s v="Budget"/>
  </r>
  <r>
    <s v="Mahindra Scorpio VLS AT 2.2 mHAWK"/>
    <x v="10"/>
    <n v="380000"/>
    <n v="195000"/>
    <x v="1"/>
    <x v="0"/>
    <x v="1"/>
    <s v="Second Owner"/>
    <n v="16"/>
    <s v="Budget"/>
  </r>
  <r>
    <s v="Maruti Alto 800 LXI"/>
    <x v="5"/>
    <n v="285000"/>
    <n v="46000"/>
    <x v="0"/>
    <x v="0"/>
    <x v="0"/>
    <s v="Second Owner"/>
    <n v="11"/>
    <s v="Budget"/>
  </r>
  <r>
    <s v="Maruti Alto LXi BSIII"/>
    <x v="15"/>
    <n v="91200"/>
    <n v="60000"/>
    <x v="0"/>
    <x v="0"/>
    <x v="0"/>
    <s v="Second Owner"/>
    <n v="18"/>
    <s v="Budget"/>
  </r>
  <r>
    <s v="Hyundai Grand i10 CRDi Sportz"/>
    <x v="5"/>
    <n v="400000"/>
    <n v="42000"/>
    <x v="1"/>
    <x v="0"/>
    <x v="0"/>
    <s v="First Owner"/>
    <n v="11"/>
    <s v="Budget"/>
  </r>
  <r>
    <s v="Hyundai Santro Xing XG AT"/>
    <x v="12"/>
    <n v="160000"/>
    <n v="90000"/>
    <x v="0"/>
    <x v="0"/>
    <x v="1"/>
    <s v="Second Owner"/>
    <n v="20"/>
    <s v="Budget"/>
  </r>
  <r>
    <s v="Skoda Yeti Ambition 4X2"/>
    <x v="1"/>
    <n v="650000"/>
    <n v="85000"/>
    <x v="1"/>
    <x v="0"/>
    <x v="0"/>
    <s v="Second Owner"/>
    <n v="14"/>
    <s v="Mid Range"/>
  </r>
  <r>
    <s v="Hyundai Verna 1.6 SX"/>
    <x v="1"/>
    <n v="409999"/>
    <n v="120000"/>
    <x v="1"/>
    <x v="0"/>
    <x v="0"/>
    <s v="Third Owner"/>
    <n v="14"/>
    <s v="Budget"/>
  </r>
  <r>
    <s v="Ford Ecosport 1.5 DV5 MT Titanium"/>
    <x v="8"/>
    <n v="425000"/>
    <n v="72000"/>
    <x v="1"/>
    <x v="0"/>
    <x v="0"/>
    <s v="First Owner"/>
    <n v="13"/>
    <s v="Budget"/>
  </r>
  <r>
    <s v="Maruti Wagon R LXI CNG"/>
    <x v="8"/>
    <n v="250000"/>
    <n v="71000"/>
    <x v="2"/>
    <x v="0"/>
    <x v="0"/>
    <s v="Second Owner"/>
    <n v="13"/>
    <s v="Budget"/>
  </r>
  <r>
    <s v="Maruti Swift Dzire VXi"/>
    <x v="11"/>
    <n v="200000"/>
    <n v="110000"/>
    <x v="0"/>
    <x v="0"/>
    <x v="0"/>
    <s v="Fourth &amp; Above Owner"/>
    <n v="17"/>
    <s v="Budget"/>
  </r>
  <r>
    <s v="Volkswagen Polo Diesel Trendline 1.2L"/>
    <x v="10"/>
    <n v="130000"/>
    <n v="144000"/>
    <x v="1"/>
    <x v="0"/>
    <x v="0"/>
    <s v="Fourth &amp; Above Owner"/>
    <n v="16"/>
    <s v="Budget"/>
  </r>
  <r>
    <s v="Maruti Eeco 5 Seater AC BSIV"/>
    <x v="2"/>
    <n v="260000"/>
    <n v="30000"/>
    <x v="0"/>
    <x v="1"/>
    <x v="0"/>
    <s v="First Owner"/>
    <n v="9"/>
    <s v="Budget"/>
  </r>
  <r>
    <s v="Hyundai Verna SX"/>
    <x v="0"/>
    <n v="155000"/>
    <n v="65000"/>
    <x v="0"/>
    <x v="1"/>
    <x v="0"/>
    <s v="First Owner"/>
    <n v="19"/>
    <s v="Budget"/>
  </r>
  <r>
    <s v="Honda Jazz 1.5 VX i DTEC"/>
    <x v="5"/>
    <n v="450000"/>
    <n v="38000"/>
    <x v="1"/>
    <x v="0"/>
    <x v="0"/>
    <s v="First Owner"/>
    <n v="11"/>
    <s v="Budget"/>
  </r>
  <r>
    <s v="Maruti SX4 Celebration Petrol"/>
    <x v="1"/>
    <n v="220000"/>
    <n v="90000"/>
    <x v="0"/>
    <x v="0"/>
    <x v="0"/>
    <s v="Second Owner"/>
    <n v="14"/>
    <s v="Budget"/>
  </r>
  <r>
    <s v="Hyundai i20 Active S Diesel"/>
    <x v="6"/>
    <n v="650000"/>
    <n v="37000"/>
    <x v="1"/>
    <x v="1"/>
    <x v="0"/>
    <s v="First Owner"/>
    <n v="8"/>
    <s v="Mid Range"/>
  </r>
  <r>
    <s v="Maruti Alto 800 LXI"/>
    <x v="6"/>
    <n v="285000"/>
    <n v="30000"/>
    <x v="0"/>
    <x v="1"/>
    <x v="0"/>
    <s v="First Owner"/>
    <n v="8"/>
    <s v="Budget"/>
  </r>
  <r>
    <s v="Honda Amaze V CVT Petrol BSIV"/>
    <x v="6"/>
    <n v="725000"/>
    <n v="26000"/>
    <x v="0"/>
    <x v="1"/>
    <x v="1"/>
    <s v="First Owner"/>
    <n v="8"/>
    <s v="Mid Range"/>
  </r>
  <r>
    <s v="Maruti Ciaz ZXi"/>
    <x v="4"/>
    <n v="625000"/>
    <n v="30000"/>
    <x v="0"/>
    <x v="1"/>
    <x v="0"/>
    <s v="First Owner"/>
    <n v="10"/>
    <s v="Mid Range"/>
  </r>
  <r>
    <s v="Hyundai i20 Active SX Petrol"/>
    <x v="4"/>
    <n v="550000"/>
    <n v="23000"/>
    <x v="0"/>
    <x v="1"/>
    <x v="0"/>
    <s v="First Owner"/>
    <n v="10"/>
    <s v="Mid Range"/>
  </r>
  <r>
    <s v="Hyundai i10 Magna"/>
    <x v="1"/>
    <n v="240000"/>
    <n v="40000"/>
    <x v="0"/>
    <x v="1"/>
    <x v="0"/>
    <s v="First Owner"/>
    <n v="14"/>
    <s v="Budget"/>
  </r>
  <r>
    <s v="Nissan Terrano XL 85 PS"/>
    <x v="3"/>
    <n v="600000"/>
    <n v="27000"/>
    <x v="1"/>
    <x v="1"/>
    <x v="0"/>
    <s v="First Owner"/>
    <n v="12"/>
    <s v="Mid Range"/>
  </r>
  <r>
    <s v="Tata New Safari DICOR 2.2 EX 4x2"/>
    <x v="1"/>
    <n v="350000"/>
    <n v="65000"/>
    <x v="1"/>
    <x v="1"/>
    <x v="0"/>
    <s v="First Owner"/>
    <n v="14"/>
    <s v="Budget"/>
  </r>
  <r>
    <s v="Hyundai EON Magna Plus"/>
    <x v="5"/>
    <n v="245000"/>
    <n v="32000"/>
    <x v="0"/>
    <x v="1"/>
    <x v="0"/>
    <s v="First Owner"/>
    <n v="11"/>
    <s v="Budget"/>
  </r>
  <r>
    <s v="Mahindra Bolero B6"/>
    <x v="4"/>
    <n v="600000"/>
    <n v="56000"/>
    <x v="1"/>
    <x v="1"/>
    <x v="0"/>
    <s v="First Owner"/>
    <n v="10"/>
    <s v="Mid Range"/>
  </r>
  <r>
    <s v="BMW X1 sDrive 20d xLine"/>
    <x v="2"/>
    <n v="2400000"/>
    <n v="30000"/>
    <x v="1"/>
    <x v="0"/>
    <x v="1"/>
    <s v="First Owner"/>
    <n v="9"/>
    <s v="Premium"/>
  </r>
  <r>
    <s v="Mahindra Scorpio SLE BS IV"/>
    <x v="3"/>
    <n v="620000"/>
    <n v="80000"/>
    <x v="1"/>
    <x v="1"/>
    <x v="0"/>
    <s v="First Owner"/>
    <n v="12"/>
    <s v="Mid Range"/>
  </r>
  <r>
    <s v="Maruti Swift Dzire 1.2 Vxi BSIV"/>
    <x v="3"/>
    <n v="395000"/>
    <n v="52000"/>
    <x v="0"/>
    <x v="1"/>
    <x v="0"/>
    <s v="Second Owner"/>
    <n v="12"/>
    <s v="Budget"/>
  </r>
  <r>
    <s v="Maruti Ertiga ZXI"/>
    <x v="3"/>
    <n v="635000"/>
    <n v="13250"/>
    <x v="0"/>
    <x v="1"/>
    <x v="0"/>
    <s v="First Owner"/>
    <n v="12"/>
    <s v="Mid Range"/>
  </r>
  <r>
    <s v="Maruti Alto LX"/>
    <x v="9"/>
    <n v="180000"/>
    <n v="36000"/>
    <x v="0"/>
    <x v="1"/>
    <x v="0"/>
    <s v="First Owner"/>
    <n v="15"/>
    <s v="Budget"/>
  </r>
  <r>
    <s v="Maruti Swift ZDI Plus"/>
    <x v="5"/>
    <n v="484999"/>
    <n v="73000"/>
    <x v="1"/>
    <x v="1"/>
    <x v="0"/>
    <s v="Second Owner"/>
    <n v="11"/>
    <s v="Budget"/>
  </r>
  <r>
    <s v="Maruti Alto LX"/>
    <x v="16"/>
    <n v="110000"/>
    <n v="60000"/>
    <x v="0"/>
    <x v="0"/>
    <x v="0"/>
    <s v="First Owner"/>
    <n v="22"/>
    <s v="Budget"/>
  </r>
  <r>
    <s v="Maruti Wagon R VXI BSIII"/>
    <x v="12"/>
    <n v="150000"/>
    <n v="60000"/>
    <x v="0"/>
    <x v="0"/>
    <x v="0"/>
    <s v="Second Owner"/>
    <n v="20"/>
    <s v="Budget"/>
  </r>
  <r>
    <s v="Chevrolet Tavera Neo 2 LT L 9 Str"/>
    <x v="1"/>
    <n v="400000"/>
    <n v="110000"/>
    <x v="1"/>
    <x v="0"/>
    <x v="0"/>
    <s v="First Owner"/>
    <n v="14"/>
    <s v="Budget"/>
  </r>
  <r>
    <s v="Tata Indica Vista Aura Plus 1.3 Quadrajet"/>
    <x v="1"/>
    <n v="200000"/>
    <n v="70000"/>
    <x v="1"/>
    <x v="0"/>
    <x v="0"/>
    <s v="Second Owner"/>
    <n v="14"/>
    <s v="Budget"/>
  </r>
  <r>
    <s v="Renault Duster 85PS Diesel RxL Plus"/>
    <x v="8"/>
    <n v="302000"/>
    <n v="60000"/>
    <x v="1"/>
    <x v="0"/>
    <x v="0"/>
    <s v="Second Owner"/>
    <n v="13"/>
    <s v="Budget"/>
  </r>
  <r>
    <s v="Maruti Swift Dzire Vdi BSIV"/>
    <x v="9"/>
    <n v="215000"/>
    <n v="90000"/>
    <x v="1"/>
    <x v="0"/>
    <x v="0"/>
    <s v="Fourth &amp; Above Owner"/>
    <n v="15"/>
    <s v="Budget"/>
  </r>
  <r>
    <s v="Maruti Wagon R VXI BSIII"/>
    <x v="16"/>
    <n v="155000"/>
    <n v="80000"/>
    <x v="0"/>
    <x v="0"/>
    <x v="0"/>
    <s v="Second Owner"/>
    <n v="22"/>
    <s v="Budget"/>
  </r>
  <r>
    <s v="Toyota Innova 2.5 G (Diesel) 8 Seater"/>
    <x v="3"/>
    <n v="1000000"/>
    <n v="101000"/>
    <x v="1"/>
    <x v="0"/>
    <x v="0"/>
    <s v="Second Owner"/>
    <n v="12"/>
    <s v="Mid Range"/>
  </r>
  <r>
    <s v="Mahindra Bolero Power Plus SLX"/>
    <x v="6"/>
    <n v="550000"/>
    <n v="44000"/>
    <x v="1"/>
    <x v="0"/>
    <x v="0"/>
    <s v="First Owner"/>
    <n v="8"/>
    <s v="Mid Range"/>
  </r>
  <r>
    <s v="Maruti Swift 1.3 VXi"/>
    <x v="12"/>
    <n v="200000"/>
    <n v="45000"/>
    <x v="0"/>
    <x v="0"/>
    <x v="0"/>
    <s v="First Owner"/>
    <n v="20"/>
    <s v="Budget"/>
  </r>
  <r>
    <s v="Mahindra Scorpio S2 7 Seater"/>
    <x v="2"/>
    <n v="750000"/>
    <n v="120000"/>
    <x v="1"/>
    <x v="0"/>
    <x v="0"/>
    <s v="First Owner"/>
    <n v="9"/>
    <s v="Mid Range"/>
  </r>
  <r>
    <s v="Maruti Zen LXI"/>
    <x v="14"/>
    <n v="90000"/>
    <n v="90000"/>
    <x v="0"/>
    <x v="0"/>
    <x v="0"/>
    <s v="Second Owner"/>
    <n v="21"/>
    <s v="Budget"/>
  </r>
  <r>
    <s v="Maruti Wagon R LXI Minor"/>
    <x v="0"/>
    <n v="80000"/>
    <n v="120000"/>
    <x v="0"/>
    <x v="0"/>
    <x v="0"/>
    <s v="Second Owner"/>
    <n v="19"/>
    <s v="Budget"/>
  </r>
  <r>
    <s v="Hyundai EON D Lite Plus"/>
    <x v="8"/>
    <n v="229999"/>
    <n v="13500"/>
    <x v="0"/>
    <x v="0"/>
    <x v="0"/>
    <s v="First Owner"/>
    <n v="13"/>
    <s v="Budget"/>
  </r>
  <r>
    <s v="Renault KWID 1.0 RXT Optional"/>
    <x v="2"/>
    <n v="350000"/>
    <n v="10000"/>
    <x v="0"/>
    <x v="0"/>
    <x v="0"/>
    <s v="First Owner"/>
    <n v="9"/>
    <s v="Budget"/>
  </r>
  <r>
    <s v="Hyundai Grand i10 Magna"/>
    <x v="5"/>
    <n v="325000"/>
    <n v="25000"/>
    <x v="0"/>
    <x v="0"/>
    <x v="0"/>
    <s v="Third Owner"/>
    <n v="11"/>
    <s v="Budget"/>
  </r>
  <r>
    <s v="Tata Tigor 1.2 Revotron XT"/>
    <x v="6"/>
    <n v="450000"/>
    <n v="8500"/>
    <x v="0"/>
    <x v="0"/>
    <x v="0"/>
    <s v="First Owner"/>
    <n v="8"/>
    <s v="Budget"/>
  </r>
  <r>
    <s v="Maruti SX4 Celebration Diesel"/>
    <x v="1"/>
    <n v="250000"/>
    <n v="120000"/>
    <x v="1"/>
    <x v="0"/>
    <x v="0"/>
    <s v="First Owner"/>
    <n v="14"/>
    <s v="Budget"/>
  </r>
  <r>
    <s v="Volkswagen Polo Diesel Comfortline 1.2L"/>
    <x v="1"/>
    <n v="225000"/>
    <n v="120000"/>
    <x v="1"/>
    <x v="0"/>
    <x v="0"/>
    <s v="First Owner"/>
    <n v="14"/>
    <s v="Budget"/>
  </r>
  <r>
    <s v="Maruti Alto LXi"/>
    <x v="11"/>
    <n v="150000"/>
    <n v="90246"/>
    <x v="0"/>
    <x v="0"/>
    <x v="0"/>
    <s v="Third Owner"/>
    <n v="17"/>
    <s v="Budget"/>
  </r>
  <r>
    <s v="Maruti Alto LX BSIII"/>
    <x v="15"/>
    <n v="110000"/>
    <n v="90000"/>
    <x v="0"/>
    <x v="0"/>
    <x v="0"/>
    <s v="Second Owner"/>
    <n v="18"/>
    <s v="Budget"/>
  </r>
  <r>
    <s v="Maruti Alto LXi BSIII"/>
    <x v="10"/>
    <n v="150000"/>
    <n v="40000"/>
    <x v="0"/>
    <x v="0"/>
    <x v="0"/>
    <s v="Second Owner"/>
    <n v="16"/>
    <s v="Budget"/>
  </r>
  <r>
    <s v="Maruti Gypsy King Hard Top"/>
    <x v="21"/>
    <n v="165000"/>
    <n v="60000"/>
    <x v="0"/>
    <x v="0"/>
    <x v="0"/>
    <s v="Fourth &amp; Above Owner"/>
    <n v="26"/>
    <s v="Budget"/>
  </r>
  <r>
    <s v="Renault Duster 85PS Diesel RxL"/>
    <x v="2"/>
    <n v="610000"/>
    <n v="32000"/>
    <x v="1"/>
    <x v="0"/>
    <x v="0"/>
    <s v="Second Owner"/>
    <n v="9"/>
    <s v="Mid Range"/>
  </r>
  <r>
    <s v="Tata Manza Club Class Quadrajet90 VX"/>
    <x v="8"/>
    <n v="170000"/>
    <n v="60400"/>
    <x v="1"/>
    <x v="0"/>
    <x v="0"/>
    <s v="First Owner"/>
    <n v="13"/>
    <s v="Budget"/>
  </r>
  <r>
    <s v="Hyundai Verna CRDi"/>
    <x v="15"/>
    <n v="150000"/>
    <n v="70950"/>
    <x v="1"/>
    <x v="0"/>
    <x v="0"/>
    <s v="Second Owner"/>
    <n v="18"/>
    <s v="Budget"/>
  </r>
  <r>
    <s v="Hyundai Xcent 1.1 CRDi Base"/>
    <x v="5"/>
    <n v="375000"/>
    <n v="72000"/>
    <x v="1"/>
    <x v="0"/>
    <x v="0"/>
    <s v="First Owner"/>
    <n v="11"/>
    <s v="Budget"/>
  </r>
  <r>
    <s v="Maruti Swift VDI"/>
    <x v="8"/>
    <n v="390000"/>
    <n v="90000"/>
    <x v="1"/>
    <x v="0"/>
    <x v="0"/>
    <s v="First Owner"/>
    <n v="13"/>
    <s v="Budget"/>
  </r>
  <r>
    <s v="Hyundai i20 Active 1.2 S"/>
    <x v="2"/>
    <n v="600000"/>
    <n v="10000"/>
    <x v="0"/>
    <x v="0"/>
    <x v="0"/>
    <s v="First Owner"/>
    <n v="9"/>
    <s v="Mid Range"/>
  </r>
  <r>
    <s v="Maruti Alto 800 LXI"/>
    <x v="3"/>
    <n v="204999"/>
    <n v="25000"/>
    <x v="0"/>
    <x v="0"/>
    <x v="0"/>
    <s v="Second Owner"/>
    <n v="12"/>
    <s v="Budget"/>
  </r>
  <r>
    <s v="Hyundai Verna CRDi"/>
    <x v="11"/>
    <n v="270000"/>
    <n v="80000"/>
    <x v="1"/>
    <x v="0"/>
    <x v="0"/>
    <s v="Second Owner"/>
    <n v="17"/>
    <s v="Budget"/>
  </r>
  <r>
    <s v="Hyundai Grand i10 Sportz"/>
    <x v="2"/>
    <n v="375000"/>
    <n v="10000"/>
    <x v="0"/>
    <x v="0"/>
    <x v="0"/>
    <s v="First Owner"/>
    <n v="9"/>
    <s v="Budget"/>
  </r>
  <r>
    <s v="Maruti Baleno Zeta"/>
    <x v="20"/>
    <n v="700000"/>
    <n v="1100"/>
    <x v="0"/>
    <x v="0"/>
    <x v="0"/>
    <s v="First Owner"/>
    <n v="6"/>
    <s v="Mid Range"/>
  </r>
  <r>
    <s v="Maruti Swift VXI Deca"/>
    <x v="2"/>
    <n v="455000"/>
    <n v="40000"/>
    <x v="0"/>
    <x v="0"/>
    <x v="0"/>
    <s v="First Owner"/>
    <n v="9"/>
    <s v="Budget"/>
  </r>
  <r>
    <s v="Hyundai i10 Sportz 1.1L"/>
    <x v="2"/>
    <n v="375000"/>
    <n v="10000"/>
    <x v="0"/>
    <x v="0"/>
    <x v="0"/>
    <s v="First Owner"/>
    <n v="9"/>
    <s v="Budget"/>
  </r>
  <r>
    <s v="Hyundai Grand i10 Asta"/>
    <x v="3"/>
    <n v="341000"/>
    <n v="31491"/>
    <x v="0"/>
    <x v="0"/>
    <x v="0"/>
    <s v="First Owner"/>
    <n v="12"/>
    <s v="Budget"/>
  </r>
  <r>
    <s v="Maruti Swift Dzire VDI"/>
    <x v="3"/>
    <n v="200000"/>
    <n v="107143"/>
    <x v="1"/>
    <x v="0"/>
    <x v="0"/>
    <s v="Second Owner"/>
    <n v="12"/>
    <s v="Budget"/>
  </r>
  <r>
    <s v="Maruti Ignis 1.2 AMT Delta BSIV"/>
    <x v="2"/>
    <n v="450000"/>
    <n v="15000"/>
    <x v="0"/>
    <x v="0"/>
    <x v="1"/>
    <s v="First Owner"/>
    <n v="9"/>
    <s v="Budget"/>
  </r>
  <r>
    <s v="Hyundai Santro Xing GL Plus"/>
    <x v="1"/>
    <n v="170000"/>
    <n v="50000"/>
    <x v="0"/>
    <x v="0"/>
    <x v="0"/>
    <s v="Second Owner"/>
    <n v="14"/>
    <s v="Budget"/>
  </r>
  <r>
    <s v="Toyota Innova Crysta 2.4 VX MT 8S BSIV"/>
    <x v="2"/>
    <n v="1900000"/>
    <n v="100000"/>
    <x v="1"/>
    <x v="0"/>
    <x v="0"/>
    <s v="First Owner"/>
    <n v="9"/>
    <s v="Premium"/>
  </r>
  <r>
    <s v="Mahindra Bolero Power Plus LX"/>
    <x v="4"/>
    <n v="500000"/>
    <n v="60000"/>
    <x v="1"/>
    <x v="0"/>
    <x v="0"/>
    <s v="First Owner"/>
    <n v="10"/>
    <s v="Mid Range"/>
  </r>
  <r>
    <s v="Maruti Vitara Brezza ZDi Plus"/>
    <x v="4"/>
    <n v="819999"/>
    <n v="85000"/>
    <x v="1"/>
    <x v="0"/>
    <x v="0"/>
    <s v="First Owner"/>
    <n v="10"/>
    <s v="Mid Range"/>
  </r>
  <r>
    <s v="Maruti Swift 1.2 DLX"/>
    <x v="3"/>
    <n v="351000"/>
    <n v="40000"/>
    <x v="0"/>
    <x v="0"/>
    <x v="0"/>
    <s v="Second Owner"/>
    <n v="12"/>
    <s v="Budget"/>
  </r>
  <r>
    <s v="Hyundai i10 Magna 1.2 iTech SE"/>
    <x v="9"/>
    <n v="195000"/>
    <n v="80000"/>
    <x v="0"/>
    <x v="0"/>
    <x v="0"/>
    <s v="Second Owner"/>
    <n v="15"/>
    <s v="Budget"/>
  </r>
  <r>
    <s v="Maruti Swift Dzire VDi"/>
    <x v="15"/>
    <n v="250000"/>
    <n v="82000"/>
    <x v="1"/>
    <x v="0"/>
    <x v="0"/>
    <s v="Second Owner"/>
    <n v="18"/>
    <s v="Budget"/>
  </r>
  <r>
    <s v="Maruti Zen Estilo 1.1 VXI BSIII"/>
    <x v="15"/>
    <n v="120000"/>
    <n v="70000"/>
    <x v="0"/>
    <x v="0"/>
    <x v="0"/>
    <s v="Second Owner"/>
    <n v="18"/>
    <s v="Budget"/>
  </r>
  <r>
    <s v="Maruti A-Star Vxi"/>
    <x v="11"/>
    <n v="180000"/>
    <n v="70000"/>
    <x v="0"/>
    <x v="0"/>
    <x v="0"/>
    <s v="Third Owner"/>
    <n v="17"/>
    <s v="Budget"/>
  </r>
  <r>
    <s v="Mahindra KUV 100 mFALCON D75 K6"/>
    <x v="4"/>
    <n v="430000"/>
    <n v="20000"/>
    <x v="1"/>
    <x v="0"/>
    <x v="0"/>
    <s v="First Owner"/>
    <n v="10"/>
    <s v="Budget"/>
  </r>
  <r>
    <s v="Tata Nano Cx BSIV"/>
    <x v="1"/>
    <n v="75000"/>
    <n v="35000"/>
    <x v="0"/>
    <x v="0"/>
    <x v="0"/>
    <s v="Second Owner"/>
    <n v="14"/>
    <s v="Budget"/>
  </r>
  <r>
    <s v="Mahindra Xylo D4"/>
    <x v="2"/>
    <n v="750000"/>
    <n v="80000"/>
    <x v="1"/>
    <x v="0"/>
    <x v="0"/>
    <s v="First Owner"/>
    <n v="9"/>
    <s v="Mid Range"/>
  </r>
  <r>
    <s v="Tata Nano Lx"/>
    <x v="9"/>
    <n v="60000"/>
    <n v="40000"/>
    <x v="0"/>
    <x v="0"/>
    <x v="0"/>
    <s v="First Owner"/>
    <n v="15"/>
    <s v="Budget"/>
  </r>
  <r>
    <s v="Toyota Innova 2.5 VX (Diesel) 8 Seater"/>
    <x v="5"/>
    <n v="1500000"/>
    <n v="46412"/>
    <x v="1"/>
    <x v="0"/>
    <x v="0"/>
    <s v="First Owner"/>
    <n v="11"/>
    <s v="Premium"/>
  </r>
  <r>
    <s v="Mahindra Bolero SLX 2WD BSIII"/>
    <x v="9"/>
    <n v="390000"/>
    <n v="150000"/>
    <x v="1"/>
    <x v="0"/>
    <x v="0"/>
    <s v="Fourth &amp; Above Owner"/>
    <n v="15"/>
    <s v="Budget"/>
  </r>
  <r>
    <s v="Mahindra TUV 300 T4"/>
    <x v="4"/>
    <n v="630000"/>
    <n v="50000"/>
    <x v="1"/>
    <x v="0"/>
    <x v="0"/>
    <s v="First Owner"/>
    <n v="10"/>
    <s v="Mid Range"/>
  </r>
  <r>
    <s v="Tata Safari Storme VX Varicor 400"/>
    <x v="6"/>
    <n v="1085000"/>
    <n v="15000"/>
    <x v="1"/>
    <x v="0"/>
    <x v="0"/>
    <s v="First Owner"/>
    <n v="8"/>
    <s v="Premium"/>
  </r>
  <r>
    <s v="Hyundai i10 Magna 1.2 iTech SE"/>
    <x v="1"/>
    <n v="190000"/>
    <n v="60000"/>
    <x v="0"/>
    <x v="0"/>
    <x v="0"/>
    <s v="Second Owner"/>
    <n v="14"/>
    <s v="Budget"/>
  </r>
  <r>
    <s v="Maruti Baleno Delta Automatic"/>
    <x v="6"/>
    <n v="550000"/>
    <n v="25000"/>
    <x v="0"/>
    <x v="0"/>
    <x v="1"/>
    <s v="First Owner"/>
    <n v="8"/>
    <s v="Mid Range"/>
  </r>
  <r>
    <s v="Maruti Alto 800 LXI"/>
    <x v="1"/>
    <n v="200000"/>
    <n v="90000"/>
    <x v="0"/>
    <x v="0"/>
    <x v="0"/>
    <s v="Third Owner"/>
    <n v="14"/>
    <s v="Budget"/>
  </r>
  <r>
    <s v="Chevrolet Spark 1.0 LT"/>
    <x v="9"/>
    <n v="165000"/>
    <n v="60000"/>
    <x v="0"/>
    <x v="0"/>
    <x v="0"/>
    <s v="First Owner"/>
    <n v="15"/>
    <s v="Budget"/>
  </r>
  <r>
    <s v="Ford Figo Diesel Celebration Edition"/>
    <x v="8"/>
    <n v="260000"/>
    <n v="65000"/>
    <x v="1"/>
    <x v="0"/>
    <x v="0"/>
    <s v="First Owner"/>
    <n v="13"/>
    <s v="Budget"/>
  </r>
  <r>
    <s v="Maruti Alto LX"/>
    <x v="9"/>
    <n v="151000"/>
    <n v="40000"/>
    <x v="0"/>
    <x v="0"/>
    <x v="0"/>
    <s v="First Owner"/>
    <n v="15"/>
    <s v="Budget"/>
  </r>
  <r>
    <s v="Maruti Vitara Brezza VDi"/>
    <x v="6"/>
    <n v="780000"/>
    <n v="50000"/>
    <x v="1"/>
    <x v="0"/>
    <x v="0"/>
    <s v="First Owner"/>
    <n v="8"/>
    <s v="Mid Range"/>
  </r>
  <r>
    <s v="Tata Indica Vista Quadrajet LX"/>
    <x v="1"/>
    <n v="175000"/>
    <n v="80000"/>
    <x v="1"/>
    <x v="0"/>
    <x v="0"/>
    <s v="Third Owner"/>
    <n v="14"/>
    <s v="Budget"/>
  </r>
  <r>
    <s v="Tata Indica Vista TDI LS"/>
    <x v="10"/>
    <n v="170000"/>
    <n v="107500"/>
    <x v="1"/>
    <x v="1"/>
    <x v="0"/>
    <s v="First Owner"/>
    <n v="16"/>
    <s v="Budget"/>
  </r>
  <r>
    <s v="Tata Indica Vista TDI LS"/>
    <x v="8"/>
    <n v="210000"/>
    <n v="135000"/>
    <x v="1"/>
    <x v="1"/>
    <x v="0"/>
    <s v="Second Owner"/>
    <n v="13"/>
    <s v="Budget"/>
  </r>
  <r>
    <s v="Maruti Alto LXi"/>
    <x v="0"/>
    <n v="90000"/>
    <n v="43826"/>
    <x v="0"/>
    <x v="1"/>
    <x v="0"/>
    <s v="Second Owner"/>
    <n v="19"/>
    <s v="Budget"/>
  </r>
  <r>
    <s v="Hyundai i20 Active S Petrol"/>
    <x v="4"/>
    <n v="535000"/>
    <n v="55838"/>
    <x v="0"/>
    <x v="1"/>
    <x v="0"/>
    <s v="First Owner"/>
    <n v="10"/>
    <s v="Mid Range"/>
  </r>
  <r>
    <s v="Maruti Swift VDI BSIV"/>
    <x v="0"/>
    <n v="195000"/>
    <n v="112880"/>
    <x v="1"/>
    <x v="1"/>
    <x v="0"/>
    <s v="First Owner"/>
    <n v="19"/>
    <s v="Budget"/>
  </r>
  <r>
    <s v="Tata Indica Vista Terra Quadrajet 1.3L"/>
    <x v="9"/>
    <n v="140000"/>
    <n v="90000"/>
    <x v="1"/>
    <x v="0"/>
    <x v="0"/>
    <s v="Third Owner"/>
    <n v="15"/>
    <s v="Budget"/>
  </r>
  <r>
    <s v="Nissan Sunny XL"/>
    <x v="1"/>
    <n v="350000"/>
    <n v="40000"/>
    <x v="0"/>
    <x v="0"/>
    <x v="0"/>
    <s v="First Owner"/>
    <n v="14"/>
    <s v="Budget"/>
  </r>
  <r>
    <s v="Hyundai Verna 1.6 SX VTVT (O)"/>
    <x v="8"/>
    <n v="425000"/>
    <n v="66000"/>
    <x v="0"/>
    <x v="0"/>
    <x v="0"/>
    <s v="First Owner"/>
    <n v="13"/>
    <s v="Budget"/>
  </r>
  <r>
    <s v="Renault KWID 1.0 RXT Optional"/>
    <x v="2"/>
    <n v="300000"/>
    <n v="30300"/>
    <x v="0"/>
    <x v="0"/>
    <x v="0"/>
    <s v="First Owner"/>
    <n v="9"/>
    <s v="Budget"/>
  </r>
  <r>
    <s v="Volkswagen Vento Diesel Style Limited Edition"/>
    <x v="8"/>
    <n v="340000"/>
    <n v="85000"/>
    <x v="1"/>
    <x v="0"/>
    <x v="0"/>
    <s v="Second Owner"/>
    <n v="13"/>
    <s v="Budget"/>
  </r>
  <r>
    <s v="Maruti Swift Dzire VXi"/>
    <x v="11"/>
    <n v="250000"/>
    <n v="80659"/>
    <x v="0"/>
    <x v="1"/>
    <x v="0"/>
    <s v="First Owner"/>
    <n v="17"/>
    <s v="Budget"/>
  </r>
  <r>
    <s v="Chevrolet Aveo 1.4 LS"/>
    <x v="15"/>
    <n v="170000"/>
    <n v="81324"/>
    <x v="0"/>
    <x v="1"/>
    <x v="0"/>
    <s v="First Owner"/>
    <n v="18"/>
    <s v="Budget"/>
  </r>
  <r>
    <s v="Honda Amaze S i-Dtech"/>
    <x v="8"/>
    <n v="315000"/>
    <n v="127884"/>
    <x v="1"/>
    <x v="1"/>
    <x v="0"/>
    <s v="First Owner"/>
    <n v="13"/>
    <s v="Budget"/>
  </r>
  <r>
    <s v="Chevrolet Beat PS"/>
    <x v="5"/>
    <n v="200000"/>
    <n v="50000"/>
    <x v="0"/>
    <x v="0"/>
    <x v="0"/>
    <s v="First Owner"/>
    <n v="11"/>
    <s v="Budget"/>
  </r>
  <r>
    <s v="Chevrolet Beat PS"/>
    <x v="4"/>
    <n v="300000"/>
    <n v="25000"/>
    <x v="0"/>
    <x v="0"/>
    <x v="0"/>
    <s v="First Owner"/>
    <n v="10"/>
    <s v="Budget"/>
  </r>
  <r>
    <s v="Honda Amaze S i-Dtech"/>
    <x v="5"/>
    <n v="300000"/>
    <n v="66755"/>
    <x v="1"/>
    <x v="1"/>
    <x v="0"/>
    <s v="First Owner"/>
    <n v="11"/>
    <s v="Budget"/>
  </r>
  <r>
    <s v="Honda City E"/>
    <x v="8"/>
    <n v="380000"/>
    <n v="123084"/>
    <x v="0"/>
    <x v="1"/>
    <x v="0"/>
    <s v="First Owner"/>
    <n v="13"/>
    <s v="Budget"/>
  </r>
  <r>
    <s v="Maruti Swift VXI BSIII"/>
    <x v="11"/>
    <n v="250000"/>
    <n v="806599"/>
    <x v="0"/>
    <x v="1"/>
    <x v="0"/>
    <s v="First Owner"/>
    <n v="17"/>
    <s v="Budget"/>
  </r>
  <r>
    <s v="Honda Amaze S i-Dtech"/>
    <x v="8"/>
    <n v="310000"/>
    <n v="95851"/>
    <x v="1"/>
    <x v="1"/>
    <x v="0"/>
    <s v="First Owner"/>
    <n v="13"/>
    <s v="Budget"/>
  </r>
  <r>
    <s v="Maruti Wagon R VXI Minor ABS"/>
    <x v="10"/>
    <n v="260000"/>
    <n v="50000"/>
    <x v="0"/>
    <x v="0"/>
    <x v="0"/>
    <s v="First Owner"/>
    <n v="16"/>
    <s v="Budget"/>
  </r>
  <r>
    <s v="Maruti Omni BSIII 8-STR W/ IMMOBILISER"/>
    <x v="15"/>
    <n v="150000"/>
    <n v="50000"/>
    <x v="0"/>
    <x v="0"/>
    <x v="0"/>
    <s v="Second Owner"/>
    <n v="18"/>
    <s v="Budget"/>
  </r>
  <r>
    <s v="Maruti Esteem Vxi - BSIII"/>
    <x v="12"/>
    <n v="85000"/>
    <n v="60000"/>
    <x v="0"/>
    <x v="0"/>
    <x v="0"/>
    <s v="Second Owner"/>
    <n v="20"/>
    <s v="Budget"/>
  </r>
  <r>
    <s v="Maruti Alto 800 LXI"/>
    <x v="5"/>
    <n v="280000"/>
    <n v="15000"/>
    <x v="0"/>
    <x v="0"/>
    <x v="0"/>
    <s v="Second Owner"/>
    <n v="11"/>
    <s v="Budget"/>
  </r>
  <r>
    <s v="Mahindra Xylo H4 ABS"/>
    <x v="4"/>
    <n v="850000"/>
    <n v="40000"/>
    <x v="1"/>
    <x v="0"/>
    <x v="0"/>
    <s v="First Owner"/>
    <n v="10"/>
    <s v="Mid Range"/>
  </r>
  <r>
    <s v="Datsun GO Plus T Option BSIV"/>
    <x v="2"/>
    <n v="375000"/>
    <n v="20000"/>
    <x v="0"/>
    <x v="0"/>
    <x v="0"/>
    <s v="Second Owner"/>
    <n v="9"/>
    <s v="Budget"/>
  </r>
  <r>
    <s v="Hyundai Elantra CRDi (Leather Option)"/>
    <x v="12"/>
    <n v="125000"/>
    <n v="120000"/>
    <x v="1"/>
    <x v="0"/>
    <x v="0"/>
    <s v="Third Owner"/>
    <n v="20"/>
    <s v="Budget"/>
  </r>
  <r>
    <s v="Chevrolet Beat Diesel LT"/>
    <x v="1"/>
    <n v="250000"/>
    <n v="110000"/>
    <x v="1"/>
    <x v="0"/>
    <x v="0"/>
    <s v="First Owner"/>
    <n v="14"/>
    <s v="Budget"/>
  </r>
  <r>
    <s v="Toyota Corolla Altis D-4D J"/>
    <x v="3"/>
    <n v="715000"/>
    <n v="234000"/>
    <x v="1"/>
    <x v="0"/>
    <x v="0"/>
    <s v="First Owner"/>
    <n v="12"/>
    <s v="Mid Range"/>
  </r>
  <r>
    <s v="Hyundai i20 1.4 CRDi Era"/>
    <x v="9"/>
    <n v="220000"/>
    <n v="70000"/>
    <x v="1"/>
    <x v="0"/>
    <x v="0"/>
    <s v="First Owner"/>
    <n v="15"/>
    <s v="Budget"/>
  </r>
  <r>
    <s v="Tata Indica Vista Aqua 1.3 Quadrajet"/>
    <x v="10"/>
    <n v="110000"/>
    <n v="110000"/>
    <x v="1"/>
    <x v="0"/>
    <x v="0"/>
    <s v="Second Owner"/>
    <n v="16"/>
    <s v="Budget"/>
  </r>
  <r>
    <s v="Hyundai Verna XXi (Petrol)"/>
    <x v="0"/>
    <n v="150000"/>
    <n v="84000"/>
    <x v="0"/>
    <x v="0"/>
    <x v="0"/>
    <s v="Second Owner"/>
    <n v="19"/>
    <s v="Budget"/>
  </r>
  <r>
    <s v="Nissan Sunny Diesel XV"/>
    <x v="1"/>
    <n v="300000"/>
    <n v="170000"/>
    <x v="1"/>
    <x v="0"/>
    <x v="0"/>
    <s v="First Owner"/>
    <n v="14"/>
    <s v="Budget"/>
  </r>
  <r>
    <s v="Datsun RediGO T Option"/>
    <x v="2"/>
    <n v="220000"/>
    <n v="40000"/>
    <x v="0"/>
    <x v="0"/>
    <x v="0"/>
    <s v="First Owner"/>
    <n v="9"/>
    <s v="Budget"/>
  </r>
  <r>
    <s v="Maruti Wagon R LX"/>
    <x v="12"/>
    <n v="75000"/>
    <n v="96000"/>
    <x v="0"/>
    <x v="0"/>
    <x v="0"/>
    <s v="Second Owner"/>
    <n v="20"/>
    <s v="Budget"/>
  </r>
  <r>
    <s v="Tata Indigo LS"/>
    <x v="11"/>
    <n v="100000"/>
    <n v="20000"/>
    <x v="1"/>
    <x v="0"/>
    <x v="0"/>
    <s v="First Owner"/>
    <n v="17"/>
    <s v="Budget"/>
  </r>
  <r>
    <s v="Ford Figo Aspire 1.2 Ti-VCT Trend"/>
    <x v="4"/>
    <n v="380000"/>
    <n v="15000"/>
    <x v="0"/>
    <x v="0"/>
    <x v="0"/>
    <s v="First Owner"/>
    <n v="10"/>
    <s v="Budget"/>
  </r>
  <r>
    <s v="Hyundai Santro Xing XK (Non-AC)"/>
    <x v="0"/>
    <n v="100000"/>
    <n v="50000"/>
    <x v="0"/>
    <x v="0"/>
    <x v="0"/>
    <s v="First Owner"/>
    <n v="19"/>
    <s v="Budget"/>
  </r>
  <r>
    <s v="Volkswagen Passat 1.8 TSI MT"/>
    <x v="10"/>
    <n v="480000"/>
    <n v="80000"/>
    <x v="0"/>
    <x v="0"/>
    <x v="0"/>
    <s v="Second Owner"/>
    <n v="16"/>
    <s v="Budget"/>
  </r>
  <r>
    <s v="Toyota Etios GD"/>
    <x v="1"/>
    <n v="300000"/>
    <n v="124000"/>
    <x v="1"/>
    <x v="0"/>
    <x v="0"/>
    <s v="First Owner"/>
    <n v="14"/>
    <s v="Budget"/>
  </r>
  <r>
    <s v="Chevrolet Beat Diesel LS"/>
    <x v="8"/>
    <n v="190000"/>
    <n v="70000"/>
    <x v="1"/>
    <x v="0"/>
    <x v="0"/>
    <s v="First Owner"/>
    <n v="13"/>
    <s v="Budget"/>
  </r>
  <r>
    <s v="Ford Figo Diesel LXI"/>
    <x v="1"/>
    <n v="190000"/>
    <n v="130000"/>
    <x v="1"/>
    <x v="0"/>
    <x v="0"/>
    <s v="Second Owner"/>
    <n v="14"/>
    <s v="Budget"/>
  </r>
  <r>
    <s v="Ford EcoSport 1.5 Ti VCT MT Trend BSIV"/>
    <x v="2"/>
    <n v="650000"/>
    <n v="19014"/>
    <x v="0"/>
    <x v="1"/>
    <x v="0"/>
    <s v="First Owner"/>
    <n v="9"/>
    <s v="Mid Range"/>
  </r>
  <r>
    <s v="Toyota Corolla Executive (HE)"/>
    <x v="11"/>
    <n v="300000"/>
    <n v="23262"/>
    <x v="0"/>
    <x v="1"/>
    <x v="0"/>
    <s v="First Owner"/>
    <n v="17"/>
    <s v="Budget"/>
  </r>
  <r>
    <s v="Ford Freestyle Titanium Diesel BSIV"/>
    <x v="4"/>
    <n v="700000"/>
    <n v="29600"/>
    <x v="1"/>
    <x v="1"/>
    <x v="0"/>
    <s v="First Owner"/>
    <n v="10"/>
    <s v="Mid Range"/>
  </r>
  <r>
    <s v="Hyundai i10 Sportz 1.1L"/>
    <x v="5"/>
    <n v="310000"/>
    <n v="35925"/>
    <x v="0"/>
    <x v="1"/>
    <x v="0"/>
    <s v="First Owner"/>
    <n v="11"/>
    <s v="Budget"/>
  </r>
  <r>
    <s v="Maruti Ignis 1.2 Zeta BSIV"/>
    <x v="6"/>
    <n v="500000"/>
    <n v="12000"/>
    <x v="0"/>
    <x v="0"/>
    <x v="0"/>
    <s v="First Owner"/>
    <n v="8"/>
    <s v="Mid Range"/>
  </r>
  <r>
    <s v="Toyota Etios V"/>
    <x v="8"/>
    <n v="415000"/>
    <n v="40771"/>
    <x v="0"/>
    <x v="1"/>
    <x v="0"/>
    <s v="First Owner"/>
    <n v="13"/>
    <s v="Budget"/>
  </r>
  <r>
    <s v="Maruti Celerio VXI AT"/>
    <x v="5"/>
    <n v="395000"/>
    <n v="30500"/>
    <x v="0"/>
    <x v="1"/>
    <x v="1"/>
    <s v="Second Owner"/>
    <n v="11"/>
    <s v="Budget"/>
  </r>
  <r>
    <s v="Toyota Etios Liva 1.2 G"/>
    <x v="3"/>
    <n v="430000"/>
    <n v="42000"/>
    <x v="0"/>
    <x v="1"/>
    <x v="0"/>
    <s v="Second Owner"/>
    <n v="12"/>
    <s v="Budget"/>
  </r>
  <r>
    <s v="Toyota Corolla H6"/>
    <x v="0"/>
    <n v="215000"/>
    <n v="55800"/>
    <x v="0"/>
    <x v="1"/>
    <x v="0"/>
    <s v="Second Owner"/>
    <n v="19"/>
    <s v="Budget"/>
  </r>
  <r>
    <s v="Renault Duster RXL AWD"/>
    <x v="3"/>
    <n v="550000"/>
    <n v="66569"/>
    <x v="1"/>
    <x v="1"/>
    <x v="0"/>
    <s v="First Owner"/>
    <n v="12"/>
    <s v="Mid Range"/>
  </r>
  <r>
    <s v="Volkswagen Polo 1.5 TDI Trendline"/>
    <x v="3"/>
    <n v="415000"/>
    <n v="81358"/>
    <x v="1"/>
    <x v="1"/>
    <x v="0"/>
    <s v="First Owner"/>
    <n v="12"/>
    <s v="Budget"/>
  </r>
  <r>
    <s v="Volkswagen Polo 1.5 TDI Comfortline"/>
    <x v="5"/>
    <n v="450000"/>
    <n v="82695"/>
    <x v="1"/>
    <x v="1"/>
    <x v="0"/>
    <s v="First Owner"/>
    <n v="11"/>
    <s v="Budget"/>
  </r>
  <r>
    <s v="Ford Figo Diesel EXI"/>
    <x v="3"/>
    <n v="285000"/>
    <n v="68293"/>
    <x v="1"/>
    <x v="1"/>
    <x v="0"/>
    <s v="Second Owner"/>
    <n v="12"/>
    <s v="Budget"/>
  </r>
  <r>
    <s v="Honda Jazz VX CVT"/>
    <x v="4"/>
    <n v="580000"/>
    <n v="32000"/>
    <x v="0"/>
    <x v="1"/>
    <x v="1"/>
    <s v="First Owner"/>
    <n v="10"/>
    <s v="Mid Range"/>
  </r>
  <r>
    <s v="Maruti Swift Dzire Tour LDI"/>
    <x v="3"/>
    <n v="300000"/>
    <n v="190621"/>
    <x v="1"/>
    <x v="1"/>
    <x v="0"/>
    <s v="First Owner"/>
    <n v="12"/>
    <s v="Budget"/>
  </r>
  <r>
    <s v="Hyundai Verna CRDi 1.6 SX Option"/>
    <x v="6"/>
    <n v="1200000"/>
    <n v="60000"/>
    <x v="1"/>
    <x v="0"/>
    <x v="0"/>
    <s v="First Owner"/>
    <n v="8"/>
    <s v="Premium"/>
  </r>
  <r>
    <s v="Maruti 800 Std MPFi"/>
    <x v="12"/>
    <n v="78000"/>
    <n v="64700"/>
    <x v="0"/>
    <x v="0"/>
    <x v="0"/>
    <s v="First Owner"/>
    <n v="20"/>
    <s v="Budget"/>
  </r>
  <r>
    <s v="Tata Zest Quadrajet 1.3 75PS XE"/>
    <x v="4"/>
    <n v="400000"/>
    <n v="88470"/>
    <x v="1"/>
    <x v="0"/>
    <x v="0"/>
    <s v="First Owner"/>
    <n v="10"/>
    <s v="Budget"/>
  </r>
  <r>
    <s v="Hyundai Verna 1.6 CRDI SX Option"/>
    <x v="4"/>
    <n v="850000"/>
    <n v="75000"/>
    <x v="1"/>
    <x v="0"/>
    <x v="0"/>
    <s v="First Owner"/>
    <n v="10"/>
    <s v="Mid Range"/>
  </r>
  <r>
    <s v="Volkswagen Vento Diesel Highline"/>
    <x v="8"/>
    <n v="450000"/>
    <n v="120000"/>
    <x v="1"/>
    <x v="0"/>
    <x v="0"/>
    <s v="Second Owner"/>
    <n v="13"/>
    <s v="Budget"/>
  </r>
  <r>
    <s v="Mercedes-Benz E-Class E250 CDI Blue Efficiency"/>
    <x v="1"/>
    <n v="2500000"/>
    <n v="35000"/>
    <x v="1"/>
    <x v="0"/>
    <x v="1"/>
    <s v="First Owner"/>
    <n v="14"/>
    <s v="Premium"/>
  </r>
  <r>
    <s v="Toyota Etios 1.4 VXD"/>
    <x v="2"/>
    <n v="780000"/>
    <n v="70000"/>
    <x v="1"/>
    <x v="0"/>
    <x v="0"/>
    <s v="First Owner"/>
    <n v="9"/>
    <s v="Mid Range"/>
  </r>
  <r>
    <s v="Toyota Fortuner 2.8 2WD AT BSIV"/>
    <x v="2"/>
    <n v="3200000"/>
    <n v="57000"/>
    <x v="1"/>
    <x v="0"/>
    <x v="1"/>
    <s v="First Owner"/>
    <n v="9"/>
    <s v="Premium"/>
  </r>
  <r>
    <s v="Maruti Alto 800 VXI"/>
    <x v="20"/>
    <n v="350000"/>
    <n v="1000"/>
    <x v="0"/>
    <x v="0"/>
    <x v="0"/>
    <s v="First Owner"/>
    <n v="6"/>
    <s v="Budget"/>
  </r>
  <r>
    <s v="Mahindra Quanto C6"/>
    <x v="8"/>
    <n v="285000"/>
    <n v="120000"/>
    <x v="1"/>
    <x v="0"/>
    <x v="0"/>
    <s v="Second Owner"/>
    <n v="13"/>
    <s v="Budget"/>
  </r>
  <r>
    <s v="Volkswagen Vento 1.5 TDI Highline"/>
    <x v="5"/>
    <n v="525000"/>
    <n v="98000"/>
    <x v="1"/>
    <x v="1"/>
    <x v="0"/>
    <s v="First Owner"/>
    <n v="11"/>
    <s v="Mid Range"/>
  </r>
  <r>
    <s v="Maruti Ciaz ZDi"/>
    <x v="3"/>
    <n v="550000"/>
    <n v="90000"/>
    <x v="1"/>
    <x v="1"/>
    <x v="0"/>
    <s v="Second Owner"/>
    <n v="12"/>
    <s v="Mid Range"/>
  </r>
  <r>
    <s v="Volkswagen Ameo 1.5 TDI Comfortline"/>
    <x v="6"/>
    <n v="580000"/>
    <n v="70000"/>
    <x v="1"/>
    <x v="0"/>
    <x v="0"/>
    <s v="First Owner"/>
    <n v="8"/>
    <s v="Mid Range"/>
  </r>
  <r>
    <s v="Tata Nano CX SE"/>
    <x v="8"/>
    <n v="75000"/>
    <n v="25000"/>
    <x v="0"/>
    <x v="0"/>
    <x v="0"/>
    <s v="Third Owner"/>
    <n v="13"/>
    <s v="Budget"/>
  </r>
  <r>
    <s v="Tata Manza Aura Quadrajet"/>
    <x v="11"/>
    <n v="185000"/>
    <n v="60000"/>
    <x v="1"/>
    <x v="0"/>
    <x v="0"/>
    <s v="Third Owner"/>
    <n v="17"/>
    <s v="Budget"/>
  </r>
  <r>
    <s v="Maruti Omni E 8 Str STD"/>
    <x v="0"/>
    <n v="110000"/>
    <n v="90000"/>
    <x v="0"/>
    <x v="0"/>
    <x v="0"/>
    <s v="Fourth &amp; Above Owner"/>
    <n v="19"/>
    <s v="Budget"/>
  </r>
  <r>
    <s v="Honda City 1.5 EXI"/>
    <x v="16"/>
    <n v="180000"/>
    <n v="200000"/>
    <x v="0"/>
    <x v="0"/>
    <x v="0"/>
    <s v="Second Owner"/>
    <n v="22"/>
    <s v="Budget"/>
  </r>
  <r>
    <s v="Volkswagen Polo Diesel Comfortline 1.2L"/>
    <x v="10"/>
    <n v="350000"/>
    <n v="110000"/>
    <x v="1"/>
    <x v="0"/>
    <x v="0"/>
    <s v="Second Owner"/>
    <n v="16"/>
    <s v="Budget"/>
  </r>
  <r>
    <s v="Chevrolet Optra 1.6 LS"/>
    <x v="14"/>
    <n v="60000"/>
    <n v="126000"/>
    <x v="0"/>
    <x v="0"/>
    <x v="0"/>
    <s v="Second Owner"/>
    <n v="21"/>
    <s v="Budget"/>
  </r>
  <r>
    <s v="Mahindra TUV 300 T10"/>
    <x v="6"/>
    <n v="695000"/>
    <n v="70000"/>
    <x v="1"/>
    <x v="0"/>
    <x v="0"/>
    <s v="First Owner"/>
    <n v="8"/>
    <s v="Mid Range"/>
  </r>
  <r>
    <s v="Mahindra Alturas G4 4X2 AT BSIV"/>
    <x v="7"/>
    <n v="2700000"/>
    <n v="5000"/>
    <x v="1"/>
    <x v="0"/>
    <x v="1"/>
    <s v="First Owner"/>
    <n v="7"/>
    <s v="Premium"/>
  </r>
  <r>
    <s v="Maruti Zen Estilo LX BSIII"/>
    <x v="0"/>
    <n v="135000"/>
    <n v="74183"/>
    <x v="0"/>
    <x v="0"/>
    <x v="0"/>
    <s v="Second Owner"/>
    <n v="19"/>
    <s v="Budget"/>
  </r>
  <r>
    <s v="Mahindra Bolero Power Plus Plus AC BSIV PS"/>
    <x v="5"/>
    <n v="640000"/>
    <n v="70000"/>
    <x v="1"/>
    <x v="0"/>
    <x v="0"/>
    <s v="Second Owner"/>
    <n v="11"/>
    <s v="Mid Range"/>
  </r>
  <r>
    <s v="Maruti Alto 800 VXI"/>
    <x v="3"/>
    <n v="160000"/>
    <n v="90000"/>
    <x v="0"/>
    <x v="0"/>
    <x v="0"/>
    <s v="First Owner"/>
    <n v="12"/>
    <s v="Budget"/>
  </r>
  <r>
    <s v="Tata Indica LXI"/>
    <x v="16"/>
    <n v="80000"/>
    <n v="46000"/>
    <x v="0"/>
    <x v="0"/>
    <x v="0"/>
    <s v="Second Owner"/>
    <n v="22"/>
    <s v="Budget"/>
  </r>
  <r>
    <s v="Maruti Swift Dzire VDI"/>
    <x v="8"/>
    <n v="340000"/>
    <n v="110000"/>
    <x v="1"/>
    <x v="0"/>
    <x v="0"/>
    <s v="Second Owner"/>
    <n v="13"/>
    <s v="Budget"/>
  </r>
  <r>
    <s v="Maruti Ritz VDi"/>
    <x v="1"/>
    <n v="110000"/>
    <n v="80000"/>
    <x v="1"/>
    <x v="0"/>
    <x v="0"/>
    <s v="Second Owner"/>
    <n v="14"/>
    <s v="Budget"/>
  </r>
  <r>
    <s v="Tata Sumo Gold EX"/>
    <x v="8"/>
    <n v="250000"/>
    <n v="90000"/>
    <x v="1"/>
    <x v="0"/>
    <x v="0"/>
    <s v="Second Owner"/>
    <n v="13"/>
    <s v="Budget"/>
  </r>
  <r>
    <s v="Toyota Innova Crysta 2.4 VX MT BSIV"/>
    <x v="2"/>
    <n v="1300000"/>
    <n v="70000"/>
    <x v="1"/>
    <x v="0"/>
    <x v="0"/>
    <s v="First Owner"/>
    <n v="9"/>
    <s v="Premium"/>
  </r>
  <r>
    <s v="Mahindra Quanto C6"/>
    <x v="3"/>
    <n v="250000"/>
    <n v="1"/>
    <x v="1"/>
    <x v="0"/>
    <x v="0"/>
    <s v="Second Owner"/>
    <n v="12"/>
    <s v="Budget"/>
  </r>
  <r>
    <s v="Toyota Innova 2.5 G (Diesel) 8 Seater BS IV"/>
    <x v="11"/>
    <n v="450000"/>
    <n v="192000"/>
    <x v="1"/>
    <x v="0"/>
    <x v="0"/>
    <s v="First Owner"/>
    <n v="17"/>
    <s v="Budget"/>
  </r>
  <r>
    <s v="Maruti Wagon R LX Minor"/>
    <x v="8"/>
    <n v="240000"/>
    <n v="70000"/>
    <x v="0"/>
    <x v="0"/>
    <x v="0"/>
    <s v="Fourth &amp; Above Owner"/>
    <n v="13"/>
    <s v="Budget"/>
  </r>
  <r>
    <s v="Mahindra Bolero DI DX 7 Seater"/>
    <x v="0"/>
    <n v="225000"/>
    <n v="120000"/>
    <x v="1"/>
    <x v="0"/>
    <x v="0"/>
    <s v="Second Owner"/>
    <n v="19"/>
    <s v="Budget"/>
  </r>
  <r>
    <s v="Maruti Wagon R VXI Optional"/>
    <x v="5"/>
    <n v="275000"/>
    <n v="60000"/>
    <x v="0"/>
    <x v="0"/>
    <x v="0"/>
    <s v="Second Owner"/>
    <n v="11"/>
    <s v="Budget"/>
  </r>
  <r>
    <s v="Tata Sumo Victa CX 7/9 Str BSII"/>
    <x v="1"/>
    <n v="320000"/>
    <n v="120000"/>
    <x v="1"/>
    <x v="0"/>
    <x v="0"/>
    <s v="Second Owner"/>
    <n v="14"/>
    <s v="Budget"/>
  </r>
  <r>
    <s v="Maruti Alto LX BSIII"/>
    <x v="15"/>
    <n v="75000"/>
    <n v="120000"/>
    <x v="0"/>
    <x v="0"/>
    <x v="0"/>
    <s v="First Owner"/>
    <n v="18"/>
    <s v="Budget"/>
  </r>
  <r>
    <s v="Tata Indica GLS BS IV"/>
    <x v="0"/>
    <n v="85000"/>
    <n v="50000"/>
    <x v="0"/>
    <x v="0"/>
    <x v="0"/>
    <s v="Second Owner"/>
    <n v="19"/>
    <s v="Budget"/>
  </r>
  <r>
    <s v="Tata Indica Vista Aqua TDI BSIII"/>
    <x v="11"/>
    <n v="90000"/>
    <n v="120000"/>
    <x v="1"/>
    <x v="0"/>
    <x v="0"/>
    <s v="First Owner"/>
    <n v="17"/>
    <s v="Budget"/>
  </r>
  <r>
    <s v="Maruti Wagon R LXI Minor"/>
    <x v="0"/>
    <n v="85000"/>
    <n v="80000"/>
    <x v="0"/>
    <x v="0"/>
    <x v="0"/>
    <s v="Second Owner"/>
    <n v="19"/>
    <s v="Budget"/>
  </r>
  <r>
    <s v="Mahindra Scorpio M2DI"/>
    <x v="15"/>
    <n v="350000"/>
    <n v="80000"/>
    <x v="1"/>
    <x v="0"/>
    <x v="0"/>
    <s v="Second Owner"/>
    <n v="18"/>
    <s v="Budget"/>
  </r>
  <r>
    <s v="Skoda Superb Elegance 2.0 TDI CR AT"/>
    <x v="11"/>
    <n v="355000"/>
    <n v="100000"/>
    <x v="1"/>
    <x v="0"/>
    <x v="1"/>
    <s v="Second Owner"/>
    <n v="17"/>
    <s v="Budget"/>
  </r>
  <r>
    <s v="Maruti Swift VXI"/>
    <x v="20"/>
    <n v="619000"/>
    <n v="1500"/>
    <x v="0"/>
    <x v="0"/>
    <x v="0"/>
    <s v="First Owner"/>
    <n v="6"/>
    <s v="Mid Range"/>
  </r>
  <r>
    <s v="Jeep Compass 2.0 Longitude Option BSIV"/>
    <x v="6"/>
    <n v="1700000"/>
    <n v="50000"/>
    <x v="1"/>
    <x v="0"/>
    <x v="0"/>
    <s v="First Owner"/>
    <n v="8"/>
    <s v="Premium"/>
  </r>
  <r>
    <s v="Tata Indica DL"/>
    <x v="12"/>
    <n v="55000"/>
    <n v="100000"/>
    <x v="1"/>
    <x v="0"/>
    <x v="0"/>
    <s v="Second Owner"/>
    <n v="20"/>
    <s v="Budget"/>
  </r>
  <r>
    <s v="Ford Fiesta 1.6 ZXi Leather"/>
    <x v="12"/>
    <n v="95000"/>
    <n v="83411"/>
    <x v="0"/>
    <x v="0"/>
    <x v="0"/>
    <s v="First Owner"/>
    <n v="20"/>
    <s v="Budget"/>
  </r>
  <r>
    <s v="Volkswagen Vento Diesel Highline"/>
    <x v="9"/>
    <n v="300000"/>
    <n v="120000"/>
    <x v="1"/>
    <x v="0"/>
    <x v="0"/>
    <s v="Second Owner"/>
    <n v="15"/>
    <s v="Budget"/>
  </r>
  <r>
    <s v="Ford Fiesta 1.6 ZXi Leather"/>
    <x v="12"/>
    <n v="81000"/>
    <n v="83411"/>
    <x v="0"/>
    <x v="0"/>
    <x v="0"/>
    <s v="First Owner"/>
    <n v="20"/>
    <s v="Budget"/>
  </r>
  <r>
    <s v="Skoda Superb Elegance 2.0 TDI CR AT"/>
    <x v="5"/>
    <n v="1000000"/>
    <n v="80000"/>
    <x v="1"/>
    <x v="0"/>
    <x v="1"/>
    <s v="Second Owner"/>
    <n v="11"/>
    <s v="Mid Range"/>
  </r>
  <r>
    <s v="Maruti Ertiga VDI"/>
    <x v="7"/>
    <n v="925000"/>
    <n v="50000"/>
    <x v="1"/>
    <x v="0"/>
    <x v="0"/>
    <s v="First Owner"/>
    <n v="7"/>
    <s v="Mid Range"/>
  </r>
  <r>
    <s v="Mahindra Bolero Power Plus Plus AC BSIV PS"/>
    <x v="5"/>
    <n v="450000"/>
    <n v="40000"/>
    <x v="1"/>
    <x v="0"/>
    <x v="0"/>
    <s v="First Owner"/>
    <n v="11"/>
    <s v="Budget"/>
  </r>
  <r>
    <s v="Mahindra Scorpio EX"/>
    <x v="3"/>
    <n v="600000"/>
    <n v="13270"/>
    <x v="1"/>
    <x v="0"/>
    <x v="0"/>
    <s v="First Owner"/>
    <n v="12"/>
    <s v="Mid Range"/>
  </r>
  <r>
    <s v="Hyundai Santro Xing XL AT eRLX Euro III"/>
    <x v="12"/>
    <n v="85000"/>
    <n v="100000"/>
    <x v="0"/>
    <x v="0"/>
    <x v="1"/>
    <s v="Third Owner"/>
    <n v="20"/>
    <s v="Budget"/>
  </r>
  <r>
    <s v="Mahindra Thar DI 4X4 PS"/>
    <x v="4"/>
    <n v="700000"/>
    <n v="50000"/>
    <x v="1"/>
    <x v="0"/>
    <x v="0"/>
    <s v="First Owner"/>
    <n v="10"/>
    <s v="Mid Range"/>
  </r>
  <r>
    <s v="Hyundai Grand i10 1.2 Kappa Magna BSIV"/>
    <x v="2"/>
    <n v="486000"/>
    <n v="26500"/>
    <x v="0"/>
    <x v="0"/>
    <x v="0"/>
    <s v="First Owner"/>
    <n v="9"/>
    <s v="Budget"/>
  </r>
  <r>
    <s v="Maruti Swift VDI"/>
    <x v="8"/>
    <n v="400000"/>
    <n v="90000"/>
    <x v="1"/>
    <x v="0"/>
    <x v="0"/>
    <s v="First Owner"/>
    <n v="13"/>
    <s v="Budget"/>
  </r>
  <r>
    <s v="Ford Fiesta 1.4 Duratec ZXI"/>
    <x v="15"/>
    <n v="120000"/>
    <n v="100000"/>
    <x v="0"/>
    <x v="0"/>
    <x v="0"/>
    <s v="Third Owner"/>
    <n v="18"/>
    <s v="Budget"/>
  </r>
  <r>
    <s v="Maruti Alto 800 LXI"/>
    <x v="6"/>
    <n v="275000"/>
    <n v="35000"/>
    <x v="0"/>
    <x v="0"/>
    <x v="0"/>
    <s v="First Owner"/>
    <n v="8"/>
    <s v="Budget"/>
  </r>
  <r>
    <s v="Hyundai i20 Asta Option 1.4 CRDi"/>
    <x v="4"/>
    <n v="580000"/>
    <n v="57000"/>
    <x v="1"/>
    <x v="0"/>
    <x v="0"/>
    <s v="First Owner"/>
    <n v="10"/>
    <s v="Mid Range"/>
  </r>
  <r>
    <s v="Maruti Swift Dzire LXI"/>
    <x v="5"/>
    <n v="375000"/>
    <n v="70000"/>
    <x v="0"/>
    <x v="0"/>
    <x v="0"/>
    <s v="First Owner"/>
    <n v="11"/>
    <s v="Budget"/>
  </r>
  <r>
    <s v="Maruti Wagon R VXI BS IV with ABS"/>
    <x v="5"/>
    <n v="229999"/>
    <n v="100000"/>
    <x v="0"/>
    <x v="0"/>
    <x v="0"/>
    <s v="Third Owner"/>
    <n v="11"/>
    <s v="Budget"/>
  </r>
  <r>
    <s v="Maruti Alto LX"/>
    <x v="10"/>
    <n v="110000"/>
    <n v="88000"/>
    <x v="0"/>
    <x v="0"/>
    <x v="0"/>
    <s v="Second Owner"/>
    <n v="16"/>
    <s v="Budget"/>
  </r>
  <r>
    <s v="Maruti Swift Dzire VDI"/>
    <x v="2"/>
    <n v="600000"/>
    <n v="60000"/>
    <x v="1"/>
    <x v="0"/>
    <x v="0"/>
    <s v="First Owner"/>
    <n v="9"/>
    <s v="Mid Range"/>
  </r>
  <r>
    <s v="Maruti A-Star Vxi"/>
    <x v="11"/>
    <n v="120000"/>
    <n v="76000"/>
    <x v="0"/>
    <x v="0"/>
    <x v="0"/>
    <s v="Second Owner"/>
    <n v="17"/>
    <s v="Budget"/>
  </r>
  <r>
    <s v="Ford Figo Diesel Titanium"/>
    <x v="10"/>
    <n v="200000"/>
    <n v="100000"/>
    <x v="1"/>
    <x v="0"/>
    <x v="0"/>
    <s v="Second Owner"/>
    <n v="16"/>
    <s v="Budget"/>
  </r>
  <r>
    <s v="Hyundai Verna 1.6 SX CRDi (O)"/>
    <x v="1"/>
    <n v="450000"/>
    <n v="110000"/>
    <x v="1"/>
    <x v="0"/>
    <x v="0"/>
    <s v="Second Owner"/>
    <n v="14"/>
    <s v="Budget"/>
  </r>
  <r>
    <s v="Hyundai Verna 1.6 SX CRDi (O)"/>
    <x v="1"/>
    <n v="550000"/>
    <n v="80000"/>
    <x v="1"/>
    <x v="0"/>
    <x v="0"/>
    <s v="Second Owner"/>
    <n v="14"/>
    <s v="Mid Range"/>
  </r>
  <r>
    <s v="Maruti Alto LX"/>
    <x v="1"/>
    <n v="220000"/>
    <n v="80000"/>
    <x v="0"/>
    <x v="0"/>
    <x v="0"/>
    <s v="Second Owner"/>
    <n v="14"/>
    <s v="Budget"/>
  </r>
  <r>
    <s v="Maruti 800 EX"/>
    <x v="23"/>
    <n v="40000"/>
    <n v="30000"/>
    <x v="0"/>
    <x v="0"/>
    <x v="0"/>
    <s v="First Owner"/>
    <n v="25"/>
    <s v="Budget"/>
  </r>
  <r>
    <s v="Renault KWID Climber 1.0 AMT"/>
    <x v="2"/>
    <n v="300000"/>
    <n v="20000"/>
    <x v="0"/>
    <x v="0"/>
    <x v="1"/>
    <s v="First Owner"/>
    <n v="9"/>
    <s v="Budget"/>
  </r>
  <r>
    <s v="Mahindra Bolero Power Plus SLE"/>
    <x v="6"/>
    <n v="630000"/>
    <n v="40000"/>
    <x v="1"/>
    <x v="0"/>
    <x v="0"/>
    <s v="First Owner"/>
    <n v="8"/>
    <s v="Mid Range"/>
  </r>
  <r>
    <s v="Maruti Swift Dzire VDI"/>
    <x v="2"/>
    <n v="610000"/>
    <n v="40000"/>
    <x v="1"/>
    <x v="0"/>
    <x v="0"/>
    <s v="Second Owner"/>
    <n v="9"/>
    <s v="Mid Range"/>
  </r>
  <r>
    <s v="Hyundai Xcent 1.2 VTVT S"/>
    <x v="7"/>
    <n v="660000"/>
    <n v="7000"/>
    <x v="0"/>
    <x v="0"/>
    <x v="0"/>
    <s v="Second Owner"/>
    <n v="7"/>
    <s v="Mid Range"/>
  </r>
  <r>
    <s v="Maruti Wagon R LXI LPG BSIV"/>
    <x v="1"/>
    <n v="220000"/>
    <n v="80000"/>
    <x v="3"/>
    <x v="0"/>
    <x v="0"/>
    <s v="Second Owner"/>
    <n v="14"/>
    <s v="Budget"/>
  </r>
  <r>
    <s v="Nissan Micra Diesel XV Premium"/>
    <x v="9"/>
    <n v="138000"/>
    <n v="90000"/>
    <x v="1"/>
    <x v="0"/>
    <x v="0"/>
    <s v="Second Owner"/>
    <n v="15"/>
    <s v="Budget"/>
  </r>
  <r>
    <s v="Nissan Micra Diesel XV Premium"/>
    <x v="8"/>
    <n v="210000"/>
    <n v="13770"/>
    <x v="1"/>
    <x v="0"/>
    <x v="0"/>
    <s v="First Owner"/>
    <n v="13"/>
    <s v="Budget"/>
  </r>
  <r>
    <s v="Maruti Zen LXi - BS III"/>
    <x v="14"/>
    <n v="125000"/>
    <n v="34000"/>
    <x v="0"/>
    <x v="1"/>
    <x v="0"/>
    <s v="First Owner"/>
    <n v="21"/>
    <s v="Budget"/>
  </r>
  <r>
    <s v="Maruti Alto LXi BSIII"/>
    <x v="15"/>
    <n v="125000"/>
    <n v="102000"/>
    <x v="0"/>
    <x v="1"/>
    <x v="0"/>
    <s v="First Owner"/>
    <n v="18"/>
    <s v="Budget"/>
  </r>
  <r>
    <s v="Honda City i DTEC SV"/>
    <x v="3"/>
    <n v="725000"/>
    <n v="110000"/>
    <x v="1"/>
    <x v="0"/>
    <x v="0"/>
    <s v="First Owner"/>
    <n v="12"/>
    <s v="Mid Range"/>
  </r>
  <r>
    <s v="Maruti Alto K10 2010-2014 VXI"/>
    <x v="9"/>
    <n v="170000"/>
    <n v="90000"/>
    <x v="0"/>
    <x v="0"/>
    <x v="0"/>
    <s v="Second Owner"/>
    <n v="15"/>
    <s v="Budget"/>
  </r>
  <r>
    <s v="Toyota Innova 2.5 VX (Diesel) 7 Seater"/>
    <x v="5"/>
    <n v="1200000"/>
    <n v="70000"/>
    <x v="1"/>
    <x v="0"/>
    <x v="0"/>
    <s v="Third Owner"/>
    <n v="11"/>
    <s v="Premium"/>
  </r>
  <r>
    <s v="Maruti Wagon R VXI BSIII"/>
    <x v="18"/>
    <n v="70000"/>
    <n v="90000"/>
    <x v="0"/>
    <x v="0"/>
    <x v="0"/>
    <s v="Second Owner"/>
    <n v="23"/>
    <s v="Budget"/>
  </r>
  <r>
    <s v="Maruti Alto LXi"/>
    <x v="0"/>
    <n v="100000"/>
    <n v="70000"/>
    <x v="0"/>
    <x v="0"/>
    <x v="0"/>
    <s v="Second Owner"/>
    <n v="19"/>
    <s v="Budget"/>
  </r>
  <r>
    <s v="Honda Civic 1.8 (E) MT"/>
    <x v="12"/>
    <n v="300000"/>
    <n v="80000"/>
    <x v="0"/>
    <x v="0"/>
    <x v="0"/>
    <s v="Second Owner"/>
    <n v="20"/>
    <s v="Budget"/>
  </r>
  <r>
    <s v="Maruti Swift VDI"/>
    <x v="8"/>
    <n v="450000"/>
    <n v="100000"/>
    <x v="1"/>
    <x v="0"/>
    <x v="0"/>
    <s v="Second Owner"/>
    <n v="13"/>
    <s v="Budget"/>
  </r>
  <r>
    <s v="Maruti Swift Dzire VDI"/>
    <x v="5"/>
    <n v="530000"/>
    <n v="100000"/>
    <x v="1"/>
    <x v="0"/>
    <x v="0"/>
    <s v="First Owner"/>
    <n v="11"/>
    <s v="Mid Range"/>
  </r>
  <r>
    <s v="Maruti Zen Estilo 1.1 LXI BSIII"/>
    <x v="0"/>
    <n v="100000"/>
    <n v="143000"/>
    <x v="0"/>
    <x v="0"/>
    <x v="0"/>
    <s v="Third Owner"/>
    <n v="19"/>
    <s v="Budget"/>
  </r>
  <r>
    <s v="Honda City 1.5 V MT"/>
    <x v="10"/>
    <n v="350000"/>
    <n v="115000"/>
    <x v="0"/>
    <x v="0"/>
    <x v="0"/>
    <s v="Second Owner"/>
    <n v="16"/>
    <s v="Budget"/>
  </r>
  <r>
    <s v="Tata Manza ELAN Quadrajet BS IV"/>
    <x v="9"/>
    <n v="165000"/>
    <n v="100000"/>
    <x v="1"/>
    <x v="0"/>
    <x v="0"/>
    <s v="Second Owner"/>
    <n v="15"/>
    <s v="Budget"/>
  </r>
  <r>
    <s v="Maruti Swift Dzire ZDI"/>
    <x v="7"/>
    <n v="475000"/>
    <n v="120000"/>
    <x v="1"/>
    <x v="0"/>
    <x v="0"/>
    <s v="Second Owner"/>
    <n v="7"/>
    <s v="Budget"/>
  </r>
  <r>
    <s v="Mahindra Xylo E4 ABS BS IV"/>
    <x v="8"/>
    <n v="350000"/>
    <n v="42000"/>
    <x v="1"/>
    <x v="0"/>
    <x v="0"/>
    <s v="First Owner"/>
    <n v="13"/>
    <s v="Budget"/>
  </r>
  <r>
    <s v="Renault KWID RXL"/>
    <x v="4"/>
    <n v="229999"/>
    <n v="38000"/>
    <x v="0"/>
    <x v="0"/>
    <x v="0"/>
    <s v="First Owner"/>
    <n v="10"/>
    <s v="Budget"/>
  </r>
  <r>
    <s v="Honda WR-V i-DTEC VX"/>
    <x v="6"/>
    <n v="800000"/>
    <n v="35000"/>
    <x v="1"/>
    <x v="0"/>
    <x v="0"/>
    <s v="First Owner"/>
    <n v="8"/>
    <s v="Mid Range"/>
  </r>
  <r>
    <s v="Maruti Swift Dzire ZDI"/>
    <x v="3"/>
    <n v="475000"/>
    <n v="120000"/>
    <x v="1"/>
    <x v="0"/>
    <x v="0"/>
    <s v="Second Owner"/>
    <n v="12"/>
    <s v="Budget"/>
  </r>
  <r>
    <s v="Nissan Terrano XL 110 PS"/>
    <x v="3"/>
    <n v="425000"/>
    <n v="136906"/>
    <x v="1"/>
    <x v="0"/>
    <x v="0"/>
    <s v="First Owner"/>
    <n v="12"/>
    <s v="Budget"/>
  </r>
  <r>
    <s v="Maruti Ciaz VDi Plus"/>
    <x v="5"/>
    <n v="660000"/>
    <n v="97000"/>
    <x v="1"/>
    <x v="0"/>
    <x v="0"/>
    <s v="Second Owner"/>
    <n v="11"/>
    <s v="Mid Range"/>
  </r>
  <r>
    <s v="Honda Amaze S CVT Petrol"/>
    <x v="7"/>
    <n v="610000"/>
    <n v="10000"/>
    <x v="0"/>
    <x v="0"/>
    <x v="1"/>
    <s v="First Owner"/>
    <n v="7"/>
    <s v="Mid Range"/>
  </r>
  <r>
    <s v="Honda Brio S MT"/>
    <x v="8"/>
    <n v="240000"/>
    <n v="50000"/>
    <x v="0"/>
    <x v="0"/>
    <x v="0"/>
    <s v="Third Owner"/>
    <n v="13"/>
    <s v="Budget"/>
  </r>
  <r>
    <s v="Maruti Esteem Lxi"/>
    <x v="14"/>
    <n v="70000"/>
    <n v="60000"/>
    <x v="0"/>
    <x v="0"/>
    <x v="0"/>
    <s v="Second Owner"/>
    <n v="21"/>
    <s v="Budget"/>
  </r>
  <r>
    <s v="Toyota Corolla Altis Diesel D4DGL"/>
    <x v="9"/>
    <n v="550000"/>
    <n v="120000"/>
    <x v="1"/>
    <x v="0"/>
    <x v="0"/>
    <s v="First Owner"/>
    <n v="15"/>
    <s v="Mid Range"/>
  </r>
  <r>
    <s v="Tata Indica Vista Aura 1.2 Safire"/>
    <x v="10"/>
    <n v="100000"/>
    <n v="120000"/>
    <x v="0"/>
    <x v="0"/>
    <x v="0"/>
    <s v="Second Owner"/>
    <n v="16"/>
    <s v="Budget"/>
  </r>
  <r>
    <s v="Mahindra Bolero SLE"/>
    <x v="10"/>
    <n v="350000"/>
    <n v="90000"/>
    <x v="1"/>
    <x v="0"/>
    <x v="0"/>
    <s v="Second Owner"/>
    <n v="16"/>
    <s v="Budget"/>
  </r>
  <r>
    <s v="Hyundai EON Era Plus"/>
    <x v="8"/>
    <n v="200000"/>
    <n v="120000"/>
    <x v="0"/>
    <x v="0"/>
    <x v="0"/>
    <s v="First Owner"/>
    <n v="13"/>
    <s v="Budget"/>
  </r>
  <r>
    <s v="Hyundai Elite i20 Asta Option CVT BSIV"/>
    <x v="7"/>
    <n v="720000"/>
    <n v="3000"/>
    <x v="0"/>
    <x v="0"/>
    <x v="1"/>
    <s v="First Owner"/>
    <n v="7"/>
    <s v="Mid Range"/>
  </r>
  <r>
    <s v="Maruti Ritz VDi"/>
    <x v="3"/>
    <n v="350000"/>
    <n v="133000"/>
    <x v="1"/>
    <x v="0"/>
    <x v="0"/>
    <s v="First Owner"/>
    <n v="12"/>
    <s v="Budget"/>
  </r>
  <r>
    <s v="Maruti Wagon R VXI BS IV"/>
    <x v="4"/>
    <n v="400000"/>
    <n v="25000"/>
    <x v="0"/>
    <x v="0"/>
    <x v="0"/>
    <s v="First Owner"/>
    <n v="10"/>
    <s v="Budget"/>
  </r>
  <r>
    <s v="Hyundai i20 Active 1.2 S"/>
    <x v="2"/>
    <n v="570000"/>
    <n v="35000"/>
    <x v="0"/>
    <x v="0"/>
    <x v="0"/>
    <s v="First Owner"/>
    <n v="9"/>
    <s v="Mid Range"/>
  </r>
  <r>
    <s v="Maruti Omni MPI STD BSIV"/>
    <x v="5"/>
    <n v="130000"/>
    <n v="70000"/>
    <x v="0"/>
    <x v="0"/>
    <x v="0"/>
    <s v="First Owner"/>
    <n v="11"/>
    <s v="Budget"/>
  </r>
  <r>
    <s v="Maruti Alto 800 LXI"/>
    <x v="4"/>
    <n v="210000"/>
    <n v="52000"/>
    <x v="0"/>
    <x v="0"/>
    <x v="0"/>
    <s v="First Owner"/>
    <n v="10"/>
    <s v="Budget"/>
  </r>
  <r>
    <s v="Hyundai Creta 1.4 E Plus"/>
    <x v="6"/>
    <n v="800000"/>
    <n v="52000"/>
    <x v="1"/>
    <x v="0"/>
    <x v="0"/>
    <s v="First Owner"/>
    <n v="8"/>
    <s v="Mid Range"/>
  </r>
  <r>
    <s v="Honda Jazz 1.5 E i DTEC"/>
    <x v="2"/>
    <n v="700000"/>
    <n v="39000"/>
    <x v="1"/>
    <x v="0"/>
    <x v="0"/>
    <s v="First Owner"/>
    <n v="9"/>
    <s v="Mid Range"/>
  </r>
  <r>
    <s v="Tata Indica Vista Quadrajet VX"/>
    <x v="9"/>
    <n v="200000"/>
    <n v="28689"/>
    <x v="1"/>
    <x v="0"/>
    <x v="0"/>
    <s v="First Owner"/>
    <n v="15"/>
    <s v="Budget"/>
  </r>
  <r>
    <s v="Tata Aria Pure LX 4x2"/>
    <x v="3"/>
    <n v="495000"/>
    <n v="90000"/>
    <x v="1"/>
    <x v="0"/>
    <x v="0"/>
    <s v="Second Owner"/>
    <n v="12"/>
    <s v="Budget"/>
  </r>
  <r>
    <s v="Ford Fiesta Classic 1.4 Duratorq CLXI"/>
    <x v="3"/>
    <n v="325000"/>
    <n v="80322"/>
    <x v="1"/>
    <x v="1"/>
    <x v="0"/>
    <s v="First Owner"/>
    <n v="12"/>
    <s v="Budget"/>
  </r>
  <r>
    <s v="Ford Freestyle Trend Petrol BSIV"/>
    <x v="7"/>
    <n v="650000"/>
    <n v="8000"/>
    <x v="0"/>
    <x v="0"/>
    <x v="0"/>
    <s v="First Owner"/>
    <n v="7"/>
    <s v="Mid Range"/>
  </r>
  <r>
    <s v="Mahindra Jeep MM 775 XDB"/>
    <x v="21"/>
    <n v="155000"/>
    <n v="50000"/>
    <x v="1"/>
    <x v="0"/>
    <x v="0"/>
    <s v="Second Owner"/>
    <n v="26"/>
    <s v="Budget"/>
  </r>
  <r>
    <s v="Maruti 800 AC BSIII"/>
    <x v="0"/>
    <n v="75000"/>
    <n v="90000"/>
    <x v="0"/>
    <x v="0"/>
    <x v="0"/>
    <s v="Second Owner"/>
    <n v="19"/>
    <s v="Budget"/>
  </r>
  <r>
    <s v="Hyundai Grand i10 1.2 CRDi Magna"/>
    <x v="5"/>
    <n v="350000"/>
    <n v="61658"/>
    <x v="1"/>
    <x v="1"/>
    <x v="0"/>
    <s v="First Owner"/>
    <n v="11"/>
    <s v="Budget"/>
  </r>
  <r>
    <s v="Maruti Zen Estilo LX BSIV"/>
    <x v="10"/>
    <n v="90000"/>
    <n v="50000"/>
    <x v="0"/>
    <x v="0"/>
    <x v="0"/>
    <s v="Third Owner"/>
    <n v="16"/>
    <s v="Budget"/>
  </r>
  <r>
    <s v="Maruti Ertiga SHVS VDI"/>
    <x v="4"/>
    <n v="600000"/>
    <n v="80000"/>
    <x v="1"/>
    <x v="0"/>
    <x v="0"/>
    <s v="First Owner"/>
    <n v="10"/>
    <s v="Mid Range"/>
  </r>
  <r>
    <s v="Mahindra Scorpio SLE BSIII"/>
    <x v="10"/>
    <n v="400000"/>
    <n v="185000"/>
    <x v="1"/>
    <x v="0"/>
    <x v="0"/>
    <s v="First Owner"/>
    <n v="16"/>
    <s v="Budget"/>
  </r>
  <r>
    <s v="Maruti Swift VDI BSIV"/>
    <x v="3"/>
    <n v="370000"/>
    <n v="57000"/>
    <x v="1"/>
    <x v="0"/>
    <x v="0"/>
    <s v="Second Owner"/>
    <n v="12"/>
    <s v="Budget"/>
  </r>
  <r>
    <s v="Maruti 800 DX"/>
    <x v="21"/>
    <n v="50000"/>
    <n v="60000"/>
    <x v="0"/>
    <x v="0"/>
    <x v="0"/>
    <s v="First Owner"/>
    <n v="26"/>
    <s v="Budget"/>
  </r>
  <r>
    <s v="Honda City 1.5 GXI"/>
    <x v="16"/>
    <n v="125000"/>
    <n v="120000"/>
    <x v="0"/>
    <x v="0"/>
    <x v="0"/>
    <s v="Second Owner"/>
    <n v="22"/>
    <s v="Budget"/>
  </r>
  <r>
    <s v="Honda CR-V Diesel 4WD"/>
    <x v="6"/>
    <n v="1800000"/>
    <n v="26000"/>
    <x v="1"/>
    <x v="0"/>
    <x v="1"/>
    <s v="First Owner"/>
    <n v="8"/>
    <s v="Premium"/>
  </r>
  <r>
    <s v="Hyundai Grand i10 1.2 Kappa Magna AT"/>
    <x v="7"/>
    <n v="650000"/>
    <n v="20000"/>
    <x v="0"/>
    <x v="0"/>
    <x v="1"/>
    <s v="First Owner"/>
    <n v="7"/>
    <s v="Mid Range"/>
  </r>
  <r>
    <s v="Maruti Ertiga BSIV VXI AT"/>
    <x v="2"/>
    <n v="800000"/>
    <n v="30600"/>
    <x v="0"/>
    <x v="0"/>
    <x v="1"/>
    <s v="First Owner"/>
    <n v="9"/>
    <s v="Mid Range"/>
  </r>
  <r>
    <s v="Volkswagen Polo 1.0 TSI Highline Plus"/>
    <x v="20"/>
    <n v="802000"/>
    <n v="5000"/>
    <x v="0"/>
    <x v="0"/>
    <x v="0"/>
    <s v="First Owner"/>
    <n v="6"/>
    <s v="Mid Range"/>
  </r>
  <r>
    <s v="Audi A4 35 TDI Premium"/>
    <x v="5"/>
    <n v="2300000"/>
    <n v="35000"/>
    <x v="1"/>
    <x v="0"/>
    <x v="1"/>
    <s v="Third Owner"/>
    <n v="11"/>
    <s v="Premium"/>
  </r>
  <r>
    <s v="Hyundai Xcent 1.1 CRDi SX"/>
    <x v="4"/>
    <n v="430000"/>
    <n v="35000"/>
    <x v="1"/>
    <x v="0"/>
    <x v="0"/>
    <s v="First Owner"/>
    <n v="10"/>
    <s v="Budget"/>
  </r>
  <r>
    <s v="Hyundai Verna 1.6 SX VTVT"/>
    <x v="2"/>
    <n v="650000"/>
    <n v="23000"/>
    <x v="0"/>
    <x v="0"/>
    <x v="0"/>
    <s v="First Owner"/>
    <n v="9"/>
    <s v="Mid Range"/>
  </r>
  <r>
    <s v="Mahindra Scorpio 2.6 SLX Turbo 7 Seater"/>
    <x v="16"/>
    <n v="170000"/>
    <n v="120000"/>
    <x v="1"/>
    <x v="0"/>
    <x v="0"/>
    <s v="First Owner"/>
    <n v="22"/>
    <s v="Budget"/>
  </r>
  <r>
    <s v="Skoda Superb Elegance 2.0 TDI CR AT"/>
    <x v="9"/>
    <n v="450000"/>
    <n v="235000"/>
    <x v="1"/>
    <x v="0"/>
    <x v="1"/>
    <s v="First Owner"/>
    <n v="15"/>
    <s v="Budget"/>
  </r>
  <r>
    <s v="Maruti Alto 800 LXI"/>
    <x v="8"/>
    <n v="250000"/>
    <n v="87000"/>
    <x v="0"/>
    <x v="0"/>
    <x v="0"/>
    <s v="First Owner"/>
    <n v="13"/>
    <s v="Budget"/>
  </r>
  <r>
    <s v="Ford Ecosport 1.0 Ecoboost Titanium"/>
    <x v="3"/>
    <n v="550000"/>
    <n v="72000"/>
    <x v="0"/>
    <x v="0"/>
    <x v="0"/>
    <s v="Second Owner"/>
    <n v="12"/>
    <s v="Mid Range"/>
  </r>
  <r>
    <s v="Jaguar XF 3.0 Litre S Premium Luxury"/>
    <x v="8"/>
    <n v="2000000"/>
    <n v="64000"/>
    <x v="1"/>
    <x v="0"/>
    <x v="1"/>
    <s v="Second Owner"/>
    <n v="13"/>
    <s v="Premium"/>
  </r>
  <r>
    <s v="Maruti Zen Estilo VXI BSIII"/>
    <x v="0"/>
    <n v="140000"/>
    <n v="100000"/>
    <x v="0"/>
    <x v="0"/>
    <x v="0"/>
    <s v="Second Owner"/>
    <n v="19"/>
    <s v="Budget"/>
  </r>
  <r>
    <s v="Chevrolet Beat LT"/>
    <x v="1"/>
    <n v="155000"/>
    <n v="12000"/>
    <x v="0"/>
    <x v="0"/>
    <x v="0"/>
    <s v="First Owner"/>
    <n v="14"/>
    <s v="Budget"/>
  </r>
  <r>
    <s v="Hyundai Accent Executive"/>
    <x v="10"/>
    <n v="120000"/>
    <n v="67000"/>
    <x v="0"/>
    <x v="0"/>
    <x v="0"/>
    <s v="Third Owner"/>
    <n v="16"/>
    <s v="Budget"/>
  </r>
  <r>
    <s v="Toyota Innova 2.5 E 8 STR"/>
    <x v="1"/>
    <n v="287000"/>
    <n v="70000"/>
    <x v="1"/>
    <x v="0"/>
    <x v="0"/>
    <s v="First Owner"/>
    <n v="14"/>
    <s v="Budget"/>
  </r>
  <r>
    <s v="Maruti Baleno Alpha 1.3"/>
    <x v="4"/>
    <n v="675000"/>
    <n v="60000"/>
    <x v="1"/>
    <x v="0"/>
    <x v="0"/>
    <s v="First Owner"/>
    <n v="10"/>
    <s v="Mid Range"/>
  </r>
  <r>
    <s v="Hyundai i10 Magna 1.2 iTech SE"/>
    <x v="9"/>
    <n v="235000"/>
    <n v="74500"/>
    <x v="0"/>
    <x v="0"/>
    <x v="0"/>
    <s v="Second Owner"/>
    <n v="15"/>
    <s v="Budget"/>
  </r>
  <r>
    <s v="Hyundai i20 1.4 CRDi Asta"/>
    <x v="9"/>
    <n v="300000"/>
    <n v="118700"/>
    <x v="1"/>
    <x v="0"/>
    <x v="0"/>
    <s v="Second Owner"/>
    <n v="15"/>
    <s v="Budget"/>
  </r>
  <r>
    <s v="Nissan Micra XL CVT"/>
    <x v="5"/>
    <n v="434999"/>
    <n v="40000"/>
    <x v="0"/>
    <x v="0"/>
    <x v="1"/>
    <s v="Second Owner"/>
    <n v="11"/>
    <s v="Budget"/>
  </r>
  <r>
    <s v="Mahindra Scorpio VLX AT 2WD BSIII"/>
    <x v="16"/>
    <n v="225000"/>
    <n v="223660"/>
    <x v="1"/>
    <x v="0"/>
    <x v="1"/>
    <s v="Third Owner"/>
    <n v="22"/>
    <s v="Budget"/>
  </r>
  <r>
    <s v="Toyota Corolla AE"/>
    <x v="12"/>
    <n v="160000"/>
    <n v="140000"/>
    <x v="0"/>
    <x v="0"/>
    <x v="0"/>
    <s v="Second Owner"/>
    <n v="20"/>
    <s v="Budget"/>
  </r>
  <r>
    <s v="Hyundai Grand i10 Nios Sportz"/>
    <x v="20"/>
    <n v="600000"/>
    <n v="5000"/>
    <x v="0"/>
    <x v="0"/>
    <x v="0"/>
    <s v="First Owner"/>
    <n v="6"/>
    <s v="Mid Range"/>
  </r>
  <r>
    <s v="Chevrolet Tavera Neo 3 LT 9 Seats BSIII"/>
    <x v="4"/>
    <n v="470000"/>
    <n v="100000"/>
    <x v="1"/>
    <x v="0"/>
    <x v="0"/>
    <s v="Second Owner"/>
    <n v="10"/>
    <s v="Budget"/>
  </r>
  <r>
    <s v="Maruti Swift Dzire VXi"/>
    <x v="9"/>
    <n v="300000"/>
    <n v="100000"/>
    <x v="0"/>
    <x v="0"/>
    <x v="0"/>
    <s v="Second Owner"/>
    <n v="15"/>
    <s v="Budget"/>
  </r>
  <r>
    <s v="Maruti Baleno Delta 1.2"/>
    <x v="6"/>
    <n v="600000"/>
    <n v="2000"/>
    <x v="0"/>
    <x v="0"/>
    <x v="0"/>
    <s v="First Owner"/>
    <n v="8"/>
    <s v="Mid Range"/>
  </r>
  <r>
    <s v="Hyundai Grand i10 Nios AMT Magna"/>
    <x v="20"/>
    <n v="640000"/>
    <n v="4000"/>
    <x v="0"/>
    <x v="0"/>
    <x v="1"/>
    <s v="First Owner"/>
    <n v="6"/>
    <s v="Mid Range"/>
  </r>
  <r>
    <s v="Tata Indica DLS"/>
    <x v="12"/>
    <n v="50000"/>
    <n v="120000"/>
    <x v="1"/>
    <x v="0"/>
    <x v="0"/>
    <s v="Fourth &amp; Above Owner"/>
    <n v="20"/>
    <s v="Budget"/>
  </r>
  <r>
    <s v="Hyundai Verna 1.6 VTVT S"/>
    <x v="5"/>
    <n v="600000"/>
    <n v="35000"/>
    <x v="0"/>
    <x v="0"/>
    <x v="0"/>
    <s v="First Owner"/>
    <n v="11"/>
    <s v="Mid Range"/>
  </r>
  <r>
    <s v="Hyundai i10 Magna LPG"/>
    <x v="3"/>
    <n v="290000"/>
    <n v="29000"/>
    <x v="3"/>
    <x v="0"/>
    <x v="0"/>
    <s v="First Owner"/>
    <n v="12"/>
    <s v="Budget"/>
  </r>
  <r>
    <s v="Hyundai Verna 1.6 VTVT S"/>
    <x v="5"/>
    <n v="600000"/>
    <n v="30000"/>
    <x v="0"/>
    <x v="0"/>
    <x v="0"/>
    <s v="First Owner"/>
    <n v="11"/>
    <s v="Mid Range"/>
  </r>
  <r>
    <s v="Tata Manza Aqua Quadrajet BS IV"/>
    <x v="1"/>
    <n v="190000"/>
    <n v="120000"/>
    <x v="1"/>
    <x v="0"/>
    <x v="0"/>
    <s v="First Owner"/>
    <n v="14"/>
    <s v="Budget"/>
  </r>
  <r>
    <s v="Hyundai i10 Era 1.1"/>
    <x v="15"/>
    <n v="160000"/>
    <n v="110000"/>
    <x v="0"/>
    <x v="0"/>
    <x v="0"/>
    <s v="Third Owner"/>
    <n v="18"/>
    <s v="Budget"/>
  </r>
  <r>
    <s v="Maruti Alto K10 VXI"/>
    <x v="2"/>
    <n v="325000"/>
    <n v="15000"/>
    <x v="0"/>
    <x v="0"/>
    <x v="0"/>
    <s v="First Owner"/>
    <n v="9"/>
    <s v="Budget"/>
  </r>
  <r>
    <s v="Mahindra Bolero DI"/>
    <x v="12"/>
    <n v="200000"/>
    <n v="73756"/>
    <x v="1"/>
    <x v="0"/>
    <x v="0"/>
    <s v="First Owner"/>
    <n v="20"/>
    <s v="Budget"/>
  </r>
  <r>
    <s v="Toyota Fortuner 2.8 2WD AT BSIV"/>
    <x v="6"/>
    <n v="2800000"/>
    <n v="40000"/>
    <x v="1"/>
    <x v="0"/>
    <x v="1"/>
    <s v="First Owner"/>
    <n v="8"/>
    <s v="Premium"/>
  </r>
  <r>
    <s v="Chevrolet Spark 1.0 LS"/>
    <x v="9"/>
    <n v="125000"/>
    <n v="60000"/>
    <x v="0"/>
    <x v="0"/>
    <x v="0"/>
    <s v="Third Owner"/>
    <n v="15"/>
    <s v="Budget"/>
  </r>
  <r>
    <s v="Hyundai i10 Magna 1.1"/>
    <x v="15"/>
    <n v="155000"/>
    <n v="60000"/>
    <x v="0"/>
    <x v="0"/>
    <x v="0"/>
    <s v="Fourth &amp; Above Owner"/>
    <n v="18"/>
    <s v="Budget"/>
  </r>
  <r>
    <s v="Hyundai i20 Asta 1.4 CRDi"/>
    <x v="5"/>
    <n v="550000"/>
    <n v="90000"/>
    <x v="1"/>
    <x v="0"/>
    <x v="0"/>
    <s v="First Owner"/>
    <n v="11"/>
    <s v="Mid Range"/>
  </r>
  <r>
    <s v="Maruti Wagon R LX BSIII"/>
    <x v="11"/>
    <n v="130000"/>
    <n v="70000"/>
    <x v="0"/>
    <x v="0"/>
    <x v="0"/>
    <s v="Fourth &amp; Above Owner"/>
    <n v="17"/>
    <s v="Budget"/>
  </r>
  <r>
    <s v="Maruti 800 AC"/>
    <x v="19"/>
    <n v="80000"/>
    <n v="70000"/>
    <x v="0"/>
    <x v="0"/>
    <x v="0"/>
    <s v="Second Owner"/>
    <n v="24"/>
    <s v="Budget"/>
  </r>
  <r>
    <s v="Toyota Etios Cross 1.4L GD"/>
    <x v="5"/>
    <n v="500000"/>
    <n v="80000"/>
    <x v="1"/>
    <x v="0"/>
    <x v="0"/>
    <s v="Second Owner"/>
    <n v="11"/>
    <s v="Mid Range"/>
  </r>
  <r>
    <s v="Renault KWID RXT BSIV"/>
    <x v="7"/>
    <n v="250000"/>
    <n v="27000"/>
    <x v="0"/>
    <x v="0"/>
    <x v="0"/>
    <s v="First Owner"/>
    <n v="7"/>
    <s v="Budget"/>
  </r>
  <r>
    <s v="Mahindra XUV500 W8 2WD"/>
    <x v="1"/>
    <n v="580000"/>
    <n v="70000"/>
    <x v="1"/>
    <x v="0"/>
    <x v="0"/>
    <s v="First Owner"/>
    <n v="14"/>
    <s v="Mid Range"/>
  </r>
  <r>
    <s v="Daewoo Matiz SD"/>
    <x v="19"/>
    <n v="60000"/>
    <n v="50000"/>
    <x v="0"/>
    <x v="0"/>
    <x v="0"/>
    <s v="First Owner"/>
    <n v="24"/>
    <s v="Budget"/>
  </r>
  <r>
    <s v="Toyota Etios GD"/>
    <x v="1"/>
    <n v="300000"/>
    <n v="185000"/>
    <x v="1"/>
    <x v="0"/>
    <x v="0"/>
    <s v="First Owner"/>
    <n v="14"/>
    <s v="Budget"/>
  </r>
  <r>
    <s v="Ford Figo Diesel Titanium"/>
    <x v="3"/>
    <n v="200000"/>
    <n v="90000"/>
    <x v="1"/>
    <x v="0"/>
    <x v="0"/>
    <s v="Second Owner"/>
    <n v="12"/>
    <s v="Budget"/>
  </r>
  <r>
    <s v="Tata Hexa XT"/>
    <x v="2"/>
    <n v="1200000"/>
    <n v="16400"/>
    <x v="1"/>
    <x v="0"/>
    <x v="0"/>
    <s v="First Owner"/>
    <n v="9"/>
    <s v="Premium"/>
  </r>
  <r>
    <s v="Toyota Etios Cross 1.4L GD"/>
    <x v="5"/>
    <n v="350000"/>
    <n v="80000"/>
    <x v="1"/>
    <x v="0"/>
    <x v="0"/>
    <s v="Second Owner"/>
    <n v="11"/>
    <s v="Budget"/>
  </r>
  <r>
    <s v="Mahindra XUV500 W8 4WD"/>
    <x v="1"/>
    <n v="600000"/>
    <n v="80000"/>
    <x v="1"/>
    <x v="0"/>
    <x v="0"/>
    <s v="Second Owner"/>
    <n v="14"/>
    <s v="Mid Range"/>
  </r>
  <r>
    <s v="Honda Jazz V"/>
    <x v="7"/>
    <n v="650000"/>
    <n v="4000"/>
    <x v="0"/>
    <x v="0"/>
    <x v="0"/>
    <s v="First Owner"/>
    <n v="7"/>
    <s v="Mid Range"/>
  </r>
  <r>
    <s v="Maruti A-Star Lxi"/>
    <x v="15"/>
    <n v="120000"/>
    <n v="40000"/>
    <x v="0"/>
    <x v="0"/>
    <x v="0"/>
    <s v="First Owner"/>
    <n v="18"/>
    <s v="Budget"/>
  </r>
  <r>
    <s v="Tata New Safari DICOR 2.2 EX 4x2"/>
    <x v="10"/>
    <n v="180000"/>
    <n v="120000"/>
    <x v="1"/>
    <x v="0"/>
    <x v="0"/>
    <s v="Second Owner"/>
    <n v="16"/>
    <s v="Budget"/>
  </r>
  <r>
    <s v="Hyundai Verna VTVT 1.6 AT SX Option"/>
    <x v="6"/>
    <n v="950000"/>
    <n v="41395"/>
    <x v="0"/>
    <x v="0"/>
    <x v="1"/>
    <s v="First Owner"/>
    <n v="8"/>
    <s v="Mid Range"/>
  </r>
  <r>
    <s v="Tata Manza Aura Quadrajet BS IV"/>
    <x v="1"/>
    <n v="250999"/>
    <n v="35000"/>
    <x v="1"/>
    <x v="0"/>
    <x v="0"/>
    <s v="Second Owner"/>
    <n v="14"/>
    <s v="Budget"/>
  </r>
  <r>
    <s v="Audi A8 L 3.0 TDI quattro"/>
    <x v="11"/>
    <n v="1250000"/>
    <n v="47000"/>
    <x v="1"/>
    <x v="1"/>
    <x v="1"/>
    <s v="Second Owner"/>
    <n v="17"/>
    <s v="Premium"/>
  </r>
  <r>
    <s v="Chevrolet Beat LT"/>
    <x v="8"/>
    <n v="165000"/>
    <n v="50000"/>
    <x v="0"/>
    <x v="0"/>
    <x v="0"/>
    <s v="First Owner"/>
    <n v="13"/>
    <s v="Budget"/>
  </r>
  <r>
    <s v="Hyundai Elantra SX"/>
    <x v="5"/>
    <n v="700000"/>
    <n v="48000"/>
    <x v="0"/>
    <x v="1"/>
    <x v="0"/>
    <s v="First Owner"/>
    <n v="11"/>
    <s v="Mid Range"/>
  </r>
  <r>
    <s v="Mahindra XUV500 W8 4WD"/>
    <x v="5"/>
    <n v="750000"/>
    <n v="53000"/>
    <x v="1"/>
    <x v="1"/>
    <x v="0"/>
    <s v="First Owner"/>
    <n v="11"/>
    <s v="Mid Range"/>
  </r>
  <r>
    <s v="Datsun redi-GO AMT 1.0 T Option"/>
    <x v="6"/>
    <n v="290000"/>
    <n v="15000"/>
    <x v="0"/>
    <x v="1"/>
    <x v="1"/>
    <s v="First Owner"/>
    <n v="8"/>
    <s v="Budget"/>
  </r>
  <r>
    <s v="Tata Nano Cx BSIII"/>
    <x v="3"/>
    <n v="45000"/>
    <n v="7000"/>
    <x v="0"/>
    <x v="0"/>
    <x v="0"/>
    <s v="Second Owner"/>
    <n v="12"/>
    <s v="Budget"/>
  </r>
  <r>
    <s v="Skoda Superb Ambition 2.0 TDI CR AT"/>
    <x v="8"/>
    <n v="675000"/>
    <n v="88000"/>
    <x v="1"/>
    <x v="1"/>
    <x v="1"/>
    <s v="First Owner"/>
    <n v="13"/>
    <s v="Mid Range"/>
  </r>
  <r>
    <s v="Nissan Terrano XL Plus 85 PS"/>
    <x v="5"/>
    <n v="530000"/>
    <n v="55000"/>
    <x v="1"/>
    <x v="1"/>
    <x v="0"/>
    <s v="First Owner"/>
    <n v="11"/>
    <s v="Mid Range"/>
  </r>
  <r>
    <s v="BMW X1 sDrive20d M Sport"/>
    <x v="3"/>
    <n v="1485000"/>
    <n v="48000"/>
    <x v="1"/>
    <x v="1"/>
    <x v="1"/>
    <s v="First Owner"/>
    <n v="12"/>
    <s v="Premium"/>
  </r>
  <r>
    <s v="Chevrolet Enjoy TCDi LT 7 Seater"/>
    <x v="3"/>
    <n v="325000"/>
    <n v="71014"/>
    <x v="1"/>
    <x v="1"/>
    <x v="0"/>
    <s v="First Owner"/>
    <n v="12"/>
    <s v="Budget"/>
  </r>
  <r>
    <s v="Honda Amaze S Diesel"/>
    <x v="5"/>
    <n v="400000"/>
    <n v="60000"/>
    <x v="1"/>
    <x v="1"/>
    <x v="0"/>
    <s v="First Owner"/>
    <n v="11"/>
    <s v="Budget"/>
  </r>
  <r>
    <s v="Mahindra KUV 100 D75 K6 Plus"/>
    <x v="2"/>
    <n v="380000"/>
    <n v="71000"/>
    <x v="1"/>
    <x v="1"/>
    <x v="0"/>
    <s v="First Owner"/>
    <n v="9"/>
    <s v="Budget"/>
  </r>
  <r>
    <s v="Honda City i-VTEC CVT VX"/>
    <x v="4"/>
    <n v="750000"/>
    <n v="45000"/>
    <x v="0"/>
    <x v="1"/>
    <x v="1"/>
    <s v="First Owner"/>
    <n v="10"/>
    <s v="Mid Range"/>
  </r>
  <r>
    <s v="Honda Brio VX"/>
    <x v="2"/>
    <n v="390000"/>
    <n v="45000"/>
    <x v="0"/>
    <x v="1"/>
    <x v="0"/>
    <s v="First Owner"/>
    <n v="9"/>
    <s v="Budget"/>
  </r>
  <r>
    <s v="MG Hector Sharp Diesel MT BSIV"/>
    <x v="7"/>
    <n v="1825000"/>
    <n v="14000"/>
    <x v="1"/>
    <x v="1"/>
    <x v="0"/>
    <s v="First Owner"/>
    <n v="7"/>
    <s v="Premium"/>
  </r>
  <r>
    <s v="Audi A4 35 TDI Premium Plus"/>
    <x v="7"/>
    <n v="3256000"/>
    <n v="17000"/>
    <x v="1"/>
    <x v="1"/>
    <x v="1"/>
    <s v="First Owner"/>
    <n v="7"/>
    <s v="Premium"/>
  </r>
  <r>
    <s v="Renault Scala Diesel RxL"/>
    <x v="5"/>
    <n v="370000"/>
    <n v="60000"/>
    <x v="1"/>
    <x v="1"/>
    <x v="0"/>
    <s v="First Owner"/>
    <n v="11"/>
    <s v="Budget"/>
  </r>
  <r>
    <s v="Chevrolet Beat Diesel LT"/>
    <x v="8"/>
    <n v="210000"/>
    <n v="80000"/>
    <x v="1"/>
    <x v="0"/>
    <x v="0"/>
    <s v="Second Owner"/>
    <n v="13"/>
    <s v="Budget"/>
  </r>
  <r>
    <s v="Skoda Laura Ambiente 1.9 PD"/>
    <x v="0"/>
    <n v="175000"/>
    <n v="181000"/>
    <x v="1"/>
    <x v="0"/>
    <x v="0"/>
    <s v="Fourth &amp; Above Owner"/>
    <n v="19"/>
    <s v="Budget"/>
  </r>
  <r>
    <s v="Hyundai Verna 1.6 SX CRDi (O)"/>
    <x v="1"/>
    <n v="575000"/>
    <n v="89550"/>
    <x v="1"/>
    <x v="0"/>
    <x v="0"/>
    <s v="Second Owner"/>
    <n v="14"/>
    <s v="Mid Range"/>
  </r>
  <r>
    <s v="Mahindra Xylo D4"/>
    <x v="10"/>
    <n v="320000"/>
    <n v="90000"/>
    <x v="1"/>
    <x v="0"/>
    <x v="0"/>
    <s v="Third Owner"/>
    <n v="16"/>
    <s v="Budget"/>
  </r>
  <r>
    <s v="Maruti Swift Ldi BSIV"/>
    <x v="10"/>
    <n v="280000"/>
    <n v="149500"/>
    <x v="1"/>
    <x v="0"/>
    <x v="0"/>
    <s v="Third Owner"/>
    <n v="16"/>
    <s v="Budget"/>
  </r>
  <r>
    <s v="Renault Duster 85PS Diesel RxL Optional"/>
    <x v="8"/>
    <n v="500000"/>
    <n v="190000"/>
    <x v="1"/>
    <x v="0"/>
    <x v="0"/>
    <s v="Second Owner"/>
    <n v="13"/>
    <s v="Mid Range"/>
  </r>
  <r>
    <s v="Ford Fiesta Diesel Style"/>
    <x v="8"/>
    <n v="380000"/>
    <n v="83000"/>
    <x v="1"/>
    <x v="1"/>
    <x v="0"/>
    <s v="First Owner"/>
    <n v="13"/>
    <s v="Budget"/>
  </r>
  <r>
    <s v="Maruti 800 AC BSIII"/>
    <x v="14"/>
    <n v="120000"/>
    <n v="20000"/>
    <x v="0"/>
    <x v="0"/>
    <x v="0"/>
    <s v="Second Owner"/>
    <n v="21"/>
    <s v="Budget"/>
  </r>
  <r>
    <s v="Maruti Eeco 5 Seater AC BSIV"/>
    <x v="6"/>
    <n v="395000"/>
    <n v="20000"/>
    <x v="0"/>
    <x v="0"/>
    <x v="0"/>
    <s v="First Owner"/>
    <n v="8"/>
    <s v="Budget"/>
  </r>
  <r>
    <s v="Skoda Laura 1.9 TDI MT Ambiente"/>
    <x v="10"/>
    <n v="360000"/>
    <n v="160000"/>
    <x v="1"/>
    <x v="0"/>
    <x v="0"/>
    <s v="First Owner"/>
    <n v="16"/>
    <s v="Budget"/>
  </r>
  <r>
    <s v="Nissan Terrano XL Plus 85 PS"/>
    <x v="5"/>
    <n v="451000"/>
    <n v="100000"/>
    <x v="1"/>
    <x v="0"/>
    <x v="0"/>
    <s v="First Owner"/>
    <n v="11"/>
    <s v="Budget"/>
  </r>
  <r>
    <s v="Chevrolet Spark 1.0 LS"/>
    <x v="10"/>
    <n v="175000"/>
    <n v="45000"/>
    <x v="0"/>
    <x v="0"/>
    <x v="0"/>
    <s v="Second Owner"/>
    <n v="16"/>
    <s v="Budget"/>
  </r>
  <r>
    <s v="Chevrolet Spark 1.0 LS"/>
    <x v="11"/>
    <n v="170000"/>
    <n v="44800"/>
    <x v="0"/>
    <x v="0"/>
    <x v="0"/>
    <s v="Second Owner"/>
    <n v="17"/>
    <s v="Budget"/>
  </r>
  <r>
    <s v="Hyundai Santro Xing XL eRLX Euro III"/>
    <x v="12"/>
    <n v="100000"/>
    <n v="40000"/>
    <x v="0"/>
    <x v="0"/>
    <x v="0"/>
    <s v="Second Owner"/>
    <n v="20"/>
    <s v="Budget"/>
  </r>
  <r>
    <s v="Maruti Omni MPI STD BSIV"/>
    <x v="3"/>
    <n v="150000"/>
    <n v="120000"/>
    <x v="0"/>
    <x v="0"/>
    <x v="0"/>
    <s v="Third Owner"/>
    <n v="12"/>
    <s v="Budget"/>
  </r>
  <r>
    <s v="Tata Indica Vista Quadrajet LX"/>
    <x v="9"/>
    <n v="149000"/>
    <n v="10000"/>
    <x v="1"/>
    <x v="0"/>
    <x v="0"/>
    <s v="Second Owner"/>
    <n v="15"/>
    <s v="Budget"/>
  </r>
  <r>
    <s v="Tata Indica Vista Aqua 1.3 Quadrajet"/>
    <x v="9"/>
    <n v="160000"/>
    <n v="80000"/>
    <x v="1"/>
    <x v="0"/>
    <x v="0"/>
    <s v="Second Owner"/>
    <n v="15"/>
    <s v="Budget"/>
  </r>
  <r>
    <s v="Mahindra XUV500 W8 4WD"/>
    <x v="3"/>
    <n v="800000"/>
    <n v="156000"/>
    <x v="1"/>
    <x v="0"/>
    <x v="0"/>
    <s v="First Owner"/>
    <n v="12"/>
    <s v="Mid Range"/>
  </r>
  <r>
    <s v="Toyota Innova 2.5 VX (Diesel) 7 Seater BS IV"/>
    <x v="10"/>
    <n v="819999"/>
    <n v="120000"/>
    <x v="1"/>
    <x v="0"/>
    <x v="0"/>
    <s v="Second Owner"/>
    <n v="16"/>
    <s v="Mid Range"/>
  </r>
  <r>
    <s v="Maruti Baleno Vxi"/>
    <x v="0"/>
    <n v="163000"/>
    <n v="100000"/>
    <x v="0"/>
    <x v="0"/>
    <x v="0"/>
    <s v="Second Owner"/>
    <n v="19"/>
    <s v="Budget"/>
  </r>
  <r>
    <s v="Mercedes-Benz E-Class 220 CDI"/>
    <x v="23"/>
    <n v="350000"/>
    <n v="100000"/>
    <x v="1"/>
    <x v="0"/>
    <x v="0"/>
    <s v="Second Owner"/>
    <n v="25"/>
    <s v="Budget"/>
  </r>
  <r>
    <s v="Tata Indica GLS BS IV"/>
    <x v="12"/>
    <n v="75000"/>
    <n v="100000"/>
    <x v="0"/>
    <x v="0"/>
    <x v="0"/>
    <s v="Second Owner"/>
    <n v="20"/>
    <s v="Budget"/>
  </r>
  <r>
    <s v="Maruti Alto LXi"/>
    <x v="1"/>
    <n v="180000"/>
    <n v="60000"/>
    <x v="0"/>
    <x v="0"/>
    <x v="0"/>
    <s v="Second Owner"/>
    <n v="14"/>
    <s v="Budget"/>
  </r>
  <r>
    <s v="Ford Figo Aspire 1.5 TDCi Trend"/>
    <x v="2"/>
    <n v="675000"/>
    <n v="30000"/>
    <x v="1"/>
    <x v="0"/>
    <x v="0"/>
    <s v="First Owner"/>
    <n v="9"/>
    <s v="Mid Range"/>
  </r>
  <r>
    <s v="Maruti Swift VDI"/>
    <x v="8"/>
    <n v="400000"/>
    <n v="170000"/>
    <x v="1"/>
    <x v="0"/>
    <x v="0"/>
    <s v="First Owner"/>
    <n v="13"/>
    <s v="Budget"/>
  </r>
  <r>
    <s v="Volkswagen Polo Diesel Highline 1.2L"/>
    <x v="8"/>
    <n v="434999"/>
    <n v="100000"/>
    <x v="1"/>
    <x v="0"/>
    <x v="0"/>
    <s v="Second Owner"/>
    <n v="13"/>
    <s v="Budget"/>
  </r>
  <r>
    <s v="Tata Indigo GLX"/>
    <x v="12"/>
    <n v="100000"/>
    <n v="110000"/>
    <x v="0"/>
    <x v="0"/>
    <x v="0"/>
    <s v="Second Owner"/>
    <n v="20"/>
    <s v="Budget"/>
  </r>
  <r>
    <s v="Maruti Swift Dzire LDI Optional"/>
    <x v="5"/>
    <n v="419000"/>
    <n v="170000"/>
    <x v="1"/>
    <x v="0"/>
    <x v="0"/>
    <s v="Second Owner"/>
    <n v="11"/>
    <s v="Budget"/>
  </r>
  <r>
    <s v="Tata Indica GLS BS IV"/>
    <x v="11"/>
    <n v="200000"/>
    <n v="100000"/>
    <x v="0"/>
    <x v="0"/>
    <x v="0"/>
    <s v="First Owner"/>
    <n v="17"/>
    <s v="Budget"/>
  </r>
  <r>
    <s v="Renault Scala Diesel RxL"/>
    <x v="3"/>
    <n v="400000"/>
    <n v="35000"/>
    <x v="1"/>
    <x v="0"/>
    <x v="0"/>
    <s v="First Owner"/>
    <n v="12"/>
    <s v="Budget"/>
  </r>
  <r>
    <s v="Ford EcoSport 1.5 Diesel Ambiente BSIV"/>
    <x v="6"/>
    <n v="790000"/>
    <n v="40000"/>
    <x v="1"/>
    <x v="0"/>
    <x v="0"/>
    <s v="Second Owner"/>
    <n v="8"/>
    <s v="Mid Range"/>
  </r>
  <r>
    <s v="Renault Duster 85PS Diesel RxL Plus"/>
    <x v="5"/>
    <n v="500000"/>
    <n v="90000"/>
    <x v="1"/>
    <x v="0"/>
    <x v="0"/>
    <s v="Second Owner"/>
    <n v="11"/>
    <s v="Mid Range"/>
  </r>
  <r>
    <s v="Skoda Rapid 1.6 TDI Elegance"/>
    <x v="1"/>
    <n v="275000"/>
    <n v="120000"/>
    <x v="1"/>
    <x v="0"/>
    <x v="0"/>
    <s v="Second Owner"/>
    <n v="14"/>
    <s v="Budget"/>
  </r>
  <r>
    <s v="Hyundai i20 1.4 CRDi Sportz"/>
    <x v="1"/>
    <n v="450000"/>
    <n v="120000"/>
    <x v="1"/>
    <x v="0"/>
    <x v="0"/>
    <s v="Second Owner"/>
    <n v="14"/>
    <s v="Budget"/>
  </r>
  <r>
    <s v="Maruti Wagon R VXI"/>
    <x v="4"/>
    <n v="360000"/>
    <n v="33000"/>
    <x v="0"/>
    <x v="1"/>
    <x v="0"/>
    <s v="First Owner"/>
    <n v="10"/>
    <s v="Budget"/>
  </r>
  <r>
    <s v="Maruti Alto LXi BSIII"/>
    <x v="10"/>
    <n v="210000"/>
    <n v="25000"/>
    <x v="0"/>
    <x v="0"/>
    <x v="0"/>
    <s v="First Owner"/>
    <n v="16"/>
    <s v="Budget"/>
  </r>
  <r>
    <s v="Maruti Alto K10 LXI"/>
    <x v="3"/>
    <n v="220000"/>
    <n v="66000"/>
    <x v="0"/>
    <x v="1"/>
    <x v="0"/>
    <s v="First Owner"/>
    <n v="12"/>
    <s v="Budget"/>
  </r>
  <r>
    <s v="Chevrolet Aveo 1.4 LT BSIV"/>
    <x v="11"/>
    <n v="250000"/>
    <n v="48000"/>
    <x v="0"/>
    <x v="0"/>
    <x v="0"/>
    <s v="First Owner"/>
    <n v="17"/>
    <s v="Budget"/>
  </r>
  <r>
    <s v="Toyota Innova 2.5 G (Diesel) 8 Seater"/>
    <x v="4"/>
    <n v="990000"/>
    <n v="146000"/>
    <x v="1"/>
    <x v="1"/>
    <x v="0"/>
    <s v="First Owner"/>
    <n v="10"/>
    <s v="Mid Range"/>
  </r>
  <r>
    <s v="Mahindra Quanto C4"/>
    <x v="8"/>
    <n v="220000"/>
    <n v="100000"/>
    <x v="1"/>
    <x v="0"/>
    <x v="0"/>
    <s v="Fourth &amp; Above Owner"/>
    <n v="13"/>
    <s v="Budget"/>
  </r>
  <r>
    <s v="Jaguar XF 3.0 Litre S Premium Luxury"/>
    <x v="1"/>
    <n v="1800000"/>
    <n v="50000"/>
    <x v="1"/>
    <x v="0"/>
    <x v="1"/>
    <s v="Second Owner"/>
    <n v="14"/>
    <s v="Premium"/>
  </r>
  <r>
    <s v="Honda City i VTEC V"/>
    <x v="3"/>
    <n v="530000"/>
    <n v="50000"/>
    <x v="0"/>
    <x v="0"/>
    <x v="0"/>
    <s v="First Owner"/>
    <n v="12"/>
    <s v="Mid Range"/>
  </r>
  <r>
    <s v="Maruti Baleno Alpha 1.3"/>
    <x v="4"/>
    <n v="575000"/>
    <n v="50000"/>
    <x v="1"/>
    <x v="0"/>
    <x v="0"/>
    <s v="First Owner"/>
    <n v="10"/>
    <s v="Mid Range"/>
  </r>
  <r>
    <s v="Mahindra Xylo E4"/>
    <x v="1"/>
    <n v="400000"/>
    <n v="99000"/>
    <x v="1"/>
    <x v="1"/>
    <x v="0"/>
    <s v="First Owner"/>
    <n v="14"/>
    <s v="Budget"/>
  </r>
  <r>
    <s v="Honda Mobilio S i DTEC"/>
    <x v="4"/>
    <n v="680000"/>
    <n v="50000"/>
    <x v="1"/>
    <x v="0"/>
    <x v="0"/>
    <s v="First Owner"/>
    <n v="10"/>
    <s v="Mid Range"/>
  </r>
  <r>
    <s v="Hyundai Santa Fe 4WD AT"/>
    <x v="3"/>
    <n v="1000000"/>
    <n v="80000"/>
    <x v="1"/>
    <x v="0"/>
    <x v="1"/>
    <s v="First Owner"/>
    <n v="12"/>
    <s v="Mid Range"/>
  </r>
  <r>
    <s v="Maruti Alto 800 LXI"/>
    <x v="4"/>
    <n v="260000"/>
    <n v="45000"/>
    <x v="0"/>
    <x v="0"/>
    <x v="0"/>
    <s v="Second Owner"/>
    <n v="10"/>
    <s v="Budget"/>
  </r>
  <r>
    <s v="Tata Manza Aura (ABS) Safire BS IV"/>
    <x v="10"/>
    <n v="150000"/>
    <n v="50000"/>
    <x v="0"/>
    <x v="0"/>
    <x v="0"/>
    <s v="Second Owner"/>
    <n v="16"/>
    <s v="Budget"/>
  </r>
  <r>
    <s v="Maruti Alto LXi BSIII"/>
    <x v="15"/>
    <n v="180000"/>
    <n v="70000"/>
    <x v="0"/>
    <x v="0"/>
    <x v="0"/>
    <s v="Third Owner"/>
    <n v="18"/>
    <s v="Budget"/>
  </r>
  <r>
    <s v="Force One EX"/>
    <x v="3"/>
    <n v="346000"/>
    <n v="37516"/>
    <x v="1"/>
    <x v="0"/>
    <x v="0"/>
    <s v="First Owner"/>
    <n v="12"/>
    <s v="Budget"/>
  </r>
  <r>
    <s v="Mahindra Xylo D2 BS IV"/>
    <x v="5"/>
    <n v="450000"/>
    <n v="20000"/>
    <x v="1"/>
    <x v="0"/>
    <x v="0"/>
    <s v="First Owner"/>
    <n v="11"/>
    <s v="Budget"/>
  </r>
  <r>
    <s v="Hyundai Grand i10 1.2 Kappa Sportz BSIV"/>
    <x v="7"/>
    <n v="500000"/>
    <n v="5000"/>
    <x v="0"/>
    <x v="0"/>
    <x v="0"/>
    <s v="First Owner"/>
    <n v="7"/>
    <s v="Mid Range"/>
  </r>
  <r>
    <s v="Hyundai Grand i10 1.2 CRDi Asta"/>
    <x v="7"/>
    <n v="700000"/>
    <n v="8000"/>
    <x v="1"/>
    <x v="0"/>
    <x v="0"/>
    <s v="First Owner"/>
    <n v="7"/>
    <s v="Mid Range"/>
  </r>
  <r>
    <s v="Maruti Alto 800 LXI"/>
    <x v="7"/>
    <n v="280000"/>
    <n v="25880"/>
    <x v="0"/>
    <x v="0"/>
    <x v="0"/>
    <s v="First Owner"/>
    <n v="7"/>
    <s v="Budget"/>
  </r>
  <r>
    <s v="Hyundai Santro Magna AMT BSIV"/>
    <x v="7"/>
    <n v="475000"/>
    <n v="10000"/>
    <x v="0"/>
    <x v="0"/>
    <x v="1"/>
    <s v="First Owner"/>
    <n v="7"/>
    <s v="Budget"/>
  </r>
  <r>
    <s v="Maruti Swift Dzire VDi"/>
    <x v="11"/>
    <n v="300000"/>
    <n v="50000"/>
    <x v="1"/>
    <x v="0"/>
    <x v="0"/>
    <s v="First Owner"/>
    <n v="17"/>
    <s v="Budget"/>
  </r>
  <r>
    <s v="Maruti Alto K10 LXI"/>
    <x v="3"/>
    <n v="200999"/>
    <n v="40000"/>
    <x v="0"/>
    <x v="0"/>
    <x v="0"/>
    <s v="First Owner"/>
    <n v="12"/>
    <s v="Budget"/>
  </r>
  <r>
    <s v="Skoda Laura 1.9 TDI MT Ambiente"/>
    <x v="11"/>
    <n v="200000"/>
    <n v="100000"/>
    <x v="1"/>
    <x v="0"/>
    <x v="0"/>
    <s v="Third Owner"/>
    <n v="17"/>
    <s v="Budget"/>
  </r>
  <r>
    <s v="Chevrolet Aveo U-VA 1.2 LS"/>
    <x v="11"/>
    <n v="210000"/>
    <n v="80000"/>
    <x v="0"/>
    <x v="0"/>
    <x v="0"/>
    <s v="Second Owner"/>
    <n v="17"/>
    <s v="Budget"/>
  </r>
  <r>
    <s v="Tata Indigo LS BSII"/>
    <x v="1"/>
    <n v="160000"/>
    <n v="110000"/>
    <x v="1"/>
    <x v="0"/>
    <x v="0"/>
    <s v="First Owner"/>
    <n v="14"/>
    <s v="Budget"/>
  </r>
  <r>
    <s v="Hyundai Verna CRDi SX ABS"/>
    <x v="11"/>
    <n v="175000"/>
    <n v="136000"/>
    <x v="1"/>
    <x v="0"/>
    <x v="0"/>
    <s v="Second Owner"/>
    <n v="17"/>
    <s v="Budget"/>
  </r>
  <r>
    <s v="Tata New Safari DICOR 2.2 GX 4x2 BS IV"/>
    <x v="1"/>
    <n v="320000"/>
    <n v="80000"/>
    <x v="1"/>
    <x v="0"/>
    <x v="0"/>
    <s v="First Owner"/>
    <n v="14"/>
    <s v="Budget"/>
  </r>
  <r>
    <s v="Maruti Alto LXi"/>
    <x v="11"/>
    <n v="110000"/>
    <n v="50000"/>
    <x v="0"/>
    <x v="0"/>
    <x v="0"/>
    <s v="Second Owner"/>
    <n v="17"/>
    <s v="Budget"/>
  </r>
  <r>
    <s v="Maruti Wagon R LXI Minor"/>
    <x v="15"/>
    <n v="300000"/>
    <n v="30000"/>
    <x v="0"/>
    <x v="0"/>
    <x v="0"/>
    <s v="First Owner"/>
    <n v="18"/>
    <s v="Budget"/>
  </r>
  <r>
    <s v="Honda City V MT"/>
    <x v="1"/>
    <n v="700000"/>
    <n v="10000"/>
    <x v="0"/>
    <x v="0"/>
    <x v="0"/>
    <s v="First Owner"/>
    <n v="14"/>
    <s v="Mid Range"/>
  </r>
  <r>
    <s v="Tata Indica Vista Aura 1.3 Quadrajet"/>
    <x v="11"/>
    <n v="135000"/>
    <n v="90000"/>
    <x v="1"/>
    <x v="0"/>
    <x v="0"/>
    <s v="Fourth &amp; Above Owner"/>
    <n v="17"/>
    <s v="Budget"/>
  </r>
  <r>
    <s v="Mahindra Bolero Power Plus Plus Non AC BSIV PS"/>
    <x v="5"/>
    <n v="500000"/>
    <n v="110000"/>
    <x v="1"/>
    <x v="0"/>
    <x v="0"/>
    <s v="First Owner"/>
    <n v="11"/>
    <s v="Mid Range"/>
  </r>
  <r>
    <s v="Mahindra Scorpio VLX 2WD AIRBAG BSIV"/>
    <x v="1"/>
    <n v="550000"/>
    <n v="120000"/>
    <x v="1"/>
    <x v="0"/>
    <x v="0"/>
    <s v="Second Owner"/>
    <n v="14"/>
    <s v="Mid Range"/>
  </r>
  <r>
    <s v="Toyota Innova 2.5 Z Diesel 7 Seater BS IV"/>
    <x v="3"/>
    <n v="1050000"/>
    <n v="90000"/>
    <x v="1"/>
    <x v="0"/>
    <x v="0"/>
    <s v="Third Owner"/>
    <n v="12"/>
    <s v="Premium"/>
  </r>
  <r>
    <s v="Honda City i VTEC V"/>
    <x v="4"/>
    <n v="500000"/>
    <n v="20000"/>
    <x v="0"/>
    <x v="0"/>
    <x v="0"/>
    <s v="First Owner"/>
    <n v="10"/>
    <s v="Mid Range"/>
  </r>
  <r>
    <s v="Maruti Ritz VDi"/>
    <x v="9"/>
    <n v="180000"/>
    <n v="90000"/>
    <x v="1"/>
    <x v="0"/>
    <x v="0"/>
    <s v="Second Owner"/>
    <n v="15"/>
    <s v="Budget"/>
  </r>
  <r>
    <s v="Hyundai Santro Xing GLS"/>
    <x v="10"/>
    <n v="170000"/>
    <n v="50000"/>
    <x v="0"/>
    <x v="0"/>
    <x v="0"/>
    <s v="Second Owner"/>
    <n v="16"/>
    <s v="Budget"/>
  </r>
  <r>
    <s v="Honda Brio 1.2 S Option MT"/>
    <x v="7"/>
    <n v="484999"/>
    <n v="9000"/>
    <x v="0"/>
    <x v="0"/>
    <x v="0"/>
    <s v="First Owner"/>
    <n v="7"/>
    <s v="Budget"/>
  </r>
  <r>
    <s v="Maruti A-Star Vxi"/>
    <x v="9"/>
    <n v="150000"/>
    <n v="70000"/>
    <x v="0"/>
    <x v="0"/>
    <x v="0"/>
    <s v="Second Owner"/>
    <n v="15"/>
    <s v="Budget"/>
  </r>
  <r>
    <s v="Maruti Alto K10 VXI Airbag"/>
    <x v="6"/>
    <n v="380000"/>
    <n v="25000"/>
    <x v="0"/>
    <x v="0"/>
    <x v="0"/>
    <s v="First Owner"/>
    <n v="8"/>
    <s v="Budget"/>
  </r>
  <r>
    <s v="Hyundai Santro Sportz BSIV"/>
    <x v="7"/>
    <n v="480000"/>
    <n v="10000"/>
    <x v="0"/>
    <x v="0"/>
    <x v="0"/>
    <s v="First Owner"/>
    <n v="7"/>
    <s v="Budget"/>
  </r>
  <r>
    <s v="Volkswagen Polo Diesel Highline 1.2L"/>
    <x v="9"/>
    <n v="290000"/>
    <n v="60000"/>
    <x v="1"/>
    <x v="0"/>
    <x v="0"/>
    <s v="Second Owner"/>
    <n v="15"/>
    <s v="Budget"/>
  </r>
  <r>
    <s v="Fiat Linea Dynamic"/>
    <x v="8"/>
    <n v="350000"/>
    <n v="70000"/>
    <x v="0"/>
    <x v="0"/>
    <x v="0"/>
    <s v="First Owner"/>
    <n v="13"/>
    <s v="Budget"/>
  </r>
  <r>
    <s v="Maruti Alto 800 LXI"/>
    <x v="3"/>
    <n v="110000"/>
    <n v="25000"/>
    <x v="0"/>
    <x v="0"/>
    <x v="0"/>
    <s v="First Owner"/>
    <n v="12"/>
    <s v="Budget"/>
  </r>
  <r>
    <s v="Hyundai Santro LE zipPlus"/>
    <x v="18"/>
    <n v="70000"/>
    <n v="80000"/>
    <x v="0"/>
    <x v="0"/>
    <x v="0"/>
    <s v="Third Owner"/>
    <n v="23"/>
    <s v="Budget"/>
  </r>
  <r>
    <s v="Volkswagen Vento Petrol Highline AT"/>
    <x v="9"/>
    <n v="300000"/>
    <n v="70000"/>
    <x v="0"/>
    <x v="0"/>
    <x v="1"/>
    <s v="Third Owner"/>
    <n v="15"/>
    <s v="Budget"/>
  </r>
  <r>
    <s v="Maruti Alto 800 LX"/>
    <x v="2"/>
    <n v="180000"/>
    <n v="60000"/>
    <x v="0"/>
    <x v="0"/>
    <x v="0"/>
    <s v="First Owner"/>
    <n v="9"/>
    <s v="Budget"/>
  </r>
  <r>
    <s v="Renault KWID RXL"/>
    <x v="20"/>
    <n v="300000"/>
    <n v="20000"/>
    <x v="0"/>
    <x v="0"/>
    <x v="0"/>
    <s v="First Owner"/>
    <n v="6"/>
    <s v="Budget"/>
  </r>
  <r>
    <s v="Maruti Baleno Delta 1.2"/>
    <x v="2"/>
    <n v="509000"/>
    <n v="60000"/>
    <x v="0"/>
    <x v="0"/>
    <x v="0"/>
    <s v="First Owner"/>
    <n v="9"/>
    <s v="Mid Range"/>
  </r>
  <r>
    <s v="Maruti SX4 S Cross DDiS 320 Zeta"/>
    <x v="4"/>
    <n v="650000"/>
    <n v="80000"/>
    <x v="1"/>
    <x v="0"/>
    <x v="0"/>
    <s v="First Owner"/>
    <n v="10"/>
    <s v="Mid Range"/>
  </r>
  <r>
    <s v="Maruti Swift VDI BSIV"/>
    <x v="5"/>
    <n v="450000"/>
    <n v="70000"/>
    <x v="1"/>
    <x v="0"/>
    <x v="0"/>
    <s v="Third Owner"/>
    <n v="11"/>
    <s v="Budget"/>
  </r>
  <r>
    <s v="Mahindra Jeep Classic"/>
    <x v="22"/>
    <n v="170000"/>
    <n v="2020"/>
    <x v="1"/>
    <x v="0"/>
    <x v="0"/>
    <s v="Second Owner"/>
    <n v="27"/>
    <s v="Budget"/>
  </r>
  <r>
    <s v="Mahindra Scorpio 2.6 Turbo 7 Str"/>
    <x v="0"/>
    <n v="210000"/>
    <n v="100000"/>
    <x v="1"/>
    <x v="0"/>
    <x v="0"/>
    <s v="Second Owner"/>
    <n v="19"/>
    <s v="Budget"/>
  </r>
  <r>
    <s v="Hyundai i20 Asta 1.4 CRDi"/>
    <x v="8"/>
    <n v="360000"/>
    <n v="80000"/>
    <x v="1"/>
    <x v="0"/>
    <x v="0"/>
    <s v="Second Owner"/>
    <n v="13"/>
    <s v="Budget"/>
  </r>
  <r>
    <s v="Toyota Innova 2.5 GX (Diesel) 7 Seater BS IV"/>
    <x v="9"/>
    <n v="495000"/>
    <n v="120000"/>
    <x v="1"/>
    <x v="0"/>
    <x v="0"/>
    <s v="Second Owner"/>
    <n v="15"/>
    <s v="Budget"/>
  </r>
  <r>
    <s v="Maruti Alto LX"/>
    <x v="12"/>
    <n v="105000"/>
    <n v="100000"/>
    <x v="0"/>
    <x v="0"/>
    <x v="0"/>
    <s v="Third Owner"/>
    <n v="20"/>
    <s v="Budget"/>
  </r>
  <r>
    <s v="Hyundai i20 Magna"/>
    <x v="10"/>
    <n v="270000"/>
    <n v="60000"/>
    <x v="0"/>
    <x v="0"/>
    <x v="0"/>
    <s v="Third Owner"/>
    <n v="16"/>
    <s v="Budget"/>
  </r>
  <r>
    <s v="Ford Figo Petrol LXI"/>
    <x v="10"/>
    <n v="130000"/>
    <n v="110000"/>
    <x v="0"/>
    <x v="0"/>
    <x v="0"/>
    <s v="First Owner"/>
    <n v="16"/>
    <s v="Budget"/>
  </r>
  <r>
    <s v="Honda City i DTEC S"/>
    <x v="3"/>
    <n v="700000"/>
    <n v="90000"/>
    <x v="1"/>
    <x v="0"/>
    <x v="0"/>
    <s v="Second Owner"/>
    <n v="12"/>
    <s v="Mid Range"/>
  </r>
  <r>
    <s v="Chevrolet Cruze LTZ"/>
    <x v="1"/>
    <n v="400000"/>
    <n v="40000"/>
    <x v="1"/>
    <x v="0"/>
    <x v="0"/>
    <s v="First Owner"/>
    <n v="14"/>
    <s v="Budget"/>
  </r>
  <r>
    <s v="Maruti Swift ZXI ABS"/>
    <x v="11"/>
    <n v="250000"/>
    <n v="60000"/>
    <x v="0"/>
    <x v="0"/>
    <x v="0"/>
    <s v="Second Owner"/>
    <n v="17"/>
    <s v="Budget"/>
  </r>
  <r>
    <s v="Honda Amaze VX i-DTEC"/>
    <x v="8"/>
    <n v="325000"/>
    <n v="94000"/>
    <x v="1"/>
    <x v="0"/>
    <x v="0"/>
    <s v="Second Owner"/>
    <n v="13"/>
    <s v="Budget"/>
  </r>
  <r>
    <s v="Maruti Alto LXi"/>
    <x v="15"/>
    <n v="69000"/>
    <n v="100000"/>
    <x v="0"/>
    <x v="0"/>
    <x v="0"/>
    <s v="First Owner"/>
    <n v="18"/>
    <s v="Budget"/>
  </r>
  <r>
    <s v="Mahindra Scorpio S11 BSIV"/>
    <x v="6"/>
    <n v="1380000"/>
    <n v="25000"/>
    <x v="1"/>
    <x v="0"/>
    <x v="0"/>
    <s v="First Owner"/>
    <n v="8"/>
    <s v="Premium"/>
  </r>
  <r>
    <s v="Maruti Zen Estilo VXI BSIII"/>
    <x v="0"/>
    <n v="90000"/>
    <n v="90000"/>
    <x v="0"/>
    <x v="0"/>
    <x v="0"/>
    <s v="First Owner"/>
    <n v="19"/>
    <s v="Budget"/>
  </r>
  <r>
    <s v="Mahindra XUV500 W6 1.99 mHawk"/>
    <x v="4"/>
    <n v="1000000"/>
    <n v="40000"/>
    <x v="1"/>
    <x v="0"/>
    <x v="0"/>
    <s v="First Owner"/>
    <n v="10"/>
    <s v="Mid Range"/>
  </r>
  <r>
    <s v="Hyundai Accent GLE CNG"/>
    <x v="10"/>
    <n v="145000"/>
    <n v="90000"/>
    <x v="2"/>
    <x v="0"/>
    <x v="0"/>
    <s v="Second Owner"/>
    <n v="16"/>
    <s v="Budget"/>
  </r>
  <r>
    <s v="Maruti Alto K10 LX"/>
    <x v="20"/>
    <n v="250000"/>
    <n v="1100"/>
    <x v="0"/>
    <x v="0"/>
    <x v="0"/>
    <s v="Fourth &amp; Above Owner"/>
    <n v="6"/>
    <s v="Budget"/>
  </r>
  <r>
    <s v="Maruti Swift VDI"/>
    <x v="9"/>
    <n v="256000"/>
    <n v="70000"/>
    <x v="1"/>
    <x v="0"/>
    <x v="0"/>
    <s v="Third Owner"/>
    <n v="15"/>
    <s v="Budget"/>
  </r>
  <r>
    <s v="Tata Indica DLS"/>
    <x v="14"/>
    <n v="70000"/>
    <n v="120000"/>
    <x v="1"/>
    <x v="0"/>
    <x v="0"/>
    <s v="First Owner"/>
    <n v="21"/>
    <s v="Budget"/>
  </r>
  <r>
    <s v="Maruti Wagon R VX"/>
    <x v="21"/>
    <n v="50000"/>
    <n v="88500"/>
    <x v="0"/>
    <x v="0"/>
    <x v="0"/>
    <s v="Fourth &amp; Above Owner"/>
    <n v="26"/>
    <s v="Budget"/>
  </r>
  <r>
    <s v="Renault KWID RXT"/>
    <x v="4"/>
    <n v="240000"/>
    <n v="70000"/>
    <x v="0"/>
    <x v="0"/>
    <x v="0"/>
    <s v="Second Owner"/>
    <n v="10"/>
    <s v="Budget"/>
  </r>
  <r>
    <s v="Tata Indica Vista Aqua 1.2 Safire BSIV"/>
    <x v="10"/>
    <n v="97000"/>
    <n v="128000"/>
    <x v="0"/>
    <x v="0"/>
    <x v="0"/>
    <s v="First Owner"/>
    <n v="16"/>
    <s v="Budget"/>
  </r>
  <r>
    <s v="Tata Indigo CR4"/>
    <x v="1"/>
    <n v="130000"/>
    <n v="120000"/>
    <x v="1"/>
    <x v="0"/>
    <x v="0"/>
    <s v="First Owner"/>
    <n v="14"/>
    <s v="Budget"/>
  </r>
  <r>
    <s v="Maruti Swift 1.3 VXi"/>
    <x v="11"/>
    <n v="199000"/>
    <n v="52536"/>
    <x v="0"/>
    <x v="0"/>
    <x v="0"/>
    <s v="First Owner"/>
    <n v="17"/>
    <s v="Budget"/>
  </r>
  <r>
    <s v="Honda Civic 1.8 S AT"/>
    <x v="12"/>
    <n v="125000"/>
    <n v="70000"/>
    <x v="0"/>
    <x v="0"/>
    <x v="1"/>
    <s v="First Owner"/>
    <n v="20"/>
    <s v="Budget"/>
  </r>
  <r>
    <s v="Hyundai Xcent 1.1 CRDi Base"/>
    <x v="5"/>
    <n v="420000"/>
    <n v="60000"/>
    <x v="1"/>
    <x v="0"/>
    <x v="0"/>
    <s v="First Owner"/>
    <n v="11"/>
    <s v="Budget"/>
  </r>
  <r>
    <s v="Mahindra NuvoSport N8"/>
    <x v="4"/>
    <n v="525000"/>
    <n v="110000"/>
    <x v="1"/>
    <x v="0"/>
    <x v="0"/>
    <s v="First Owner"/>
    <n v="10"/>
    <s v="Mid Range"/>
  </r>
  <r>
    <s v="Hyundai Santro Xing GLS"/>
    <x v="15"/>
    <n v="125000"/>
    <n v="85000"/>
    <x v="0"/>
    <x v="0"/>
    <x v="0"/>
    <s v="First Owner"/>
    <n v="18"/>
    <s v="Budget"/>
  </r>
  <r>
    <s v="Hyundai Verna Transform CRDi VGT SX ABS"/>
    <x v="10"/>
    <n v="325000"/>
    <n v="135000"/>
    <x v="1"/>
    <x v="0"/>
    <x v="0"/>
    <s v="First Owner"/>
    <n v="16"/>
    <s v="Budget"/>
  </r>
  <r>
    <s v="Volkswagen Vento New Diesel Highline"/>
    <x v="1"/>
    <n v="330000"/>
    <n v="86000"/>
    <x v="1"/>
    <x v="0"/>
    <x v="0"/>
    <s v="Fourth &amp; Above Owner"/>
    <n v="14"/>
    <s v="Budget"/>
  </r>
  <r>
    <s v="Maruti Wagon R LXI BS IV"/>
    <x v="10"/>
    <n v="110000"/>
    <n v="50000"/>
    <x v="0"/>
    <x v="0"/>
    <x v="0"/>
    <s v="First Owner"/>
    <n v="16"/>
    <s v="Budget"/>
  </r>
  <r>
    <s v="Maruti S-Presso VXI Plus"/>
    <x v="7"/>
    <n v="450000"/>
    <n v="1950"/>
    <x v="0"/>
    <x v="0"/>
    <x v="0"/>
    <s v="First Owner"/>
    <n v="7"/>
    <s v="Budget"/>
  </r>
  <r>
    <s v="Maruti Swift 1.3 VXi"/>
    <x v="14"/>
    <n v="85000"/>
    <n v="118400"/>
    <x v="0"/>
    <x v="0"/>
    <x v="0"/>
    <s v="First Owner"/>
    <n v="21"/>
    <s v="Budget"/>
  </r>
  <r>
    <s v="Honda Civic 1.8 S MT"/>
    <x v="0"/>
    <n v="229999"/>
    <n v="70000"/>
    <x v="0"/>
    <x v="0"/>
    <x v="0"/>
    <s v="Second Owner"/>
    <n v="19"/>
    <s v="Budget"/>
  </r>
  <r>
    <s v="Hyundai i10 Magna"/>
    <x v="1"/>
    <n v="250000"/>
    <n v="60000"/>
    <x v="0"/>
    <x v="0"/>
    <x v="0"/>
    <s v="Second Owner"/>
    <n v="14"/>
    <s v="Budget"/>
  </r>
  <r>
    <s v="Ford Ecosport 1.5 DV5 MT Titanium"/>
    <x v="5"/>
    <n v="650000"/>
    <n v="68000"/>
    <x v="1"/>
    <x v="0"/>
    <x v="0"/>
    <s v="First Owner"/>
    <n v="11"/>
    <s v="Mid Range"/>
  </r>
  <r>
    <s v="Toyota Etios Liva 1.2 VX"/>
    <x v="2"/>
    <n v="650000"/>
    <n v="6480"/>
    <x v="0"/>
    <x v="2"/>
    <x v="0"/>
    <s v="First Owner"/>
    <n v="9"/>
    <s v="Mid Range"/>
  </r>
  <r>
    <s v="Maruti Vitara Brezza VDi"/>
    <x v="2"/>
    <n v="750000"/>
    <n v="32077"/>
    <x v="1"/>
    <x v="2"/>
    <x v="0"/>
    <s v="First Owner"/>
    <n v="9"/>
    <s v="Mid Range"/>
  </r>
  <r>
    <s v="Toyota Yaris G"/>
    <x v="6"/>
    <n v="850000"/>
    <n v="19107"/>
    <x v="0"/>
    <x v="2"/>
    <x v="0"/>
    <s v="First Owner"/>
    <n v="8"/>
    <s v="Mid Range"/>
  </r>
  <r>
    <s v="Hyundai EON Era Plus Option"/>
    <x v="2"/>
    <n v="315000"/>
    <n v="18469"/>
    <x v="0"/>
    <x v="2"/>
    <x v="0"/>
    <s v="First Owner"/>
    <n v="9"/>
    <s v="Budget"/>
  </r>
  <r>
    <s v="Maruti Swift LXI Option"/>
    <x v="5"/>
    <n v="415000"/>
    <n v="28217"/>
    <x v="0"/>
    <x v="2"/>
    <x v="0"/>
    <s v="First Owner"/>
    <n v="11"/>
    <s v="Budget"/>
  </r>
  <r>
    <s v="Maruti Ciaz ZDi Plus"/>
    <x v="4"/>
    <n v="640000"/>
    <n v="72787"/>
    <x v="1"/>
    <x v="2"/>
    <x v="0"/>
    <s v="First Owner"/>
    <n v="10"/>
    <s v="Mid Range"/>
  </r>
  <r>
    <s v="Maruti Ciaz 1.4 Alpha"/>
    <x v="2"/>
    <n v="780000"/>
    <n v="31063"/>
    <x v="0"/>
    <x v="2"/>
    <x v="0"/>
    <s v="First Owner"/>
    <n v="9"/>
    <s v="Mid Range"/>
  </r>
  <r>
    <s v="Toyota Fortuner 4x2 AT"/>
    <x v="2"/>
    <n v="2595000"/>
    <n v="79641"/>
    <x v="1"/>
    <x v="2"/>
    <x v="1"/>
    <s v="First Owner"/>
    <n v="9"/>
    <s v="Premium"/>
  </r>
  <r>
    <s v="Hyundai Creta 1.6 CRDi SX"/>
    <x v="5"/>
    <n v="850000"/>
    <n v="58692"/>
    <x v="1"/>
    <x v="2"/>
    <x v="0"/>
    <s v="First Owner"/>
    <n v="11"/>
    <s v="Mid Range"/>
  </r>
  <r>
    <s v="Hyundai Creta 1.6 CRDi SX"/>
    <x v="5"/>
    <n v="900000"/>
    <n v="54784"/>
    <x v="1"/>
    <x v="2"/>
    <x v="0"/>
    <s v="First Owner"/>
    <n v="11"/>
    <s v="Mid Range"/>
  </r>
  <r>
    <s v="Toyota Corolla Altis GL MT"/>
    <x v="4"/>
    <n v="1150000"/>
    <n v="64156"/>
    <x v="0"/>
    <x v="2"/>
    <x v="0"/>
    <s v="First Owner"/>
    <n v="10"/>
    <s v="Premium"/>
  </r>
  <r>
    <s v="Maruti Esteem Lxi - BSIII"/>
    <x v="0"/>
    <n v="75000"/>
    <n v="54000"/>
    <x v="0"/>
    <x v="0"/>
    <x v="0"/>
    <s v="First Owner"/>
    <n v="19"/>
    <s v="Budget"/>
  </r>
  <r>
    <s v="Volkswagen Vento Diesel Comfortline"/>
    <x v="1"/>
    <n v="215000"/>
    <n v="97000"/>
    <x v="1"/>
    <x v="0"/>
    <x v="0"/>
    <s v="First Owner"/>
    <n v="14"/>
    <s v="Budget"/>
  </r>
  <r>
    <s v="Maruti SX4 ZXI AT"/>
    <x v="11"/>
    <n v="130000"/>
    <n v="120000"/>
    <x v="0"/>
    <x v="0"/>
    <x v="1"/>
    <s v="Second Owner"/>
    <n v="17"/>
    <s v="Budget"/>
  </r>
  <r>
    <s v="Hyundai Santro Magna AMT BSIV"/>
    <x v="7"/>
    <n v="400000"/>
    <n v="16000"/>
    <x v="0"/>
    <x v="0"/>
    <x v="1"/>
    <s v="First Owner"/>
    <n v="7"/>
    <s v="Budget"/>
  </r>
  <r>
    <s v="Maruti Swift Dzire AMT ZXI"/>
    <x v="7"/>
    <n v="550000"/>
    <n v="60000"/>
    <x v="0"/>
    <x v="0"/>
    <x v="1"/>
    <s v="First Owner"/>
    <n v="7"/>
    <s v="Mid Range"/>
  </r>
  <r>
    <s v="Chevrolet Beat LT"/>
    <x v="4"/>
    <n v="245000"/>
    <n v="52000"/>
    <x v="0"/>
    <x v="1"/>
    <x v="0"/>
    <s v="First Owner"/>
    <n v="10"/>
    <s v="Budget"/>
  </r>
  <r>
    <s v="Maruti Swift VDI BSIV"/>
    <x v="10"/>
    <n v="320000"/>
    <n v="110000"/>
    <x v="1"/>
    <x v="0"/>
    <x v="0"/>
    <s v="Fourth &amp; Above Owner"/>
    <n v="16"/>
    <s v="Budget"/>
  </r>
  <r>
    <s v="Mahindra TUV 300 T8 AMT"/>
    <x v="4"/>
    <n v="730000"/>
    <n v="60000"/>
    <x v="1"/>
    <x v="0"/>
    <x v="1"/>
    <s v="Second Owner"/>
    <n v="10"/>
    <s v="Mid Range"/>
  </r>
  <r>
    <s v="Ford Fusion 1.6 Duratec Petrol"/>
    <x v="14"/>
    <n v="120000"/>
    <n v="100000"/>
    <x v="0"/>
    <x v="0"/>
    <x v="0"/>
    <s v="Third Owner"/>
    <n v="21"/>
    <s v="Budget"/>
  </r>
  <r>
    <s v="Honda City i-VTEC VX"/>
    <x v="2"/>
    <n v="950000"/>
    <n v="35000"/>
    <x v="0"/>
    <x v="0"/>
    <x v="0"/>
    <s v="First Owner"/>
    <n v="9"/>
    <s v="Mid Range"/>
  </r>
  <r>
    <s v="Maruti Wagon R VXI BS IV"/>
    <x v="2"/>
    <n v="350000"/>
    <n v="48000"/>
    <x v="0"/>
    <x v="0"/>
    <x v="0"/>
    <s v="Third Owner"/>
    <n v="9"/>
    <s v="Budget"/>
  </r>
  <r>
    <s v="Maruti Esteem Vxi"/>
    <x v="14"/>
    <n v="100000"/>
    <n v="20000"/>
    <x v="0"/>
    <x v="0"/>
    <x v="0"/>
    <s v="Second Owner"/>
    <n v="21"/>
    <s v="Budget"/>
  </r>
  <r>
    <s v="Maruti Wagon R VXI BS IV"/>
    <x v="2"/>
    <n v="350000"/>
    <n v="30000"/>
    <x v="0"/>
    <x v="0"/>
    <x v="0"/>
    <s v="First Owner"/>
    <n v="9"/>
    <s v="Budget"/>
  </r>
  <r>
    <s v="Maruti Wagon R VXI BSIII"/>
    <x v="14"/>
    <n v="80000"/>
    <n v="40000"/>
    <x v="0"/>
    <x v="0"/>
    <x v="0"/>
    <s v="Second Owner"/>
    <n v="21"/>
    <s v="Budget"/>
  </r>
  <r>
    <s v="Hyundai Verna 1.6 VTVT"/>
    <x v="8"/>
    <n v="370000"/>
    <n v="60000"/>
    <x v="0"/>
    <x v="0"/>
    <x v="0"/>
    <s v="First Owner"/>
    <n v="13"/>
    <s v="Budget"/>
  </r>
  <r>
    <s v="Hyundai EON D Lite Plus"/>
    <x v="1"/>
    <n v="160000"/>
    <n v="70000"/>
    <x v="0"/>
    <x v="0"/>
    <x v="0"/>
    <s v="Second Owner"/>
    <n v="14"/>
    <s v="Budget"/>
  </r>
  <r>
    <s v="Tata Sumo Victa EX 7/9 Str BSII"/>
    <x v="11"/>
    <n v="130000"/>
    <n v="120000"/>
    <x v="1"/>
    <x v="0"/>
    <x v="0"/>
    <s v="First Owner"/>
    <n v="17"/>
    <s v="Budget"/>
  </r>
  <r>
    <s v="Chevrolet Sail Hatchback 1.2 LS"/>
    <x v="4"/>
    <n v="250000"/>
    <n v="30000"/>
    <x v="0"/>
    <x v="0"/>
    <x v="0"/>
    <s v="First Owner"/>
    <n v="10"/>
    <s v="Budget"/>
  </r>
  <r>
    <s v="Tata New Safari DICOR 2.2 GX 4x2 BS IV"/>
    <x v="1"/>
    <n v="270000"/>
    <n v="80000"/>
    <x v="1"/>
    <x v="0"/>
    <x v="0"/>
    <s v="Second Owner"/>
    <n v="14"/>
    <s v="Budget"/>
  </r>
  <r>
    <s v="BMW X1 sDrive 20d xLine"/>
    <x v="7"/>
    <n v="2600000"/>
    <n v="9500"/>
    <x v="1"/>
    <x v="0"/>
    <x v="1"/>
    <s v="First Owner"/>
    <n v="7"/>
    <s v="Premium"/>
  </r>
  <r>
    <s v="Hyundai EON Era Plus"/>
    <x v="8"/>
    <n v="160000"/>
    <n v="80000"/>
    <x v="0"/>
    <x v="0"/>
    <x v="0"/>
    <s v="First Owner"/>
    <n v="13"/>
    <s v="Budget"/>
  </r>
  <r>
    <s v="Hyundai EON Magna Plus"/>
    <x v="4"/>
    <n v="229999"/>
    <n v="80000"/>
    <x v="0"/>
    <x v="0"/>
    <x v="0"/>
    <s v="First Owner"/>
    <n v="10"/>
    <s v="Budget"/>
  </r>
  <r>
    <s v="Mahindra Bolero Power Plus ZLX"/>
    <x v="2"/>
    <n v="750000"/>
    <n v="29000"/>
    <x v="1"/>
    <x v="0"/>
    <x v="0"/>
    <s v="First Owner"/>
    <n v="9"/>
    <s v="Mid Range"/>
  </r>
  <r>
    <s v="Chevrolet Optra Magnum 2.0 LS"/>
    <x v="9"/>
    <n v="195000"/>
    <n v="120000"/>
    <x v="1"/>
    <x v="0"/>
    <x v="0"/>
    <s v="First Owner"/>
    <n v="15"/>
    <s v="Budget"/>
  </r>
  <r>
    <s v="Datsun RediGO S"/>
    <x v="4"/>
    <n v="270000"/>
    <n v="22000"/>
    <x v="0"/>
    <x v="0"/>
    <x v="0"/>
    <s v="First Owner"/>
    <n v="10"/>
    <s v="Budget"/>
  </r>
  <r>
    <s v="Skoda Fabia 1.2 MPI Ambition Plus"/>
    <x v="1"/>
    <n v="300000"/>
    <n v="50000"/>
    <x v="0"/>
    <x v="0"/>
    <x v="0"/>
    <s v="First Owner"/>
    <n v="14"/>
    <s v="Budget"/>
  </r>
  <r>
    <s v="Chevrolet Beat Diesel LT"/>
    <x v="1"/>
    <n v="200000"/>
    <n v="50000"/>
    <x v="1"/>
    <x v="0"/>
    <x v="0"/>
    <s v="First Owner"/>
    <n v="14"/>
    <s v="Budget"/>
  </r>
  <r>
    <s v="Maruti Zen Estilo 1.1 LXI BSIII"/>
    <x v="0"/>
    <n v="120000"/>
    <n v="81366"/>
    <x v="0"/>
    <x v="0"/>
    <x v="0"/>
    <s v="First Owner"/>
    <n v="19"/>
    <s v="Budget"/>
  </r>
  <r>
    <s v="Maruti Esteem Vxi - BSIII"/>
    <x v="12"/>
    <n v="95000"/>
    <n v="110000"/>
    <x v="0"/>
    <x v="0"/>
    <x v="0"/>
    <s v="First Owner"/>
    <n v="20"/>
    <s v="Budget"/>
  </r>
  <r>
    <s v="Toyota Innova 2.5 G (Diesel) 8 Seater BS IV"/>
    <x v="12"/>
    <n v="229999"/>
    <n v="300000"/>
    <x v="1"/>
    <x v="0"/>
    <x v="0"/>
    <s v="First Owner"/>
    <n v="20"/>
    <s v="Budget"/>
  </r>
  <r>
    <s v="Renault Fluence 1.5"/>
    <x v="1"/>
    <n v="300000"/>
    <n v="90000"/>
    <x v="1"/>
    <x v="0"/>
    <x v="0"/>
    <s v="First Owner"/>
    <n v="14"/>
    <s v="Budget"/>
  </r>
  <r>
    <s v="Renault KWID RXT"/>
    <x v="4"/>
    <n v="200000"/>
    <n v="53000"/>
    <x v="0"/>
    <x v="0"/>
    <x v="0"/>
    <s v="Second Owner"/>
    <n v="10"/>
    <s v="Budget"/>
  </r>
  <r>
    <s v="Maruti Alto 800 LXI"/>
    <x v="2"/>
    <n v="250000"/>
    <n v="30000"/>
    <x v="0"/>
    <x v="0"/>
    <x v="0"/>
    <s v="First Owner"/>
    <n v="9"/>
    <s v="Budget"/>
  </r>
  <r>
    <s v="Maruti Swift Dzire 1.2 Vxi BSIV"/>
    <x v="1"/>
    <n v="368000"/>
    <n v="90000"/>
    <x v="0"/>
    <x v="0"/>
    <x v="0"/>
    <s v="Second Owner"/>
    <n v="14"/>
    <s v="Budget"/>
  </r>
  <r>
    <s v="Toyota Innova 2.5 GX (Diesel) 7 Seater"/>
    <x v="3"/>
    <n v="650000"/>
    <n v="244000"/>
    <x v="1"/>
    <x v="0"/>
    <x v="0"/>
    <s v="First Owner"/>
    <n v="12"/>
    <s v="Mid Range"/>
  </r>
  <r>
    <s v="Mahindra Jeep CL 500 MDI"/>
    <x v="25"/>
    <n v="150000"/>
    <n v="120000"/>
    <x v="1"/>
    <x v="0"/>
    <x v="0"/>
    <s v="Third Owner"/>
    <n v="29"/>
    <s v="Budget"/>
  </r>
  <r>
    <s v="Maruti Wagon R LXI DUO BS IV"/>
    <x v="1"/>
    <n v="180000"/>
    <n v="60000"/>
    <x v="3"/>
    <x v="0"/>
    <x v="0"/>
    <s v="First Owner"/>
    <n v="14"/>
    <s v="Budget"/>
  </r>
  <r>
    <s v="Hyundai Grand i10 1.2 Kappa Sportz Option"/>
    <x v="2"/>
    <n v="525000"/>
    <n v="15000"/>
    <x v="0"/>
    <x v="0"/>
    <x v="0"/>
    <s v="First Owner"/>
    <n v="9"/>
    <s v="Mid Range"/>
  </r>
  <r>
    <s v="Ford Endeavour 4x4 XLT"/>
    <x v="14"/>
    <n v="350000"/>
    <n v="150000"/>
    <x v="1"/>
    <x v="0"/>
    <x v="0"/>
    <s v="Second Owner"/>
    <n v="21"/>
    <s v="Budget"/>
  </r>
  <r>
    <s v="Mahindra TUV 300 Plus P4"/>
    <x v="6"/>
    <n v="850000"/>
    <n v="30000"/>
    <x v="1"/>
    <x v="0"/>
    <x v="0"/>
    <s v="Second Owner"/>
    <n v="8"/>
    <s v="Mid Range"/>
  </r>
  <r>
    <s v="Volkswagen Jetta 2.0 TDI Comfortline"/>
    <x v="9"/>
    <n v="350000"/>
    <n v="312000"/>
    <x v="1"/>
    <x v="0"/>
    <x v="0"/>
    <s v="Third Owner"/>
    <n v="15"/>
    <s v="Budget"/>
  </r>
  <r>
    <s v="Maruti Swift 1.3 VXi"/>
    <x v="14"/>
    <n v="160000"/>
    <n v="67000"/>
    <x v="0"/>
    <x v="0"/>
    <x v="0"/>
    <s v="First Owner"/>
    <n v="21"/>
    <s v="Budget"/>
  </r>
  <r>
    <s v="Maruti Swift LDI Optional"/>
    <x v="2"/>
    <n v="500000"/>
    <n v="40000"/>
    <x v="1"/>
    <x v="0"/>
    <x v="0"/>
    <s v="First Owner"/>
    <n v="9"/>
    <s v="Mid Range"/>
  </r>
  <r>
    <s v="Hyundai Santro Xing GLS"/>
    <x v="15"/>
    <n v="130000"/>
    <n v="100000"/>
    <x v="0"/>
    <x v="0"/>
    <x v="0"/>
    <s v="First Owner"/>
    <n v="18"/>
    <s v="Budget"/>
  </r>
  <r>
    <s v="Tata Zest Quadrajet 1.3 75PS XE"/>
    <x v="5"/>
    <n v="350000"/>
    <n v="100000"/>
    <x v="1"/>
    <x v="0"/>
    <x v="0"/>
    <s v="Second Owner"/>
    <n v="11"/>
    <s v="Budget"/>
  </r>
  <r>
    <s v="Maruti Wagon R LXI"/>
    <x v="14"/>
    <n v="70000"/>
    <n v="80000"/>
    <x v="0"/>
    <x v="0"/>
    <x v="0"/>
    <s v="First Owner"/>
    <n v="21"/>
    <s v="Budget"/>
  </r>
  <r>
    <s v="Toyota Innova 2.5 G (Diesel) 7 Seater"/>
    <x v="3"/>
    <n v="750000"/>
    <n v="145000"/>
    <x v="1"/>
    <x v="0"/>
    <x v="0"/>
    <s v="Second Owner"/>
    <n v="12"/>
    <s v="Mid Range"/>
  </r>
  <r>
    <s v="Honda Amaze VX i-DTEC"/>
    <x v="8"/>
    <n v="450000"/>
    <n v="53000"/>
    <x v="1"/>
    <x v="0"/>
    <x v="0"/>
    <s v="First Owner"/>
    <n v="13"/>
    <s v="Budget"/>
  </r>
  <r>
    <s v="Maruti Swift Dzire LDI"/>
    <x v="5"/>
    <n v="430000"/>
    <n v="73000"/>
    <x v="1"/>
    <x v="0"/>
    <x v="0"/>
    <s v="Third Owner"/>
    <n v="11"/>
    <s v="Budget"/>
  </r>
  <r>
    <s v="Maruti SX4 VDI"/>
    <x v="9"/>
    <n v="260000"/>
    <n v="90000"/>
    <x v="1"/>
    <x v="0"/>
    <x v="0"/>
    <s v="Third Owner"/>
    <n v="15"/>
    <s v="Budget"/>
  </r>
  <r>
    <s v="Maruti Swift VDI"/>
    <x v="8"/>
    <n v="370000"/>
    <n v="80000"/>
    <x v="1"/>
    <x v="0"/>
    <x v="0"/>
    <s v="Third Owner"/>
    <n v="13"/>
    <s v="Budget"/>
  </r>
  <r>
    <s v="Chevrolet Aveo 1.4 CNG"/>
    <x v="9"/>
    <n v="229999"/>
    <n v="100000"/>
    <x v="2"/>
    <x v="0"/>
    <x v="0"/>
    <s v="First Owner"/>
    <n v="15"/>
    <s v="Budget"/>
  </r>
  <r>
    <s v="Ford Figo Diesel EXI"/>
    <x v="9"/>
    <n v="140000"/>
    <n v="90000"/>
    <x v="1"/>
    <x v="0"/>
    <x v="0"/>
    <s v="Third Owner"/>
    <n v="15"/>
    <s v="Budget"/>
  </r>
  <r>
    <s v="Toyota Innova 2.5 G (Diesel) 7 Seater"/>
    <x v="8"/>
    <n v="700000"/>
    <n v="200000"/>
    <x v="1"/>
    <x v="0"/>
    <x v="0"/>
    <s v="First Owner"/>
    <n v="13"/>
    <s v="Mid Range"/>
  </r>
  <r>
    <s v="Hyundai Elite i20 Magna Plus BSIV"/>
    <x v="20"/>
    <n v="545000"/>
    <n v="7300"/>
    <x v="0"/>
    <x v="0"/>
    <x v="0"/>
    <s v="First Owner"/>
    <n v="6"/>
    <s v="Mid Range"/>
  </r>
  <r>
    <s v="Datsun RediGO T Option"/>
    <x v="2"/>
    <n v="200000"/>
    <n v="30000"/>
    <x v="0"/>
    <x v="0"/>
    <x v="0"/>
    <s v="First Owner"/>
    <n v="9"/>
    <s v="Budget"/>
  </r>
  <r>
    <s v="Tata Safari Storme VX"/>
    <x v="5"/>
    <n v="500000"/>
    <n v="120000"/>
    <x v="1"/>
    <x v="0"/>
    <x v="0"/>
    <s v="First Owner"/>
    <n v="11"/>
    <s v="Mid Range"/>
  </r>
  <r>
    <s v="Maruti Alto LXi"/>
    <x v="15"/>
    <n v="70000"/>
    <n v="90000"/>
    <x v="0"/>
    <x v="0"/>
    <x v="0"/>
    <s v="Second Owner"/>
    <n v="18"/>
    <s v="Budget"/>
  </r>
  <r>
    <s v="Mahindra Thar 4X4"/>
    <x v="8"/>
    <n v="580000"/>
    <n v="25000"/>
    <x v="1"/>
    <x v="0"/>
    <x v="0"/>
    <s v="Third Owner"/>
    <n v="13"/>
    <s v="Mid Range"/>
  </r>
  <r>
    <s v="Maruti Eeco 5 STR With AC Plus HTR CNG"/>
    <x v="1"/>
    <n v="160000"/>
    <n v="70000"/>
    <x v="2"/>
    <x v="0"/>
    <x v="0"/>
    <s v="Second Owner"/>
    <n v="14"/>
    <s v="Budget"/>
  </r>
  <r>
    <s v="Maruti Alto LXi"/>
    <x v="10"/>
    <n v="160000"/>
    <n v="36000"/>
    <x v="0"/>
    <x v="0"/>
    <x v="0"/>
    <s v="First Owner"/>
    <n v="16"/>
    <s v="Budget"/>
  </r>
  <r>
    <s v="Maruti Ertiga SHVS ZDI Plus"/>
    <x v="4"/>
    <n v="760000"/>
    <n v="49000"/>
    <x v="1"/>
    <x v="0"/>
    <x v="0"/>
    <s v="First Owner"/>
    <n v="10"/>
    <s v="Mid Range"/>
  </r>
  <r>
    <s v="Hyundai EON Magna Optional"/>
    <x v="5"/>
    <n v="300000"/>
    <n v="22000"/>
    <x v="0"/>
    <x v="0"/>
    <x v="0"/>
    <s v="First Owner"/>
    <n v="11"/>
    <s v="Budget"/>
  </r>
  <r>
    <s v="Maruti Omni 5 Str STD LPG"/>
    <x v="17"/>
    <n v="50000"/>
    <n v="35000"/>
    <x v="3"/>
    <x v="0"/>
    <x v="0"/>
    <s v="Second Owner"/>
    <n v="28"/>
    <s v="Budget"/>
  </r>
  <r>
    <s v="Mahindra Bolero 2011-2019 SLX"/>
    <x v="7"/>
    <n v="800000"/>
    <n v="24000"/>
    <x v="1"/>
    <x v="0"/>
    <x v="0"/>
    <s v="First Owner"/>
    <n v="7"/>
    <s v="Mid Range"/>
  </r>
  <r>
    <s v="Maruti Swift Dzire VDI"/>
    <x v="6"/>
    <n v="680000"/>
    <n v="20000"/>
    <x v="1"/>
    <x v="0"/>
    <x v="0"/>
    <s v="First Owner"/>
    <n v="8"/>
    <s v="Mid Range"/>
  </r>
  <r>
    <s v="Maruti 800 DUO AC LPG"/>
    <x v="11"/>
    <n v="85000"/>
    <n v="50000"/>
    <x v="3"/>
    <x v="0"/>
    <x v="0"/>
    <s v="Second Owner"/>
    <n v="17"/>
    <s v="Budget"/>
  </r>
  <r>
    <s v="Toyota Innova Crysta 2.4 G MT BSIV"/>
    <x v="4"/>
    <n v="1300000"/>
    <n v="70000"/>
    <x v="1"/>
    <x v="0"/>
    <x v="0"/>
    <s v="First Owner"/>
    <n v="10"/>
    <s v="Premium"/>
  </r>
  <r>
    <s v="Maruti Swift VXI BSIV"/>
    <x v="4"/>
    <n v="500000"/>
    <n v="60000"/>
    <x v="0"/>
    <x v="0"/>
    <x v="0"/>
    <s v="First Owner"/>
    <n v="10"/>
    <s v="Mid Range"/>
  </r>
  <r>
    <s v="Audi Q5 2.0 TDI"/>
    <x v="5"/>
    <n v="3500000"/>
    <n v="35000"/>
    <x v="1"/>
    <x v="0"/>
    <x v="1"/>
    <s v="First Owner"/>
    <n v="11"/>
    <s v="Premium"/>
  </r>
  <r>
    <s v="Hyundai Accent GLX"/>
    <x v="15"/>
    <n v="145000"/>
    <n v="60000"/>
    <x v="0"/>
    <x v="0"/>
    <x v="0"/>
    <s v="First Owner"/>
    <n v="18"/>
    <s v="Budget"/>
  </r>
  <r>
    <s v="Mahindra Quanto C6"/>
    <x v="8"/>
    <n v="300000"/>
    <n v="60000"/>
    <x v="1"/>
    <x v="0"/>
    <x v="0"/>
    <s v="First Owner"/>
    <n v="13"/>
    <s v="Budget"/>
  </r>
  <r>
    <s v="Maruti Swift VDI Optional"/>
    <x v="2"/>
    <n v="600000"/>
    <n v="60000"/>
    <x v="1"/>
    <x v="0"/>
    <x v="0"/>
    <s v="Second Owner"/>
    <n v="9"/>
    <s v="Mid Range"/>
  </r>
  <r>
    <s v="Maruti Swift Dzire VXI"/>
    <x v="5"/>
    <n v="400000"/>
    <n v="70000"/>
    <x v="0"/>
    <x v="0"/>
    <x v="0"/>
    <s v="Second Owner"/>
    <n v="11"/>
    <s v="Budget"/>
  </r>
  <r>
    <s v="Hyundai Santro Xing XK eRLX EuroIII"/>
    <x v="0"/>
    <n v="130000"/>
    <n v="135000"/>
    <x v="0"/>
    <x v="0"/>
    <x v="0"/>
    <s v="Second Owner"/>
    <n v="19"/>
    <s v="Budget"/>
  </r>
  <r>
    <s v="Maruti 800 AC BSII"/>
    <x v="23"/>
    <n v="45000"/>
    <n v="72539"/>
    <x v="0"/>
    <x v="0"/>
    <x v="0"/>
    <s v="Second Owner"/>
    <n v="25"/>
    <s v="Budget"/>
  </r>
  <r>
    <s v="Maruti Baleno Zeta 1.2"/>
    <x v="2"/>
    <n v="641000"/>
    <n v="25000"/>
    <x v="0"/>
    <x v="0"/>
    <x v="0"/>
    <s v="First Owner"/>
    <n v="9"/>
    <s v="Mid Range"/>
  </r>
  <r>
    <s v="Maruti Swift Dzire VDI"/>
    <x v="5"/>
    <n v="650000"/>
    <n v="50000"/>
    <x v="1"/>
    <x v="0"/>
    <x v="0"/>
    <s v="First Owner"/>
    <n v="11"/>
    <s v="Mid Range"/>
  </r>
  <r>
    <s v="Ford Freestyle Titanium Diesel"/>
    <x v="20"/>
    <n v="784000"/>
    <n v="101"/>
    <x v="1"/>
    <x v="1"/>
    <x v="0"/>
    <s v="Test Drive Car"/>
    <n v="6"/>
    <s v="Mid Range"/>
  </r>
  <r>
    <s v="Ford Figo Titanium"/>
    <x v="20"/>
    <n v="635000"/>
    <n v="101"/>
    <x v="0"/>
    <x v="1"/>
    <x v="0"/>
    <s v="Test Drive Car"/>
    <n v="6"/>
    <s v="Mid Range"/>
  </r>
  <r>
    <s v="Ford Ecosport 1.5 Diesel Titanium"/>
    <x v="20"/>
    <n v="1000000"/>
    <n v="101"/>
    <x v="1"/>
    <x v="1"/>
    <x v="0"/>
    <s v="Test Drive Car"/>
    <n v="6"/>
    <s v="Mid Range"/>
  </r>
  <r>
    <s v="Ford Figo 1.5D Titanium Opt MT"/>
    <x v="5"/>
    <n v="495000"/>
    <n v="52328"/>
    <x v="1"/>
    <x v="1"/>
    <x v="0"/>
    <s v="First Owner"/>
    <n v="11"/>
    <s v="Budget"/>
  </r>
  <r>
    <s v="Hyundai Santro Xing GLS"/>
    <x v="8"/>
    <n v="324000"/>
    <n v="30000"/>
    <x v="0"/>
    <x v="0"/>
    <x v="0"/>
    <s v="First Owner"/>
    <n v="13"/>
    <s v="Budget"/>
  </r>
  <r>
    <s v="Ford Endeavour 3.2 Titanium AT 4X4"/>
    <x v="4"/>
    <n v="2100000"/>
    <n v="91505"/>
    <x v="1"/>
    <x v="1"/>
    <x v="1"/>
    <s v="First Owner"/>
    <n v="10"/>
    <s v="Premium"/>
  </r>
  <r>
    <s v="Maruti Alto 800 LXI"/>
    <x v="6"/>
    <n v="200000"/>
    <n v="35000"/>
    <x v="0"/>
    <x v="0"/>
    <x v="0"/>
    <s v="First Owner"/>
    <n v="8"/>
    <s v="Budget"/>
  </r>
  <r>
    <s v="Maruti Swift Dzire VDI"/>
    <x v="5"/>
    <n v="320000"/>
    <n v="60000"/>
    <x v="1"/>
    <x v="0"/>
    <x v="0"/>
    <s v="First Owner"/>
    <n v="11"/>
    <s v="Budget"/>
  </r>
  <r>
    <s v="Hyundai EON Magna Optional"/>
    <x v="5"/>
    <n v="300000"/>
    <n v="20500"/>
    <x v="0"/>
    <x v="0"/>
    <x v="0"/>
    <s v="First Owner"/>
    <n v="11"/>
    <s v="Budget"/>
  </r>
  <r>
    <s v="Tata Indica Vista Quadrajet LX"/>
    <x v="8"/>
    <n v="180000"/>
    <n v="200000"/>
    <x v="1"/>
    <x v="0"/>
    <x v="0"/>
    <s v="First Owner"/>
    <n v="13"/>
    <s v="Budget"/>
  </r>
  <r>
    <s v="Toyota Innova 2.5 V Diesel 8-seater"/>
    <x v="15"/>
    <n v="500000"/>
    <n v="154000"/>
    <x v="1"/>
    <x v="0"/>
    <x v="0"/>
    <s v="Third Owner"/>
    <n v="18"/>
    <s v="Mid Range"/>
  </r>
  <r>
    <s v="Toyota Etios VX"/>
    <x v="9"/>
    <n v="305000"/>
    <n v="120000"/>
    <x v="0"/>
    <x v="0"/>
    <x v="0"/>
    <s v="Second Owner"/>
    <n v="15"/>
    <s v="Budget"/>
  </r>
  <r>
    <s v="Maruti 800 AC"/>
    <x v="11"/>
    <n v="125000"/>
    <n v="50000"/>
    <x v="0"/>
    <x v="0"/>
    <x v="0"/>
    <s v="Fourth &amp; Above Owner"/>
    <n v="17"/>
    <s v="Budget"/>
  </r>
  <r>
    <s v="Maruti Swift Dzire ZDI"/>
    <x v="5"/>
    <n v="800000"/>
    <n v="135000"/>
    <x v="1"/>
    <x v="0"/>
    <x v="0"/>
    <s v="First Owner"/>
    <n v="11"/>
    <s v="Mid Range"/>
  </r>
  <r>
    <s v="Mahindra Scorpio SLE BSIV"/>
    <x v="11"/>
    <n v="420000"/>
    <n v="100000"/>
    <x v="1"/>
    <x v="0"/>
    <x v="0"/>
    <s v="First Owner"/>
    <n v="17"/>
    <s v="Budget"/>
  </r>
  <r>
    <s v="Maruti Vitara Brezza ZDi Plus"/>
    <x v="2"/>
    <n v="875000"/>
    <n v="40000"/>
    <x v="1"/>
    <x v="0"/>
    <x v="0"/>
    <s v="First Owner"/>
    <n v="9"/>
    <s v="Mid Range"/>
  </r>
  <r>
    <s v="Maruti Swift Dzire ZDI"/>
    <x v="3"/>
    <n v="580000"/>
    <n v="70000"/>
    <x v="1"/>
    <x v="0"/>
    <x v="0"/>
    <s v="First Owner"/>
    <n v="12"/>
    <s v="Mid Range"/>
  </r>
  <r>
    <s v="Maruti Swift Ldi BSIV"/>
    <x v="9"/>
    <n v="350000"/>
    <n v="133000"/>
    <x v="1"/>
    <x v="0"/>
    <x v="0"/>
    <s v="Second Owner"/>
    <n v="15"/>
    <s v="Budget"/>
  </r>
  <r>
    <s v="Hyundai Accent GLS"/>
    <x v="16"/>
    <n v="120000"/>
    <n v="110000"/>
    <x v="0"/>
    <x v="0"/>
    <x v="0"/>
    <s v="Second Owner"/>
    <n v="22"/>
    <s v="Budget"/>
  </r>
  <r>
    <s v="Tata Indica Vista TDI LS"/>
    <x v="8"/>
    <n v="150000"/>
    <n v="180000"/>
    <x v="1"/>
    <x v="0"/>
    <x v="0"/>
    <s v="Third Owner"/>
    <n v="13"/>
    <s v="Budget"/>
  </r>
  <r>
    <s v="Renault Duster 110PS Diesel RxZ"/>
    <x v="8"/>
    <n v="650000"/>
    <n v="120000"/>
    <x v="1"/>
    <x v="0"/>
    <x v="0"/>
    <s v="First Owner"/>
    <n v="13"/>
    <s v="Mid Range"/>
  </r>
  <r>
    <s v="Maruti Alto K10 2010-2014 VXI"/>
    <x v="10"/>
    <n v="225000"/>
    <n v="80000"/>
    <x v="0"/>
    <x v="0"/>
    <x v="0"/>
    <s v="Second Owner"/>
    <n v="16"/>
    <s v="Budget"/>
  </r>
  <r>
    <s v="Honda Amaze S AT i-Vtech"/>
    <x v="3"/>
    <n v="400000"/>
    <n v="15000"/>
    <x v="0"/>
    <x v="0"/>
    <x v="1"/>
    <s v="First Owner"/>
    <n v="12"/>
    <s v="Budget"/>
  </r>
  <r>
    <s v="Hyundai Getz GLS"/>
    <x v="14"/>
    <n v="250000"/>
    <n v="70000"/>
    <x v="0"/>
    <x v="0"/>
    <x v="0"/>
    <s v="First Owner"/>
    <n v="21"/>
    <s v="Budget"/>
  </r>
  <r>
    <s v="Hyundai Santro Xing GL Plus"/>
    <x v="15"/>
    <n v="120000"/>
    <n v="41723"/>
    <x v="0"/>
    <x v="0"/>
    <x v="0"/>
    <s v="Second Owner"/>
    <n v="18"/>
    <s v="Budget"/>
  </r>
  <r>
    <s v="Maruti SX4 Vxi BSIV"/>
    <x v="10"/>
    <n v="250000"/>
    <n v="70000"/>
    <x v="0"/>
    <x v="0"/>
    <x v="0"/>
    <s v="First Owner"/>
    <n v="16"/>
    <s v="Budget"/>
  </r>
  <r>
    <s v="Maruti Alto K10 LXI"/>
    <x v="1"/>
    <n v="175000"/>
    <n v="20000"/>
    <x v="0"/>
    <x v="0"/>
    <x v="0"/>
    <s v="Second Owner"/>
    <n v="14"/>
    <s v="Budget"/>
  </r>
  <r>
    <s v="Maruti Ignis 1.3 Delta"/>
    <x v="6"/>
    <n v="590000"/>
    <n v="26350"/>
    <x v="1"/>
    <x v="1"/>
    <x v="0"/>
    <s v="First Owner"/>
    <n v="8"/>
    <s v="Mid Range"/>
  </r>
  <r>
    <s v="Tata Indigo CS LX (TDI) BS-III"/>
    <x v="5"/>
    <n v="225000"/>
    <n v="68745"/>
    <x v="1"/>
    <x v="1"/>
    <x v="0"/>
    <s v="First Owner"/>
    <n v="11"/>
    <s v="Budget"/>
  </r>
  <r>
    <s v="Mahindra XUV500 W6 2WD"/>
    <x v="4"/>
    <n v="900000"/>
    <n v="47000"/>
    <x v="1"/>
    <x v="0"/>
    <x v="0"/>
    <s v="First Owner"/>
    <n v="10"/>
    <s v="Mid Range"/>
  </r>
  <r>
    <s v="Maruti Alto K10 VXI AGS"/>
    <x v="2"/>
    <n v="375000"/>
    <n v="27289"/>
    <x v="0"/>
    <x v="1"/>
    <x v="1"/>
    <s v="First Owner"/>
    <n v="9"/>
    <s v="Budget"/>
  </r>
  <r>
    <s v="Hyundai EON Era Plus"/>
    <x v="4"/>
    <n v="320000"/>
    <n v="24662"/>
    <x v="0"/>
    <x v="1"/>
    <x v="0"/>
    <s v="First Owner"/>
    <n v="10"/>
    <s v="Budget"/>
  </r>
  <r>
    <s v="Maruti Swift Dzire VDI"/>
    <x v="8"/>
    <n v="525000"/>
    <n v="37000"/>
    <x v="1"/>
    <x v="1"/>
    <x v="0"/>
    <s v="First Owner"/>
    <n v="13"/>
    <s v="Mid Range"/>
  </r>
  <r>
    <s v="Nissan Evalia XV"/>
    <x v="3"/>
    <n v="650000"/>
    <n v="28245"/>
    <x v="1"/>
    <x v="1"/>
    <x v="0"/>
    <s v="First Owner"/>
    <n v="12"/>
    <s v="Mid Range"/>
  </r>
  <r>
    <s v="Hyundai Grand i10 1.2 CRDi Sportz Option"/>
    <x v="2"/>
    <n v="575000"/>
    <n v="27005"/>
    <x v="1"/>
    <x v="1"/>
    <x v="0"/>
    <s v="First Owner"/>
    <n v="9"/>
    <s v="Mid Range"/>
  </r>
  <r>
    <s v="Hyundai i10 Magna"/>
    <x v="3"/>
    <n v="355000"/>
    <n v="39227"/>
    <x v="0"/>
    <x v="1"/>
    <x v="0"/>
    <s v="First Owner"/>
    <n v="12"/>
    <s v="Budget"/>
  </r>
  <r>
    <s v="Mahindra KUV 100 D75 K4 Plus 5Str"/>
    <x v="4"/>
    <n v="470000"/>
    <n v="31367"/>
    <x v="1"/>
    <x v="1"/>
    <x v="0"/>
    <s v="First Owner"/>
    <n v="10"/>
    <s v="Budget"/>
  </r>
  <r>
    <s v="Maruti Wagon R LXI"/>
    <x v="15"/>
    <n v="221000"/>
    <n v="35008"/>
    <x v="0"/>
    <x v="1"/>
    <x v="0"/>
    <s v="First Owner"/>
    <n v="18"/>
    <s v="Budget"/>
  </r>
  <r>
    <s v="Hyundai Santro Xing GLS"/>
    <x v="11"/>
    <n v="195000"/>
    <n v="27005"/>
    <x v="0"/>
    <x v="1"/>
    <x v="0"/>
    <s v="First Owner"/>
    <n v="17"/>
    <s v="Budget"/>
  </r>
  <r>
    <s v="Hyundai Santro Xing XG"/>
    <x v="16"/>
    <n v="90000"/>
    <n v="100005"/>
    <x v="0"/>
    <x v="1"/>
    <x v="0"/>
    <s v="Second Owner"/>
    <n v="22"/>
    <s v="Budget"/>
  </r>
  <r>
    <s v="Hyundai Verna SX Diesel"/>
    <x v="8"/>
    <n v="580000"/>
    <n v="45264"/>
    <x v="1"/>
    <x v="1"/>
    <x v="0"/>
    <s v="First Owner"/>
    <n v="13"/>
    <s v="Mid Range"/>
  </r>
  <r>
    <s v="Maruti Eeco 7 Seater Standard BSIV"/>
    <x v="3"/>
    <n v="325000"/>
    <n v="39093"/>
    <x v="0"/>
    <x v="1"/>
    <x v="0"/>
    <s v="First Owner"/>
    <n v="12"/>
    <s v="Budget"/>
  </r>
  <r>
    <s v="Honda City Corporate Edition"/>
    <x v="8"/>
    <n v="495000"/>
    <n v="45241"/>
    <x v="0"/>
    <x v="1"/>
    <x v="0"/>
    <s v="First Owner"/>
    <n v="13"/>
    <s v="Budget"/>
  </r>
  <r>
    <s v="Hyundai EON Era"/>
    <x v="3"/>
    <n v="290000"/>
    <n v="12000"/>
    <x v="0"/>
    <x v="1"/>
    <x v="0"/>
    <s v="First Owner"/>
    <n v="12"/>
    <s v="Budget"/>
  </r>
  <r>
    <s v="Datsun RediGO 1.0 T Option"/>
    <x v="6"/>
    <n v="375000"/>
    <n v="2769"/>
    <x v="0"/>
    <x v="1"/>
    <x v="0"/>
    <s v="First Owner"/>
    <n v="8"/>
    <s v="Budget"/>
  </r>
  <r>
    <s v="Tata Indica Vista TDI LS"/>
    <x v="9"/>
    <n v="211000"/>
    <n v="43128"/>
    <x v="1"/>
    <x v="1"/>
    <x v="0"/>
    <s v="First Owner"/>
    <n v="15"/>
    <s v="Budget"/>
  </r>
  <r>
    <s v="Maruti Alto LXI"/>
    <x v="16"/>
    <n v="70000"/>
    <n v="50000"/>
    <x v="0"/>
    <x v="0"/>
    <x v="0"/>
    <s v="Second Owner"/>
    <n v="22"/>
    <s v="Budget"/>
  </r>
  <r>
    <s v="Hyundai i10 Magna 1.2"/>
    <x v="10"/>
    <n v="225000"/>
    <n v="60000"/>
    <x v="0"/>
    <x v="0"/>
    <x v="0"/>
    <s v="Second Owner"/>
    <n v="16"/>
    <s v="Budget"/>
  </r>
  <r>
    <s v="Mahindra Scorpio LX"/>
    <x v="3"/>
    <n v="420000"/>
    <n v="70000"/>
    <x v="1"/>
    <x v="0"/>
    <x v="0"/>
    <s v="Third Owner"/>
    <n v="12"/>
    <s v="Budget"/>
  </r>
  <r>
    <s v="Chevrolet Sail Hatchback 1.2 LS"/>
    <x v="5"/>
    <n v="280000"/>
    <n v="22255"/>
    <x v="0"/>
    <x v="0"/>
    <x v="0"/>
    <s v="First Owner"/>
    <n v="11"/>
    <s v="Budget"/>
  </r>
  <r>
    <s v="Hyundai i20 Sportz 1.2"/>
    <x v="8"/>
    <n v="400000"/>
    <n v="59213"/>
    <x v="0"/>
    <x v="0"/>
    <x v="0"/>
    <s v="First Owner"/>
    <n v="13"/>
    <s v="Budget"/>
  </r>
  <r>
    <s v="Mahindra XUV500 W6 2WD"/>
    <x v="5"/>
    <n v="850000"/>
    <n v="55000"/>
    <x v="1"/>
    <x v="0"/>
    <x v="0"/>
    <s v="First Owner"/>
    <n v="11"/>
    <s v="Mid Range"/>
  </r>
  <r>
    <s v="Ford Fiesta Titanium 1.5 TDCi"/>
    <x v="9"/>
    <n v="550000"/>
    <n v="80000"/>
    <x v="1"/>
    <x v="0"/>
    <x v="0"/>
    <s v="First Owner"/>
    <n v="15"/>
    <s v="Mid Range"/>
  </r>
  <r>
    <s v="Renault Captur 1.5 Diesel RXT Mono"/>
    <x v="6"/>
    <n v="1000000"/>
    <n v="40000"/>
    <x v="1"/>
    <x v="0"/>
    <x v="0"/>
    <s v="First Owner"/>
    <n v="8"/>
    <s v="Mid Range"/>
  </r>
  <r>
    <s v="Mahindra Xylo D2 Maxx"/>
    <x v="3"/>
    <n v="350000"/>
    <n v="170000"/>
    <x v="1"/>
    <x v="0"/>
    <x v="0"/>
    <s v="First Owner"/>
    <n v="12"/>
    <s v="Budget"/>
  </r>
  <r>
    <s v="Tata New Safari DICOR 2.2 EX 4x2"/>
    <x v="9"/>
    <n v="350000"/>
    <n v="170000"/>
    <x v="1"/>
    <x v="0"/>
    <x v="0"/>
    <s v="Second Owner"/>
    <n v="15"/>
    <s v="Budget"/>
  </r>
  <r>
    <s v="Honda Civic 1.8 S MT"/>
    <x v="0"/>
    <n v="170000"/>
    <n v="70000"/>
    <x v="0"/>
    <x v="0"/>
    <x v="0"/>
    <s v="Third Owner"/>
    <n v="19"/>
    <s v="Budget"/>
  </r>
  <r>
    <s v="Ford Aspire Titanium BSIV"/>
    <x v="20"/>
    <n v="828999"/>
    <n v="1010"/>
    <x v="0"/>
    <x v="1"/>
    <x v="0"/>
    <s v="Test Drive Car"/>
    <n v="6"/>
    <s v="Mid Range"/>
  </r>
  <r>
    <s v="Ford EcoSport 1.5 Ti VCT MT Titanium BE BSIV"/>
    <x v="20"/>
    <n v="1119000"/>
    <n v="1010"/>
    <x v="0"/>
    <x v="1"/>
    <x v="0"/>
    <s v="Test Drive Car"/>
    <n v="6"/>
    <s v="Premium"/>
  </r>
  <r>
    <s v="Ford Figo Titanium"/>
    <x v="20"/>
    <n v="746000"/>
    <n v="1111"/>
    <x v="0"/>
    <x v="1"/>
    <x v="0"/>
    <s v="Test Drive Car"/>
    <n v="6"/>
    <s v="Mid Range"/>
  </r>
  <r>
    <s v="Ford Ecosport 1.5 Petrol Trend"/>
    <x v="20"/>
    <n v="1030000"/>
    <n v="1010"/>
    <x v="0"/>
    <x v="1"/>
    <x v="0"/>
    <s v="Test Drive Car"/>
    <n v="6"/>
    <s v="Premium"/>
  </r>
  <r>
    <s v="Ford EcoSport 1.5 TDCi Titanium Plus BSIV"/>
    <x v="20"/>
    <n v="1334000"/>
    <n v="1010"/>
    <x v="1"/>
    <x v="1"/>
    <x v="0"/>
    <s v="Test Drive Car"/>
    <n v="6"/>
    <s v="Premium"/>
  </r>
  <r>
    <s v="Ford Freestyle Titanium"/>
    <x v="20"/>
    <n v="811999"/>
    <n v="1010"/>
    <x v="0"/>
    <x v="1"/>
    <x v="0"/>
    <s v="Test Drive Car"/>
    <n v="6"/>
    <s v="Mid Range"/>
  </r>
  <r>
    <s v="Ford Ecosport Thunder Edition Diesel"/>
    <x v="20"/>
    <n v="1331000"/>
    <n v="1010"/>
    <x v="1"/>
    <x v="1"/>
    <x v="0"/>
    <s v="Test Drive Car"/>
    <n v="6"/>
    <s v="Premium"/>
  </r>
  <r>
    <s v="Ford Freestyle Titanium Plus"/>
    <x v="20"/>
    <n v="852000"/>
    <n v="1010"/>
    <x v="0"/>
    <x v="1"/>
    <x v="0"/>
    <s v="Test Drive Car"/>
    <n v="6"/>
    <s v="Mid Range"/>
  </r>
  <r>
    <s v="Tata Indica DLE"/>
    <x v="12"/>
    <n v="45000"/>
    <n v="120000"/>
    <x v="1"/>
    <x v="0"/>
    <x v="0"/>
    <s v="Second Owner"/>
    <n v="20"/>
    <s v="Budget"/>
  </r>
  <r>
    <s v="Renault Duster 85PS Diesel RxL Optional"/>
    <x v="8"/>
    <n v="430000"/>
    <n v="70000"/>
    <x v="1"/>
    <x v="0"/>
    <x v="0"/>
    <s v="Third Owner"/>
    <n v="13"/>
    <s v="Budget"/>
  </r>
  <r>
    <s v="Mahindra Scorpio S2 9 Seater"/>
    <x v="5"/>
    <n v="830000"/>
    <n v="70000"/>
    <x v="1"/>
    <x v="0"/>
    <x v="0"/>
    <s v="First Owner"/>
    <n v="11"/>
    <s v="Mid Range"/>
  </r>
  <r>
    <s v="Mahindra Scorpio VLS 2.2 mHawk"/>
    <x v="11"/>
    <n v="409999"/>
    <n v="110000"/>
    <x v="1"/>
    <x v="0"/>
    <x v="0"/>
    <s v="Second Owner"/>
    <n v="17"/>
    <s v="Budget"/>
  </r>
  <r>
    <s v="Maruti Swift VDI"/>
    <x v="1"/>
    <n v="190000"/>
    <n v="80000"/>
    <x v="1"/>
    <x v="0"/>
    <x v="0"/>
    <s v="Third Owner"/>
    <n v="14"/>
    <s v="Budget"/>
  </r>
  <r>
    <s v="Honda Accord VTi-L (MT)"/>
    <x v="0"/>
    <n v="200000"/>
    <n v="80000"/>
    <x v="0"/>
    <x v="0"/>
    <x v="0"/>
    <s v="Second Owner"/>
    <n v="19"/>
    <s v="Budget"/>
  </r>
  <r>
    <s v="Hyundai Accent GLX"/>
    <x v="12"/>
    <n v="120000"/>
    <n v="110000"/>
    <x v="0"/>
    <x v="0"/>
    <x v="0"/>
    <s v="Second Owner"/>
    <n v="20"/>
    <s v="Budget"/>
  </r>
  <r>
    <s v="Mahindra Bolero Power Plus Plus AC BSIV PS"/>
    <x v="7"/>
    <n v="850000"/>
    <n v="50000"/>
    <x v="1"/>
    <x v="0"/>
    <x v="0"/>
    <s v="First Owner"/>
    <n v="7"/>
    <s v="Mid Range"/>
  </r>
  <r>
    <s v="Tata Indigo CS LE (TDI) BS-III"/>
    <x v="9"/>
    <n v="95000"/>
    <n v="115000"/>
    <x v="1"/>
    <x v="0"/>
    <x v="0"/>
    <s v="Fourth &amp; Above Owner"/>
    <n v="15"/>
    <s v="Budget"/>
  </r>
  <r>
    <s v="Maruti Wagon R LXI BS IV"/>
    <x v="8"/>
    <n v="213000"/>
    <n v="80000"/>
    <x v="0"/>
    <x v="0"/>
    <x v="0"/>
    <s v="First Owner"/>
    <n v="13"/>
    <s v="Budget"/>
  </r>
  <r>
    <s v="Volkswagen Ameo 1.5 TDI Highline Plus 16"/>
    <x v="6"/>
    <n v="660000"/>
    <n v="25000"/>
    <x v="1"/>
    <x v="0"/>
    <x v="0"/>
    <s v="First Owner"/>
    <n v="8"/>
    <s v="Mid Range"/>
  </r>
  <r>
    <s v="Nissan Micra XL"/>
    <x v="2"/>
    <n v="415000"/>
    <n v="48965"/>
    <x v="0"/>
    <x v="1"/>
    <x v="0"/>
    <s v="First Owner"/>
    <n v="9"/>
    <s v="Budget"/>
  </r>
  <r>
    <s v="Ford Ecosport 1.5 Petrol Titanium Plus"/>
    <x v="7"/>
    <n v="1100000"/>
    <n v="5166"/>
    <x v="0"/>
    <x v="1"/>
    <x v="0"/>
    <s v="Test Drive Car"/>
    <n v="7"/>
    <s v="Premium"/>
  </r>
  <r>
    <s v="Mahindra XUV500 W8 4WD"/>
    <x v="1"/>
    <n v="650000"/>
    <n v="76290"/>
    <x v="1"/>
    <x v="1"/>
    <x v="0"/>
    <s v="First Owner"/>
    <n v="14"/>
    <s v="Mid Range"/>
  </r>
  <r>
    <s v="Mahindra XUV500 AT W10 AWD"/>
    <x v="4"/>
    <n v="969999"/>
    <n v="70000"/>
    <x v="1"/>
    <x v="0"/>
    <x v="1"/>
    <s v="Second Owner"/>
    <n v="10"/>
    <s v="Mid Range"/>
  </r>
  <r>
    <s v="Mahindra XUV500 W10 2WD"/>
    <x v="4"/>
    <n v="1250000"/>
    <n v="35000"/>
    <x v="1"/>
    <x v="0"/>
    <x v="0"/>
    <s v="First Owner"/>
    <n v="10"/>
    <s v="Premium"/>
  </r>
  <r>
    <s v="Maruti Swift Dzire AMT VDI"/>
    <x v="2"/>
    <n v="715000"/>
    <n v="25000"/>
    <x v="1"/>
    <x v="0"/>
    <x v="1"/>
    <s v="First Owner"/>
    <n v="9"/>
    <s v="Mid Range"/>
  </r>
  <r>
    <s v="Maruti Swift VDI"/>
    <x v="4"/>
    <n v="565000"/>
    <n v="47000"/>
    <x v="1"/>
    <x v="1"/>
    <x v="0"/>
    <s v="First Owner"/>
    <n v="10"/>
    <s v="Mid Range"/>
  </r>
  <r>
    <s v="Mahindra Thar 4X4"/>
    <x v="8"/>
    <n v="615000"/>
    <n v="45766"/>
    <x v="1"/>
    <x v="0"/>
    <x v="0"/>
    <s v="Second Owner"/>
    <n v="13"/>
    <s v="Mid Range"/>
  </r>
  <r>
    <s v="Tata New Safari 4X4"/>
    <x v="0"/>
    <n v="199000"/>
    <n v="78771"/>
    <x v="1"/>
    <x v="1"/>
    <x v="0"/>
    <s v="Second Owner"/>
    <n v="19"/>
    <s v="Budget"/>
  </r>
  <r>
    <s v="Maruti Swift Vdi BSIII"/>
    <x v="10"/>
    <n v="325000"/>
    <n v="79357"/>
    <x v="1"/>
    <x v="1"/>
    <x v="0"/>
    <s v="First Owner"/>
    <n v="16"/>
    <s v="Budget"/>
  </r>
  <r>
    <s v="Ford Figo Diesel EXI"/>
    <x v="1"/>
    <n v="409999"/>
    <n v="28000"/>
    <x v="1"/>
    <x v="0"/>
    <x v="0"/>
    <s v="First Owner"/>
    <n v="14"/>
    <s v="Budget"/>
  </r>
  <r>
    <s v="Hyundai Verna SX CRDi AT"/>
    <x v="1"/>
    <n v="500000"/>
    <n v="72000"/>
    <x v="1"/>
    <x v="1"/>
    <x v="1"/>
    <s v="Second Owner"/>
    <n v="14"/>
    <s v="Mid Range"/>
  </r>
  <r>
    <s v="Ford Figo Diesel LXI"/>
    <x v="9"/>
    <n v="225000"/>
    <n v="76736"/>
    <x v="1"/>
    <x v="1"/>
    <x v="0"/>
    <s v="Second Owner"/>
    <n v="15"/>
    <s v="Budget"/>
  </r>
  <r>
    <s v="Maruti Alto LX BSIII"/>
    <x v="0"/>
    <n v="135000"/>
    <n v="70000"/>
    <x v="0"/>
    <x v="0"/>
    <x v="0"/>
    <s v="Second Owner"/>
    <n v="19"/>
    <s v="Budget"/>
  </r>
  <r>
    <s v="Renault Koleos 2.0 Diesel"/>
    <x v="1"/>
    <n v="750000"/>
    <n v="80000"/>
    <x v="1"/>
    <x v="0"/>
    <x v="1"/>
    <s v="Second Owner"/>
    <n v="14"/>
    <s v="Mid Range"/>
  </r>
  <r>
    <s v="Maruti Wagon R LXI DUO BSIII"/>
    <x v="11"/>
    <n v="155000"/>
    <n v="60000"/>
    <x v="3"/>
    <x v="0"/>
    <x v="0"/>
    <s v="Second Owner"/>
    <n v="17"/>
    <s v="Budget"/>
  </r>
  <r>
    <s v="Volkswagen Polo Diesel Highline 1.2L"/>
    <x v="1"/>
    <n v="335000"/>
    <n v="77000"/>
    <x v="1"/>
    <x v="1"/>
    <x v="0"/>
    <s v="Third Owner"/>
    <n v="14"/>
    <s v="Budget"/>
  </r>
  <r>
    <s v="Ford Ikon 1.8 D"/>
    <x v="14"/>
    <n v="114999"/>
    <n v="92645"/>
    <x v="1"/>
    <x v="1"/>
    <x v="0"/>
    <s v="Fourth &amp; Above Owner"/>
    <n v="21"/>
    <s v="Budget"/>
  </r>
  <r>
    <s v="Mercedes-Benz New C-Class 200 CDI Classic"/>
    <x v="0"/>
    <n v="699000"/>
    <n v="101849"/>
    <x v="1"/>
    <x v="1"/>
    <x v="0"/>
    <s v="Second Owner"/>
    <n v="19"/>
    <s v="Mid Range"/>
  </r>
  <r>
    <s v="Mahindra Bolero DI"/>
    <x v="16"/>
    <n v="110000"/>
    <n v="120000"/>
    <x v="1"/>
    <x v="0"/>
    <x v="0"/>
    <s v="Fourth &amp; Above Owner"/>
    <n v="22"/>
    <s v="Budget"/>
  </r>
  <r>
    <s v="Hyundai i20 Asta 1.2"/>
    <x v="1"/>
    <n v="300000"/>
    <n v="80000"/>
    <x v="0"/>
    <x v="0"/>
    <x v="0"/>
    <s v="First Owner"/>
    <n v="14"/>
    <s v="Budget"/>
  </r>
  <r>
    <s v="Mahindra Scorpio S4 4WD"/>
    <x v="3"/>
    <n v="700000"/>
    <n v="70000"/>
    <x v="1"/>
    <x v="0"/>
    <x v="0"/>
    <s v="Second Owner"/>
    <n v="12"/>
    <s v="Mid Range"/>
  </r>
  <r>
    <s v="Maruti Ertiga SHVS LDI Option"/>
    <x v="2"/>
    <n v="700000"/>
    <n v="120000"/>
    <x v="1"/>
    <x v="0"/>
    <x v="0"/>
    <s v="First Owner"/>
    <n v="9"/>
    <s v="Mid Range"/>
  </r>
  <r>
    <s v="Maruti Alto 800 LXI"/>
    <x v="8"/>
    <n v="210000"/>
    <n v="42000"/>
    <x v="0"/>
    <x v="0"/>
    <x v="0"/>
    <s v="Third Owner"/>
    <n v="13"/>
    <s v="Budget"/>
  </r>
  <r>
    <s v="Maruti Ertiga VDI"/>
    <x v="1"/>
    <n v="600000"/>
    <n v="120000"/>
    <x v="1"/>
    <x v="0"/>
    <x v="0"/>
    <s v="Third Owner"/>
    <n v="14"/>
    <s v="Mid Range"/>
  </r>
  <r>
    <s v="Tata Manza Aura (ABS) Quadrajet BS IV"/>
    <x v="1"/>
    <n v="180000"/>
    <n v="155836"/>
    <x v="1"/>
    <x v="0"/>
    <x v="0"/>
    <s v="Second Owner"/>
    <n v="14"/>
    <s v="Budget"/>
  </r>
  <r>
    <s v="Maruti Wagon R VXi BSII"/>
    <x v="9"/>
    <n v="220000"/>
    <n v="59000"/>
    <x v="0"/>
    <x v="0"/>
    <x v="0"/>
    <s v="Second Owner"/>
    <n v="15"/>
    <s v="Budget"/>
  </r>
  <r>
    <s v="Chevrolet Spark 1.0 LT"/>
    <x v="11"/>
    <n v="70000"/>
    <n v="60000"/>
    <x v="0"/>
    <x v="0"/>
    <x v="0"/>
    <s v="First Owner"/>
    <n v="17"/>
    <s v="Budget"/>
  </r>
  <r>
    <s v="Hyundai Creta 1.4 CRDi Base"/>
    <x v="6"/>
    <n v="950000"/>
    <n v="70000"/>
    <x v="1"/>
    <x v="0"/>
    <x v="0"/>
    <s v="Second Owner"/>
    <n v="8"/>
    <s v="Mid Range"/>
  </r>
  <r>
    <s v="Ford Fiesta 1.5 TDCi Ambiente"/>
    <x v="3"/>
    <n v="800000"/>
    <n v="20000"/>
    <x v="1"/>
    <x v="0"/>
    <x v="0"/>
    <s v="First Owner"/>
    <n v="12"/>
    <s v="Mid Range"/>
  </r>
  <r>
    <s v="Mahindra XUV500 W8 4WD"/>
    <x v="1"/>
    <n v="700000"/>
    <n v="120000"/>
    <x v="1"/>
    <x v="0"/>
    <x v="0"/>
    <s v="Third Owner"/>
    <n v="14"/>
    <s v="Mid Range"/>
  </r>
  <r>
    <s v="Renault KWID 1.0"/>
    <x v="4"/>
    <n v="265000"/>
    <n v="40000"/>
    <x v="0"/>
    <x v="0"/>
    <x v="0"/>
    <s v="First Owner"/>
    <n v="10"/>
    <s v="Budget"/>
  </r>
  <r>
    <s v="Volkswagen Polo Diesel Trendline 1.2L"/>
    <x v="9"/>
    <n v="175000"/>
    <n v="90000"/>
    <x v="1"/>
    <x v="0"/>
    <x v="0"/>
    <s v="Third Owner"/>
    <n v="15"/>
    <s v="Budget"/>
  </r>
  <r>
    <s v="Mahindra Quanto C6"/>
    <x v="1"/>
    <n v="260000"/>
    <n v="89000"/>
    <x v="1"/>
    <x v="0"/>
    <x v="0"/>
    <s v="Second Owner"/>
    <n v="14"/>
    <s v="Budget"/>
  </r>
  <r>
    <s v="Toyota Innova 2.5 VX (Diesel) 7 Seater"/>
    <x v="8"/>
    <n v="950000"/>
    <n v="80000"/>
    <x v="1"/>
    <x v="0"/>
    <x v="0"/>
    <s v="Third Owner"/>
    <n v="13"/>
    <s v="Mid Range"/>
  </r>
  <r>
    <s v="Maruti Swift Vdi BSIII"/>
    <x v="11"/>
    <n v="250000"/>
    <n v="200000"/>
    <x v="1"/>
    <x v="0"/>
    <x v="0"/>
    <s v="Fourth &amp; Above Owner"/>
    <n v="17"/>
    <s v="Budget"/>
  </r>
  <r>
    <s v="Mahindra Scorpio S10 7 Seater"/>
    <x v="5"/>
    <n v="630000"/>
    <n v="50000"/>
    <x v="1"/>
    <x v="0"/>
    <x v="0"/>
    <s v="First Owner"/>
    <n v="11"/>
    <s v="Mid Range"/>
  </r>
  <r>
    <s v="Tata Nano LX SE"/>
    <x v="1"/>
    <n v="35000"/>
    <n v="35000"/>
    <x v="0"/>
    <x v="0"/>
    <x v="0"/>
    <s v="Third Owner"/>
    <n v="14"/>
    <s v="Budget"/>
  </r>
  <r>
    <s v="Chevrolet Enjoy TCDi LS 8 Seater"/>
    <x v="3"/>
    <n v="330000"/>
    <n v="200000"/>
    <x v="1"/>
    <x v="0"/>
    <x v="0"/>
    <s v="Third Owner"/>
    <n v="12"/>
    <s v="Budget"/>
  </r>
  <r>
    <s v="Maruti Alto LXi"/>
    <x v="11"/>
    <n v="150000"/>
    <n v="120000"/>
    <x v="0"/>
    <x v="0"/>
    <x v="0"/>
    <s v="First Owner"/>
    <n v="17"/>
    <s v="Budget"/>
  </r>
  <r>
    <s v="Tata Indigo LS"/>
    <x v="15"/>
    <n v="105000"/>
    <n v="90000"/>
    <x v="1"/>
    <x v="0"/>
    <x v="0"/>
    <s v="First Owner"/>
    <n v="18"/>
    <s v="Budget"/>
  </r>
  <r>
    <s v="Tata Indica Vista TDI LX"/>
    <x v="8"/>
    <n v="185000"/>
    <n v="65000"/>
    <x v="1"/>
    <x v="0"/>
    <x v="0"/>
    <s v="First Owner"/>
    <n v="13"/>
    <s v="Budget"/>
  </r>
  <r>
    <s v="Fiat Grande Punto EVO 1.3 Active"/>
    <x v="3"/>
    <n v="260000"/>
    <n v="50000"/>
    <x v="1"/>
    <x v="0"/>
    <x v="0"/>
    <s v="First Owner"/>
    <n v="12"/>
    <s v="Budget"/>
  </r>
  <r>
    <s v="Maruti Swift Dzire VDi"/>
    <x v="1"/>
    <n v="450000"/>
    <n v="33000"/>
    <x v="1"/>
    <x v="0"/>
    <x v="0"/>
    <s v="First Owner"/>
    <n v="14"/>
    <s v="Budget"/>
  </r>
  <r>
    <s v="Maruti Swift VXI Deca"/>
    <x v="4"/>
    <n v="500000"/>
    <n v="38000"/>
    <x v="0"/>
    <x v="0"/>
    <x v="0"/>
    <s v="First Owner"/>
    <n v="10"/>
    <s v="Mid Range"/>
  </r>
  <r>
    <s v="Maruti Alto K10 2010-2014 VXI"/>
    <x v="1"/>
    <n v="260000"/>
    <n v="40000"/>
    <x v="0"/>
    <x v="0"/>
    <x v="0"/>
    <s v="First Owner"/>
    <n v="14"/>
    <s v="Budget"/>
  </r>
  <r>
    <s v="Volkswagen Polo Diesel Trendline 1.2L"/>
    <x v="1"/>
    <n v="265000"/>
    <n v="55000"/>
    <x v="1"/>
    <x v="0"/>
    <x v="0"/>
    <s v="Second Owner"/>
    <n v="14"/>
    <s v="Budget"/>
  </r>
  <r>
    <s v="Mahindra Thar CRDe"/>
    <x v="2"/>
    <n v="800000"/>
    <n v="26000"/>
    <x v="1"/>
    <x v="0"/>
    <x v="0"/>
    <s v="Second Owner"/>
    <n v="9"/>
    <s v="Mid Range"/>
  </r>
  <r>
    <s v="Tata Safari Storme VX Varicor 400"/>
    <x v="4"/>
    <n v="869999"/>
    <n v="80000"/>
    <x v="1"/>
    <x v="0"/>
    <x v="0"/>
    <s v="First Owner"/>
    <n v="10"/>
    <s v="Mid Range"/>
  </r>
  <r>
    <s v="Maruti Baleno Alpha 1.2"/>
    <x v="6"/>
    <n v="690000"/>
    <n v="40000"/>
    <x v="0"/>
    <x v="0"/>
    <x v="0"/>
    <s v="First Owner"/>
    <n v="8"/>
    <s v="Mid Range"/>
  </r>
  <r>
    <s v="Mitsubishi Pajero 2.8 SFX BSIV Dual Tone"/>
    <x v="9"/>
    <n v="825000"/>
    <n v="120000"/>
    <x v="1"/>
    <x v="0"/>
    <x v="0"/>
    <s v="First Owner"/>
    <n v="15"/>
    <s v="Mid Range"/>
  </r>
  <r>
    <s v="Maruti Alto LX BSIII"/>
    <x v="12"/>
    <n v="160000"/>
    <n v="63230"/>
    <x v="0"/>
    <x v="0"/>
    <x v="0"/>
    <s v="Second Owner"/>
    <n v="20"/>
    <s v="Budget"/>
  </r>
  <r>
    <s v="Mahindra Scorpio 2.6 SLX CRDe"/>
    <x v="12"/>
    <n v="300000"/>
    <n v="120000"/>
    <x v="1"/>
    <x v="0"/>
    <x v="0"/>
    <s v="Second Owner"/>
    <n v="20"/>
    <s v="Budget"/>
  </r>
  <r>
    <s v="Maruti Wagon R VXI"/>
    <x v="14"/>
    <n v="100000"/>
    <n v="100000"/>
    <x v="0"/>
    <x v="0"/>
    <x v="0"/>
    <s v="Third Owner"/>
    <n v="21"/>
    <s v="Budget"/>
  </r>
  <r>
    <s v="Hyundai i20 Asta 1.4 CRDi"/>
    <x v="5"/>
    <n v="530000"/>
    <n v="77000"/>
    <x v="1"/>
    <x v="0"/>
    <x v="0"/>
    <s v="Second Owner"/>
    <n v="11"/>
    <s v="Mid Range"/>
  </r>
  <r>
    <s v="Maruti Swift VXI Optional"/>
    <x v="4"/>
    <n v="360000"/>
    <n v="30000"/>
    <x v="0"/>
    <x v="0"/>
    <x v="0"/>
    <s v="First Owner"/>
    <n v="10"/>
    <s v="Budget"/>
  </r>
  <r>
    <s v="Maruti Swift 1.2 DLX"/>
    <x v="5"/>
    <n v="220000"/>
    <n v="40000"/>
    <x v="0"/>
    <x v="0"/>
    <x v="0"/>
    <s v="First Owner"/>
    <n v="11"/>
    <s v="Budget"/>
  </r>
  <r>
    <s v="Maruti Alto 800 LXI"/>
    <x v="2"/>
    <n v="178000"/>
    <n v="35000"/>
    <x v="0"/>
    <x v="0"/>
    <x v="0"/>
    <s v="First Owner"/>
    <n v="9"/>
    <s v="Budget"/>
  </r>
  <r>
    <s v="Mahindra Thar DI 4X2"/>
    <x v="6"/>
    <n v="515000"/>
    <n v="5000"/>
    <x v="1"/>
    <x v="0"/>
    <x v="0"/>
    <s v="First Owner"/>
    <n v="8"/>
    <s v="Mid Range"/>
  </r>
  <r>
    <s v="Maruti Ritz VXi"/>
    <x v="3"/>
    <n v="300000"/>
    <n v="35000"/>
    <x v="0"/>
    <x v="0"/>
    <x v="0"/>
    <s v="First Owner"/>
    <n v="12"/>
    <s v="Budget"/>
  </r>
  <r>
    <s v="Tata Indica Vista Quadrajet LS"/>
    <x v="1"/>
    <n v="150000"/>
    <n v="80000"/>
    <x v="1"/>
    <x v="0"/>
    <x v="0"/>
    <s v="Second Owner"/>
    <n v="14"/>
    <s v="Budget"/>
  </r>
  <r>
    <s v="Tata Nexon 1.2 Revotron XZ Plus Dual Tone"/>
    <x v="2"/>
    <n v="750000"/>
    <n v="15000"/>
    <x v="0"/>
    <x v="0"/>
    <x v="0"/>
    <s v="First Owner"/>
    <n v="9"/>
    <s v="Mid Range"/>
  </r>
  <r>
    <s v="Toyota Innova 2.5 G1 BSIV"/>
    <x v="1"/>
    <n v="950000"/>
    <n v="80000"/>
    <x v="1"/>
    <x v="0"/>
    <x v="0"/>
    <s v="First Owner"/>
    <n v="14"/>
    <s v="Mid Range"/>
  </r>
  <r>
    <s v="Maruti 800 Std BSII"/>
    <x v="12"/>
    <n v="90000"/>
    <n v="40000"/>
    <x v="0"/>
    <x v="0"/>
    <x v="0"/>
    <s v="Second Owner"/>
    <n v="20"/>
    <s v="Budget"/>
  </r>
  <r>
    <s v="Tata Indica GLS BS IV"/>
    <x v="15"/>
    <n v="65000"/>
    <n v="110000"/>
    <x v="0"/>
    <x v="0"/>
    <x v="0"/>
    <s v="Third Owner"/>
    <n v="18"/>
    <s v="Budget"/>
  </r>
  <r>
    <s v="Hyundai Verna 1.6 CRDI"/>
    <x v="1"/>
    <n v="312000"/>
    <n v="90000"/>
    <x v="1"/>
    <x v="0"/>
    <x v="0"/>
    <s v="Second Owner"/>
    <n v="14"/>
    <s v="Budget"/>
  </r>
  <r>
    <s v="Maruti Vitara Brezza LDi"/>
    <x v="6"/>
    <n v="700000"/>
    <n v="25000"/>
    <x v="1"/>
    <x v="0"/>
    <x v="0"/>
    <s v="First Owner"/>
    <n v="8"/>
    <s v="Mid Range"/>
  </r>
  <r>
    <s v="Hyundai Santro Xing XL eRLX Euro III"/>
    <x v="14"/>
    <n v="150000"/>
    <n v="47000"/>
    <x v="0"/>
    <x v="0"/>
    <x v="0"/>
    <s v="First Owner"/>
    <n v="21"/>
    <s v="Budget"/>
  </r>
  <r>
    <s v="Renault Fluence 1.5"/>
    <x v="8"/>
    <n v="450000"/>
    <n v="60000"/>
    <x v="1"/>
    <x v="0"/>
    <x v="0"/>
    <s v="First Owner"/>
    <n v="13"/>
    <s v="Budget"/>
  </r>
  <r>
    <s v="Hyundai Verna Transform CRDi VGT ABS"/>
    <x v="10"/>
    <n v="229999"/>
    <n v="120000"/>
    <x v="1"/>
    <x v="0"/>
    <x v="0"/>
    <s v="Second Owner"/>
    <n v="16"/>
    <s v="Budget"/>
  </r>
  <r>
    <s v="Maruti Swift Ldi BSIII"/>
    <x v="15"/>
    <n v="111000"/>
    <n v="120000"/>
    <x v="1"/>
    <x v="0"/>
    <x v="0"/>
    <s v="First Owner"/>
    <n v="18"/>
    <s v="Budget"/>
  </r>
  <r>
    <s v="Maruti Swift Dzire VDi"/>
    <x v="1"/>
    <n v="250000"/>
    <n v="140000"/>
    <x v="1"/>
    <x v="0"/>
    <x v="0"/>
    <s v="Second Owner"/>
    <n v="14"/>
    <s v="Budget"/>
  </r>
  <r>
    <s v="Ford Freestyle Titanium Plus Diesel"/>
    <x v="7"/>
    <n v="750000"/>
    <n v="1001"/>
    <x v="1"/>
    <x v="1"/>
    <x v="0"/>
    <s v="First Owner"/>
    <n v="7"/>
    <s v="Mid Range"/>
  </r>
  <r>
    <s v="Ford Figo 1.5P Titanium AT"/>
    <x v="2"/>
    <n v="774000"/>
    <n v="1758"/>
    <x v="0"/>
    <x v="1"/>
    <x v="1"/>
    <s v="First Owner"/>
    <n v="9"/>
    <s v="Mid Range"/>
  </r>
  <r>
    <s v="Ford Figo 1.5P Titanium AT"/>
    <x v="6"/>
    <n v="711000"/>
    <n v="1452"/>
    <x v="0"/>
    <x v="1"/>
    <x v="1"/>
    <s v="First Owner"/>
    <n v="8"/>
    <s v="Mid Range"/>
  </r>
  <r>
    <s v="Ford Figo 1.5D Titanium MT"/>
    <x v="2"/>
    <n v="600000"/>
    <n v="35122"/>
    <x v="1"/>
    <x v="1"/>
    <x v="0"/>
    <s v="First Owner"/>
    <n v="9"/>
    <s v="Mid Range"/>
  </r>
  <r>
    <s v="Maruti Swift Dzire VDI"/>
    <x v="5"/>
    <n v="455000"/>
    <n v="92621"/>
    <x v="1"/>
    <x v="1"/>
    <x v="0"/>
    <s v="First Owner"/>
    <n v="11"/>
    <s v="Budget"/>
  </r>
  <r>
    <s v="Datsun GO T Petrol"/>
    <x v="5"/>
    <n v="225000"/>
    <n v="92198"/>
    <x v="0"/>
    <x v="1"/>
    <x v="0"/>
    <s v="Second Owner"/>
    <n v="11"/>
    <s v="Budget"/>
  </r>
  <r>
    <s v="Maruti Swift Dzire VDI"/>
    <x v="7"/>
    <n v="650000"/>
    <n v="5000"/>
    <x v="1"/>
    <x v="0"/>
    <x v="0"/>
    <s v="First Owner"/>
    <n v="7"/>
    <s v="Mid Range"/>
  </r>
  <r>
    <s v="Chevrolet Beat LT"/>
    <x v="8"/>
    <n v="200000"/>
    <n v="50000"/>
    <x v="0"/>
    <x v="0"/>
    <x v="0"/>
    <s v="First Owner"/>
    <n v="13"/>
    <s v="Budget"/>
  </r>
  <r>
    <s v="Hyundai Creta 1.6 CRDi AT SX Plus"/>
    <x v="4"/>
    <n v="875000"/>
    <n v="74000"/>
    <x v="1"/>
    <x v="0"/>
    <x v="1"/>
    <s v="First Owner"/>
    <n v="10"/>
    <s v="Mid Range"/>
  </r>
  <r>
    <s v="Skoda Rapid 1.5 TDI AT Ambition BSIV"/>
    <x v="2"/>
    <n v="750000"/>
    <n v="40000"/>
    <x v="1"/>
    <x v="0"/>
    <x v="1"/>
    <s v="First Owner"/>
    <n v="9"/>
    <s v="Mid Range"/>
  </r>
  <r>
    <s v="Maruti Swift Dzire AMT VDI"/>
    <x v="7"/>
    <n v="725000"/>
    <n v="22000"/>
    <x v="1"/>
    <x v="0"/>
    <x v="1"/>
    <s v="First Owner"/>
    <n v="7"/>
    <s v="Mid Range"/>
  </r>
  <r>
    <s v="Maruti Alto LXi"/>
    <x v="0"/>
    <n v="100000"/>
    <n v="100000"/>
    <x v="0"/>
    <x v="0"/>
    <x v="0"/>
    <s v="Second Owner"/>
    <n v="19"/>
    <s v="Budget"/>
  </r>
  <r>
    <s v="Tata Hexa XT"/>
    <x v="7"/>
    <n v="1100000"/>
    <n v="40000"/>
    <x v="1"/>
    <x v="0"/>
    <x v="0"/>
    <s v="First Owner"/>
    <n v="7"/>
    <s v="Premium"/>
  </r>
  <r>
    <s v="Ford Endeavour 3.2 Titanium AT 4X4"/>
    <x v="2"/>
    <n v="2700000"/>
    <n v="30000"/>
    <x v="1"/>
    <x v="0"/>
    <x v="1"/>
    <s v="First Owner"/>
    <n v="9"/>
    <s v="Premium"/>
  </r>
  <r>
    <s v="Renault KWID RXT Optional"/>
    <x v="4"/>
    <n v="280000"/>
    <n v="23000"/>
    <x v="0"/>
    <x v="0"/>
    <x v="0"/>
    <s v="First Owner"/>
    <n v="10"/>
    <s v="Budget"/>
  </r>
  <r>
    <s v="Tata Indica Vista Aqua TDI BSIII"/>
    <x v="11"/>
    <n v="150000"/>
    <n v="30000"/>
    <x v="1"/>
    <x v="0"/>
    <x v="0"/>
    <s v="First Owner"/>
    <n v="17"/>
    <s v="Budget"/>
  </r>
  <r>
    <s v="Tata Manza Aura Safire"/>
    <x v="10"/>
    <n v="200000"/>
    <n v="50000"/>
    <x v="0"/>
    <x v="0"/>
    <x v="0"/>
    <s v="First Owner"/>
    <n v="16"/>
    <s v="Budget"/>
  </r>
  <r>
    <s v="Maruti Ritz VDi"/>
    <x v="10"/>
    <n v="148000"/>
    <n v="100000"/>
    <x v="1"/>
    <x v="0"/>
    <x v="0"/>
    <s v="Second Owner"/>
    <n v="16"/>
    <s v="Budget"/>
  </r>
  <r>
    <s v="Maruti Swift Dzire VXi"/>
    <x v="9"/>
    <n v="254999"/>
    <n v="70000"/>
    <x v="0"/>
    <x v="0"/>
    <x v="0"/>
    <s v="Second Owner"/>
    <n v="15"/>
    <s v="Budget"/>
  </r>
  <r>
    <s v="Maruti Swift Dzire ZXI"/>
    <x v="8"/>
    <n v="360000"/>
    <n v="60000"/>
    <x v="0"/>
    <x v="0"/>
    <x v="0"/>
    <s v="Second Owner"/>
    <n v="13"/>
    <s v="Budget"/>
  </r>
  <r>
    <s v="Maruti Alto LX"/>
    <x v="12"/>
    <n v="95000"/>
    <n v="90000"/>
    <x v="0"/>
    <x v="0"/>
    <x v="0"/>
    <s v="Second Owner"/>
    <n v="20"/>
    <s v="Budget"/>
  </r>
  <r>
    <s v="Mahindra Bolero SLE BSIII"/>
    <x v="0"/>
    <n v="185000"/>
    <n v="230000"/>
    <x v="1"/>
    <x v="0"/>
    <x v="0"/>
    <s v="Second Owner"/>
    <n v="19"/>
    <s v="Budget"/>
  </r>
  <r>
    <s v="Tata Indica Vista Quadrajet VX"/>
    <x v="1"/>
    <n v="185000"/>
    <n v="40000"/>
    <x v="1"/>
    <x v="0"/>
    <x v="0"/>
    <s v="First Owner"/>
    <n v="14"/>
    <s v="Budget"/>
  </r>
  <r>
    <s v="Renault KWID RXL"/>
    <x v="7"/>
    <n v="300000"/>
    <n v="15000"/>
    <x v="0"/>
    <x v="0"/>
    <x v="0"/>
    <s v="First Owner"/>
    <n v="7"/>
    <s v="Budget"/>
  </r>
  <r>
    <s v="Hyundai Verna VTVT 1.6 SX"/>
    <x v="6"/>
    <n v="800000"/>
    <n v="40000"/>
    <x v="0"/>
    <x v="0"/>
    <x v="0"/>
    <s v="First Owner"/>
    <n v="8"/>
    <s v="Mid Range"/>
  </r>
  <r>
    <s v="Maruti Zen LX"/>
    <x v="21"/>
    <n v="60000"/>
    <n v="50000"/>
    <x v="0"/>
    <x v="0"/>
    <x v="0"/>
    <s v="First Owner"/>
    <n v="26"/>
    <s v="Budget"/>
  </r>
  <r>
    <s v="Fiat Punto 1.2 Active"/>
    <x v="10"/>
    <n v="80000"/>
    <n v="50000"/>
    <x v="0"/>
    <x v="0"/>
    <x v="0"/>
    <s v="Second Owner"/>
    <n v="16"/>
    <s v="Budget"/>
  </r>
  <r>
    <s v="Hyundai Xcent 1.2 VTVT S"/>
    <x v="6"/>
    <n v="500000"/>
    <n v="8000"/>
    <x v="0"/>
    <x v="0"/>
    <x v="0"/>
    <s v="First Owner"/>
    <n v="8"/>
    <s v="Mid Range"/>
  </r>
  <r>
    <s v="Hyundai EON Era Plus"/>
    <x v="8"/>
    <n v="250000"/>
    <n v="35000"/>
    <x v="0"/>
    <x v="0"/>
    <x v="0"/>
    <s v="First Owner"/>
    <n v="13"/>
    <s v="Budget"/>
  </r>
  <r>
    <s v="Tata New Safari DICOR 2.2 EX 4x2"/>
    <x v="10"/>
    <n v="250000"/>
    <n v="80000"/>
    <x v="1"/>
    <x v="0"/>
    <x v="0"/>
    <s v="First Owner"/>
    <n v="16"/>
    <s v="Budget"/>
  </r>
  <r>
    <s v="Maruti Wagon R LXI BSIII"/>
    <x v="14"/>
    <n v="125000"/>
    <n v="50000"/>
    <x v="0"/>
    <x v="0"/>
    <x v="0"/>
    <s v="Second Owner"/>
    <n v="21"/>
    <s v="Budget"/>
  </r>
  <r>
    <s v="Maruti Alto LXi BSII"/>
    <x v="19"/>
    <n v="100000"/>
    <n v="80000"/>
    <x v="0"/>
    <x v="0"/>
    <x v="0"/>
    <s v="Fourth &amp; Above Owner"/>
    <n v="24"/>
    <s v="Budget"/>
  </r>
  <r>
    <s v="Mahindra Scorpio M2DI"/>
    <x v="10"/>
    <n v="480000"/>
    <n v="90000"/>
    <x v="1"/>
    <x v="0"/>
    <x v="0"/>
    <s v="First Owner"/>
    <n v="16"/>
    <s v="Budget"/>
  </r>
  <r>
    <s v="Mahindra KUV 100 G80 K2"/>
    <x v="6"/>
    <n v="320000"/>
    <n v="30000"/>
    <x v="0"/>
    <x v="0"/>
    <x v="0"/>
    <s v="Second Owner"/>
    <n v="8"/>
    <s v="Budget"/>
  </r>
  <r>
    <s v="Maruti A-Star Vxi"/>
    <x v="10"/>
    <n v="130000"/>
    <n v="70000"/>
    <x v="0"/>
    <x v="0"/>
    <x v="0"/>
    <s v="Second Owner"/>
    <n v="16"/>
    <s v="Budget"/>
  </r>
  <r>
    <s v="Tata Indica DLS"/>
    <x v="12"/>
    <n v="57000"/>
    <n v="80000"/>
    <x v="1"/>
    <x v="0"/>
    <x v="0"/>
    <s v="Second Owner"/>
    <n v="20"/>
    <s v="Budget"/>
  </r>
  <r>
    <s v="Hyundai Santro GLS I - Euro I"/>
    <x v="14"/>
    <n v="75000"/>
    <n v="60000"/>
    <x v="0"/>
    <x v="0"/>
    <x v="0"/>
    <s v="First Owner"/>
    <n v="21"/>
    <s v="Budget"/>
  </r>
  <r>
    <s v="Maruti 800 DX"/>
    <x v="18"/>
    <n v="60000"/>
    <n v="35000"/>
    <x v="0"/>
    <x v="0"/>
    <x v="0"/>
    <s v="First Owner"/>
    <n v="23"/>
    <s v="Budget"/>
  </r>
  <r>
    <s v="Maruti Alto LXi BSIII"/>
    <x v="15"/>
    <n v="125000"/>
    <n v="70000"/>
    <x v="0"/>
    <x v="0"/>
    <x v="0"/>
    <s v="First Owner"/>
    <n v="18"/>
    <s v="Budget"/>
  </r>
  <r>
    <s v="Honda City 1.5 EXI S"/>
    <x v="16"/>
    <n v="105000"/>
    <n v="100000"/>
    <x v="0"/>
    <x v="0"/>
    <x v="0"/>
    <s v="Third Owner"/>
    <n v="22"/>
    <s v="Budget"/>
  </r>
  <r>
    <s v="Maruti Wagon R LXI DUO BSIII"/>
    <x v="15"/>
    <n v="125000"/>
    <n v="152000"/>
    <x v="3"/>
    <x v="0"/>
    <x v="0"/>
    <s v="Second Owner"/>
    <n v="18"/>
    <s v="Budget"/>
  </r>
  <r>
    <s v="Maruti Zen LXI"/>
    <x v="17"/>
    <n v="69000"/>
    <n v="70000"/>
    <x v="0"/>
    <x v="0"/>
    <x v="0"/>
    <s v="Second Owner"/>
    <n v="28"/>
    <s v="Budget"/>
  </r>
  <r>
    <s v="Tata Indigo LX"/>
    <x v="1"/>
    <n v="130000"/>
    <n v="90000"/>
    <x v="1"/>
    <x v="0"/>
    <x v="0"/>
    <s v="Second Owner"/>
    <n v="14"/>
    <s v="Budget"/>
  </r>
  <r>
    <s v="Maruti Baleno Zeta 1.2"/>
    <x v="7"/>
    <n v="630000"/>
    <n v="40000"/>
    <x v="0"/>
    <x v="0"/>
    <x v="0"/>
    <s v="First Owner"/>
    <n v="7"/>
    <s v="Mid Range"/>
  </r>
  <r>
    <s v="Honda Amaze E i-VTEC"/>
    <x v="4"/>
    <n v="330000"/>
    <n v="50000"/>
    <x v="0"/>
    <x v="0"/>
    <x v="0"/>
    <s v="Second Owner"/>
    <n v="10"/>
    <s v="Budget"/>
  </r>
  <r>
    <s v="Maruti Wagon R VXI BS IV"/>
    <x v="3"/>
    <n v="340000"/>
    <n v="15000"/>
    <x v="0"/>
    <x v="0"/>
    <x v="0"/>
    <s v="Second Owner"/>
    <n v="12"/>
    <s v="Budget"/>
  </r>
  <r>
    <s v="Hyundai Santro Xing XG eRLX Euro III"/>
    <x v="12"/>
    <n v="60000"/>
    <n v="120000"/>
    <x v="0"/>
    <x v="0"/>
    <x v="0"/>
    <s v="Third Owner"/>
    <n v="20"/>
    <s v="Budget"/>
  </r>
  <r>
    <s v="Tata Safari Storme EX"/>
    <x v="3"/>
    <n v="550000"/>
    <n v="78322"/>
    <x v="1"/>
    <x v="0"/>
    <x v="0"/>
    <s v="First Owner"/>
    <n v="12"/>
    <s v="Mid Range"/>
  </r>
  <r>
    <s v="Maruti Ertiga VDI"/>
    <x v="3"/>
    <n v="480000"/>
    <n v="110000"/>
    <x v="1"/>
    <x v="0"/>
    <x v="0"/>
    <s v="Second Owner"/>
    <n v="12"/>
    <s v="Budget"/>
  </r>
  <r>
    <s v="Hyundai Verna 1.6 SX CRDi (O)"/>
    <x v="8"/>
    <n v="315000"/>
    <n v="80000"/>
    <x v="1"/>
    <x v="0"/>
    <x v="0"/>
    <s v="Second Owner"/>
    <n v="13"/>
    <s v="Budget"/>
  </r>
  <r>
    <s v="Ford Fiesta Titanium 1.5 TDCi"/>
    <x v="1"/>
    <n v="165000"/>
    <n v="120000"/>
    <x v="1"/>
    <x v="0"/>
    <x v="0"/>
    <s v="First Owner"/>
    <n v="14"/>
    <s v="Budget"/>
  </r>
  <r>
    <s v="Chevrolet Beat LS"/>
    <x v="4"/>
    <n v="170000"/>
    <n v="125000"/>
    <x v="0"/>
    <x v="0"/>
    <x v="0"/>
    <s v="First Owner"/>
    <n v="10"/>
    <s v="Budget"/>
  </r>
  <r>
    <s v="Maruti Baleno Delta 1.2"/>
    <x v="6"/>
    <n v="550000"/>
    <n v="8000"/>
    <x v="0"/>
    <x v="0"/>
    <x v="0"/>
    <s v="First Owner"/>
    <n v="8"/>
    <s v="Mid Range"/>
  </r>
  <r>
    <s v="Volkswagen Ameo 1.2 MPI Trendline"/>
    <x v="6"/>
    <n v="465000"/>
    <n v="13000"/>
    <x v="0"/>
    <x v="0"/>
    <x v="0"/>
    <s v="First Owner"/>
    <n v="8"/>
    <s v="Budget"/>
  </r>
  <r>
    <s v="Tata Indica Vista Quadrajet LX"/>
    <x v="1"/>
    <n v="120000"/>
    <n v="80000"/>
    <x v="1"/>
    <x v="0"/>
    <x v="0"/>
    <s v="Third Owner"/>
    <n v="14"/>
    <s v="Budget"/>
  </r>
  <r>
    <s v="Hyundai Verna 1.6 Xi ABS"/>
    <x v="15"/>
    <n v="220000"/>
    <n v="54309"/>
    <x v="0"/>
    <x v="0"/>
    <x v="0"/>
    <s v="First Owner"/>
    <n v="18"/>
    <s v="Budget"/>
  </r>
  <r>
    <s v="Ford Figo Diesel LXI"/>
    <x v="9"/>
    <n v="180000"/>
    <n v="70000"/>
    <x v="1"/>
    <x v="0"/>
    <x v="0"/>
    <s v="Second Owner"/>
    <n v="15"/>
    <s v="Budget"/>
  </r>
  <r>
    <s v="Chevrolet Aveo 1.6 LT"/>
    <x v="12"/>
    <n v="150000"/>
    <n v="34600"/>
    <x v="0"/>
    <x v="0"/>
    <x v="0"/>
    <s v="Third Owner"/>
    <n v="20"/>
    <s v="Budget"/>
  </r>
  <r>
    <s v="Tata Zest Revotron 1.2T XMS"/>
    <x v="4"/>
    <n v="520000"/>
    <n v="25000"/>
    <x v="0"/>
    <x v="0"/>
    <x v="0"/>
    <s v="First Owner"/>
    <n v="10"/>
    <s v="Mid Range"/>
  </r>
  <r>
    <s v="Tata Safari Storme EX"/>
    <x v="8"/>
    <n v="430000"/>
    <n v="80000"/>
    <x v="1"/>
    <x v="0"/>
    <x v="0"/>
    <s v="Third Owner"/>
    <n v="13"/>
    <s v="Budget"/>
  </r>
  <r>
    <s v="Mahindra Bolero DI DX 8 Seater"/>
    <x v="11"/>
    <n v="300000"/>
    <n v="55000"/>
    <x v="1"/>
    <x v="0"/>
    <x v="0"/>
    <s v="Second Owner"/>
    <n v="17"/>
    <s v="Budget"/>
  </r>
  <r>
    <s v="Hyundai Venue SX Opt Diesel"/>
    <x v="20"/>
    <n v="1000000"/>
    <n v="5000"/>
    <x v="1"/>
    <x v="0"/>
    <x v="0"/>
    <s v="First Owner"/>
    <n v="6"/>
    <s v="Mid Range"/>
  </r>
  <r>
    <s v="Honda WR-V i-DTEC VX"/>
    <x v="2"/>
    <n v="725000"/>
    <n v="30000"/>
    <x v="1"/>
    <x v="0"/>
    <x v="0"/>
    <s v="First Owner"/>
    <n v="9"/>
    <s v="Mid Range"/>
  </r>
  <r>
    <s v="Hyundai Verna 1.4 EX"/>
    <x v="9"/>
    <n v="500000"/>
    <n v="31000"/>
    <x v="1"/>
    <x v="0"/>
    <x v="0"/>
    <s v="First Owner"/>
    <n v="15"/>
    <s v="Mid Range"/>
  </r>
  <r>
    <s v="Maruti Wagon R LXI BS IV"/>
    <x v="9"/>
    <n v="250000"/>
    <n v="50000"/>
    <x v="0"/>
    <x v="0"/>
    <x v="0"/>
    <s v="First Owner"/>
    <n v="15"/>
    <s v="Budget"/>
  </r>
  <r>
    <s v="Maruti Swift Dzire VDI"/>
    <x v="6"/>
    <n v="700000"/>
    <n v="38217"/>
    <x v="1"/>
    <x v="0"/>
    <x v="0"/>
    <s v="First Owner"/>
    <n v="8"/>
    <s v="Mid Range"/>
  </r>
  <r>
    <s v="Ford Figo Petrol ZXI"/>
    <x v="9"/>
    <n v="185000"/>
    <n v="50000"/>
    <x v="0"/>
    <x v="0"/>
    <x v="0"/>
    <s v="Third Owner"/>
    <n v="15"/>
    <s v="Budget"/>
  </r>
  <r>
    <s v="Maruti Ritz VDi"/>
    <x v="9"/>
    <n v="200000"/>
    <n v="120000"/>
    <x v="1"/>
    <x v="0"/>
    <x v="0"/>
    <s v="First Owner"/>
    <n v="15"/>
    <s v="Budget"/>
  </r>
  <r>
    <s v="Mahindra Bolero DI"/>
    <x v="16"/>
    <n v="315000"/>
    <n v="110000"/>
    <x v="1"/>
    <x v="0"/>
    <x v="0"/>
    <s v="Third Owner"/>
    <n v="22"/>
    <s v="Budget"/>
  </r>
  <r>
    <s v="Tata Harrier XZ BSIV"/>
    <x v="7"/>
    <n v="1700000"/>
    <n v="10000"/>
    <x v="1"/>
    <x v="0"/>
    <x v="0"/>
    <s v="First Owner"/>
    <n v="7"/>
    <s v="Premium"/>
  </r>
  <r>
    <s v="Mahindra KUV 100 mFALCON G80 K8 5str"/>
    <x v="4"/>
    <n v="370000"/>
    <n v="60000"/>
    <x v="0"/>
    <x v="0"/>
    <x v="0"/>
    <s v="First Owner"/>
    <n v="10"/>
    <s v="Budget"/>
  </r>
  <r>
    <s v="Hyundai i10 Sportz"/>
    <x v="9"/>
    <n v="250000"/>
    <n v="50000"/>
    <x v="0"/>
    <x v="0"/>
    <x v="0"/>
    <s v="First Owner"/>
    <n v="15"/>
    <s v="Budget"/>
  </r>
  <r>
    <s v="Maruti Ignis 1.2 Delta BSIV"/>
    <x v="7"/>
    <n v="500000"/>
    <n v="15000"/>
    <x v="0"/>
    <x v="0"/>
    <x v="0"/>
    <s v="First Owner"/>
    <n v="7"/>
    <s v="Mid Range"/>
  </r>
  <r>
    <s v="Toyota Corolla Altis 1.8 J"/>
    <x v="15"/>
    <n v="400000"/>
    <n v="35000"/>
    <x v="0"/>
    <x v="0"/>
    <x v="0"/>
    <s v="Second Owner"/>
    <n v="18"/>
    <s v="Budget"/>
  </r>
  <r>
    <s v="Tata Manza Club Class Quadrajet90 LS"/>
    <x v="3"/>
    <n v="200000"/>
    <n v="100000"/>
    <x v="1"/>
    <x v="0"/>
    <x v="0"/>
    <s v="First Owner"/>
    <n v="12"/>
    <s v="Budget"/>
  </r>
  <r>
    <s v="Maruti Swift Dzire VDI"/>
    <x v="4"/>
    <n v="284000"/>
    <n v="40000"/>
    <x v="1"/>
    <x v="0"/>
    <x v="0"/>
    <s v="Second Owner"/>
    <n v="10"/>
    <s v="Budget"/>
  </r>
  <r>
    <s v="Maruti Wagon R VXI Minor"/>
    <x v="0"/>
    <n v="80000"/>
    <n v="60000"/>
    <x v="0"/>
    <x v="0"/>
    <x v="0"/>
    <s v="Third Owner"/>
    <n v="19"/>
    <s v="Budget"/>
  </r>
  <r>
    <s v="Chevrolet Beat PS"/>
    <x v="3"/>
    <n v="170000"/>
    <n v="77000"/>
    <x v="0"/>
    <x v="0"/>
    <x v="0"/>
    <s v="First Owner"/>
    <n v="12"/>
    <s v="Budget"/>
  </r>
  <r>
    <s v="Hyundai Accent Executive"/>
    <x v="9"/>
    <n v="150000"/>
    <n v="60000"/>
    <x v="0"/>
    <x v="0"/>
    <x v="0"/>
    <s v="First Owner"/>
    <n v="15"/>
    <s v="Budget"/>
  </r>
  <r>
    <s v="Tata Manza Aura (ABS) Safire BS IV"/>
    <x v="10"/>
    <n v="110000"/>
    <n v="77073"/>
    <x v="0"/>
    <x v="0"/>
    <x v="0"/>
    <s v="Second Owner"/>
    <n v="16"/>
    <s v="Budget"/>
  </r>
  <r>
    <s v="Ford Figo Aspire 1.5 TDCi Titanium"/>
    <x v="4"/>
    <n v="400000"/>
    <n v="70000"/>
    <x v="1"/>
    <x v="0"/>
    <x v="0"/>
    <s v="First Owner"/>
    <n v="10"/>
    <s v="Budget"/>
  </r>
  <r>
    <s v="Hyundai i10 Magna LPG"/>
    <x v="8"/>
    <n v="275000"/>
    <n v="90000"/>
    <x v="3"/>
    <x v="0"/>
    <x v="0"/>
    <s v="Second Owner"/>
    <n v="13"/>
    <s v="Budget"/>
  </r>
  <r>
    <s v="Toyota Innova 2.5 G (Diesel) 7 Seater"/>
    <x v="8"/>
    <n v="800000"/>
    <n v="186000"/>
    <x v="1"/>
    <x v="0"/>
    <x v="0"/>
    <s v="Third Owner"/>
    <n v="13"/>
    <s v="Mid Range"/>
  </r>
  <r>
    <s v="Mahindra Scorpio M2DI"/>
    <x v="3"/>
    <n v="550000"/>
    <n v="90000"/>
    <x v="1"/>
    <x v="0"/>
    <x v="0"/>
    <s v="First Owner"/>
    <n v="12"/>
    <s v="Mid Range"/>
  </r>
  <r>
    <s v="Maruti Alto LX BSIII"/>
    <x v="0"/>
    <n v="125000"/>
    <n v="100000"/>
    <x v="0"/>
    <x v="0"/>
    <x v="0"/>
    <s v="Second Owner"/>
    <n v="19"/>
    <s v="Budget"/>
  </r>
  <r>
    <s v="Chevrolet Beat LT"/>
    <x v="10"/>
    <n v="135000"/>
    <n v="80000"/>
    <x v="0"/>
    <x v="0"/>
    <x v="0"/>
    <s v="Second Owner"/>
    <n v="16"/>
    <s v="Budget"/>
  </r>
  <r>
    <s v="Mahindra Scorpio LX BSIV"/>
    <x v="1"/>
    <n v="349000"/>
    <n v="150000"/>
    <x v="1"/>
    <x v="0"/>
    <x v="0"/>
    <s v="First Owner"/>
    <n v="14"/>
    <s v="Budget"/>
  </r>
  <r>
    <s v="Maruti Swift VDI BSIV"/>
    <x v="3"/>
    <n v="458000"/>
    <n v="80000"/>
    <x v="1"/>
    <x v="0"/>
    <x v="0"/>
    <s v="First Owner"/>
    <n v="12"/>
    <s v="Budget"/>
  </r>
  <r>
    <s v="Maruti Alto K10 VXI"/>
    <x v="6"/>
    <n v="300000"/>
    <n v="35000"/>
    <x v="0"/>
    <x v="0"/>
    <x v="0"/>
    <s v="First Owner"/>
    <n v="8"/>
    <s v="Budget"/>
  </r>
  <r>
    <s v="Maruti Alto LXi"/>
    <x v="15"/>
    <n v="95000"/>
    <n v="70000"/>
    <x v="0"/>
    <x v="0"/>
    <x v="0"/>
    <s v="First Owner"/>
    <n v="18"/>
    <s v="Budget"/>
  </r>
  <r>
    <s v="Maruti S-Cross Zeta DDiS 200 SH"/>
    <x v="6"/>
    <n v="850000"/>
    <n v="50000"/>
    <x v="1"/>
    <x v="0"/>
    <x v="0"/>
    <s v="First Owner"/>
    <n v="8"/>
    <s v="Mid Range"/>
  </r>
  <r>
    <s v="Ford Freestyle Titanium Diesel"/>
    <x v="7"/>
    <n v="750000"/>
    <n v="25000"/>
    <x v="1"/>
    <x v="0"/>
    <x v="0"/>
    <s v="First Owner"/>
    <n v="7"/>
    <s v="Mid Range"/>
  </r>
  <r>
    <s v="Ford Figo Diesel Celebration Edition"/>
    <x v="8"/>
    <n v="190000"/>
    <n v="120000"/>
    <x v="1"/>
    <x v="0"/>
    <x v="0"/>
    <s v="First Owner"/>
    <n v="13"/>
    <s v="Budget"/>
  </r>
  <r>
    <s v="Maruti Wagon R LXI Minor"/>
    <x v="11"/>
    <n v="150000"/>
    <n v="70000"/>
    <x v="0"/>
    <x v="0"/>
    <x v="0"/>
    <s v="First Owner"/>
    <n v="17"/>
    <s v="Budget"/>
  </r>
  <r>
    <s v="Hyundai Accent GLE"/>
    <x v="11"/>
    <n v="114999"/>
    <n v="106000"/>
    <x v="0"/>
    <x v="0"/>
    <x v="0"/>
    <s v="Third Owner"/>
    <n v="17"/>
    <s v="Budget"/>
  </r>
  <r>
    <s v="Toyota Innova 2.0 VX 7 Seater"/>
    <x v="10"/>
    <n v="320000"/>
    <n v="120000"/>
    <x v="0"/>
    <x v="0"/>
    <x v="0"/>
    <s v="Third Owner"/>
    <n v="16"/>
    <s v="Budget"/>
  </r>
  <r>
    <s v="Maruti Alto 800 CNG LXI Optional"/>
    <x v="7"/>
    <n v="300000"/>
    <n v="120000"/>
    <x v="2"/>
    <x v="0"/>
    <x v="0"/>
    <s v="First Owner"/>
    <n v="7"/>
    <s v="Budget"/>
  </r>
  <r>
    <s v="Maruti Ritz LXi"/>
    <x v="4"/>
    <n v="275000"/>
    <n v="160000"/>
    <x v="0"/>
    <x v="0"/>
    <x v="0"/>
    <s v="First Owner"/>
    <n v="10"/>
    <s v="Budget"/>
  </r>
  <r>
    <s v="Chevrolet Aveo 1.6 LT with ABS"/>
    <x v="10"/>
    <n v="140000"/>
    <n v="120000"/>
    <x v="0"/>
    <x v="0"/>
    <x v="0"/>
    <s v="Second Owner"/>
    <n v="16"/>
    <s v="Budget"/>
  </r>
  <r>
    <s v="Tata Altroz XZ"/>
    <x v="20"/>
    <n v="830000"/>
    <n v="10000"/>
    <x v="0"/>
    <x v="0"/>
    <x v="0"/>
    <s v="First Owner"/>
    <n v="6"/>
    <s v="Mid Range"/>
  </r>
  <r>
    <s v="Volkswagen Polo SR Petrol 1.2L"/>
    <x v="8"/>
    <n v="380000"/>
    <n v="50000"/>
    <x v="0"/>
    <x v="0"/>
    <x v="0"/>
    <s v="First Owner"/>
    <n v="13"/>
    <s v="Budget"/>
  </r>
  <r>
    <s v="Hyundai i10 Magna 1.2"/>
    <x v="10"/>
    <n v="150000"/>
    <n v="90000"/>
    <x v="0"/>
    <x v="0"/>
    <x v="0"/>
    <s v="Second Owner"/>
    <n v="16"/>
    <s v="Budget"/>
  </r>
  <r>
    <s v="Chevrolet Spark 1.0 LS"/>
    <x v="15"/>
    <n v="50000"/>
    <n v="70000"/>
    <x v="0"/>
    <x v="0"/>
    <x v="0"/>
    <s v="First Owner"/>
    <n v="18"/>
    <s v="Budget"/>
  </r>
  <r>
    <s v="Mahindra Bolero SLX"/>
    <x v="15"/>
    <n v="155000"/>
    <n v="100000"/>
    <x v="1"/>
    <x v="0"/>
    <x v="0"/>
    <s v="First Owner"/>
    <n v="18"/>
    <s v="Budget"/>
  </r>
  <r>
    <s v="Skoda Superb 1.8 TFSI MT"/>
    <x v="10"/>
    <n v="300000"/>
    <n v="80000"/>
    <x v="0"/>
    <x v="0"/>
    <x v="0"/>
    <s v="First Owner"/>
    <n v="16"/>
    <s v="Budget"/>
  </r>
  <r>
    <s v="Maruti Alto 800 LXI"/>
    <x v="6"/>
    <n v="300000"/>
    <n v="16584"/>
    <x v="0"/>
    <x v="1"/>
    <x v="0"/>
    <s v="First Owner"/>
    <n v="8"/>
    <s v="Budget"/>
  </r>
  <r>
    <s v="Tata Tiago 2019-2020 XE Diesel"/>
    <x v="4"/>
    <n v="385000"/>
    <n v="38000"/>
    <x v="1"/>
    <x v="1"/>
    <x v="0"/>
    <s v="First Owner"/>
    <n v="10"/>
    <s v="Budget"/>
  </r>
  <r>
    <s v="Maruti Wagon R LXI"/>
    <x v="10"/>
    <n v="221000"/>
    <n v="51000"/>
    <x v="0"/>
    <x v="1"/>
    <x v="0"/>
    <s v="First Owner"/>
    <n v="16"/>
    <s v="Budget"/>
  </r>
  <r>
    <s v="Tata Tiago 1.05 Revotorq XE"/>
    <x v="4"/>
    <n v="381000"/>
    <n v="38000"/>
    <x v="1"/>
    <x v="1"/>
    <x v="0"/>
    <s v="First Owner"/>
    <n v="10"/>
    <s v="Budget"/>
  </r>
  <r>
    <s v="Maruti Alto 800 LXI"/>
    <x v="5"/>
    <n v="250999"/>
    <n v="35000"/>
    <x v="0"/>
    <x v="1"/>
    <x v="0"/>
    <s v="First Owner"/>
    <n v="11"/>
    <s v="Budget"/>
  </r>
  <r>
    <s v="Hyundai Santro LS zipPlus"/>
    <x v="19"/>
    <n v="60000"/>
    <n v="120000"/>
    <x v="0"/>
    <x v="0"/>
    <x v="0"/>
    <s v="Third Owner"/>
    <n v="24"/>
    <s v="Budget"/>
  </r>
  <r>
    <s v="Tata Tiago 1.05 Revotorq XE"/>
    <x v="4"/>
    <n v="380000"/>
    <n v="38000"/>
    <x v="1"/>
    <x v="1"/>
    <x v="0"/>
    <s v="First Owner"/>
    <n v="10"/>
    <s v="Budget"/>
  </r>
  <r>
    <s v="Skoda Laura L n K 1.9 PD"/>
    <x v="15"/>
    <n v="180000"/>
    <n v="144000"/>
    <x v="1"/>
    <x v="0"/>
    <x v="0"/>
    <s v="Third Owner"/>
    <n v="18"/>
    <s v="Budget"/>
  </r>
  <r>
    <s v="Maruti Ciaz ZDi Plus"/>
    <x v="2"/>
    <n v="751000"/>
    <n v="64000"/>
    <x v="1"/>
    <x v="1"/>
    <x v="0"/>
    <s v="First Owner"/>
    <n v="9"/>
    <s v="Mid Range"/>
  </r>
  <r>
    <s v="Mahindra XUV500 AT W10 FWD"/>
    <x v="5"/>
    <n v="1250000"/>
    <n v="60000"/>
    <x v="1"/>
    <x v="1"/>
    <x v="1"/>
    <s v="First Owner"/>
    <n v="11"/>
    <s v="Premium"/>
  </r>
  <r>
    <s v="Hyundai EON 1.0 Era Plus"/>
    <x v="3"/>
    <n v="229999"/>
    <n v="65000"/>
    <x v="0"/>
    <x v="1"/>
    <x v="0"/>
    <s v="First Owner"/>
    <n v="12"/>
    <s v="Budget"/>
  </r>
  <r>
    <s v="Tata Safari Storme EX"/>
    <x v="7"/>
    <n v="1250000"/>
    <n v="24000"/>
    <x v="1"/>
    <x v="0"/>
    <x v="0"/>
    <s v="First Owner"/>
    <n v="7"/>
    <s v="Premium"/>
  </r>
  <r>
    <s v="Mahindra Scorpio VLX 2WD BSIV"/>
    <x v="3"/>
    <n v="782000"/>
    <n v="58000"/>
    <x v="1"/>
    <x v="1"/>
    <x v="0"/>
    <s v="Second Owner"/>
    <n v="12"/>
    <s v="Mid Range"/>
  </r>
  <r>
    <s v="Mahindra Scorpio VLX 2.2 mHawk Airbag BSIV"/>
    <x v="3"/>
    <n v="780000"/>
    <n v="58000"/>
    <x v="1"/>
    <x v="1"/>
    <x v="0"/>
    <s v="Second Owner"/>
    <n v="12"/>
    <s v="Mid Range"/>
  </r>
  <r>
    <s v="Maruti Alto 800 LXI"/>
    <x v="4"/>
    <n v="245000"/>
    <n v="68000"/>
    <x v="0"/>
    <x v="1"/>
    <x v="0"/>
    <s v="First Owner"/>
    <n v="10"/>
    <s v="Budget"/>
  </r>
  <r>
    <s v="Hyundai i20 1.4 CRDi Sportz"/>
    <x v="9"/>
    <n v="321000"/>
    <n v="81257"/>
    <x v="1"/>
    <x v="1"/>
    <x v="0"/>
    <s v="First Owner"/>
    <n v="15"/>
    <s v="Budget"/>
  </r>
  <r>
    <s v="Hyundai Grand i10 1.2 CRDi Sportz Option"/>
    <x v="2"/>
    <n v="509999"/>
    <n v="44000"/>
    <x v="1"/>
    <x v="1"/>
    <x v="0"/>
    <s v="First Owner"/>
    <n v="9"/>
    <s v="Mid Range"/>
  </r>
  <r>
    <s v="Tata Nano CX SE"/>
    <x v="5"/>
    <n v="110000"/>
    <n v="45000"/>
    <x v="0"/>
    <x v="1"/>
    <x v="0"/>
    <s v="First Owner"/>
    <n v="11"/>
    <s v="Budget"/>
  </r>
  <r>
    <s v="Volkswagen Polo Diesel Highline 1.2L"/>
    <x v="8"/>
    <n v="400000"/>
    <n v="75000"/>
    <x v="1"/>
    <x v="1"/>
    <x v="0"/>
    <s v="First Owner"/>
    <n v="13"/>
    <s v="Budget"/>
  </r>
  <r>
    <s v="Maruti Swift VXI"/>
    <x v="8"/>
    <n v="370000"/>
    <n v="90000"/>
    <x v="0"/>
    <x v="0"/>
    <x v="0"/>
    <s v="First Owner"/>
    <n v="13"/>
    <s v="Budget"/>
  </r>
  <r>
    <s v="Hyundai Verna CRDi ABS"/>
    <x v="0"/>
    <n v="175000"/>
    <n v="80000"/>
    <x v="1"/>
    <x v="0"/>
    <x v="0"/>
    <s v="Second Owner"/>
    <n v="19"/>
    <s v="Budget"/>
  </r>
  <r>
    <s v="Mercedes-Benz E-Class 230"/>
    <x v="17"/>
    <n v="1000000"/>
    <n v="35000"/>
    <x v="0"/>
    <x v="0"/>
    <x v="1"/>
    <s v="Second Owner"/>
    <n v="28"/>
    <s v="Mid Range"/>
  </r>
  <r>
    <s v="Maruti Alto 800 LXI"/>
    <x v="8"/>
    <n v="92800"/>
    <n v="25000"/>
    <x v="0"/>
    <x v="0"/>
    <x v="0"/>
    <s v="Second Owner"/>
    <n v="13"/>
    <s v="Budget"/>
  </r>
  <r>
    <s v="Tata Xenon XT EX 4X2"/>
    <x v="3"/>
    <n v="291000"/>
    <n v="90000"/>
    <x v="1"/>
    <x v="0"/>
    <x v="0"/>
    <s v="First Owner"/>
    <n v="12"/>
    <s v="Budget"/>
  </r>
  <r>
    <s v="Hyundai Verna 1.6 SX CRDi (O)"/>
    <x v="8"/>
    <n v="335000"/>
    <n v="110000"/>
    <x v="1"/>
    <x v="0"/>
    <x v="0"/>
    <s v="Third Owner"/>
    <n v="13"/>
    <s v="Budget"/>
  </r>
  <r>
    <s v="Maruti Omni 8 Seater BSIV"/>
    <x v="8"/>
    <n v="170000"/>
    <n v="35000"/>
    <x v="0"/>
    <x v="0"/>
    <x v="0"/>
    <s v="First Owner"/>
    <n v="13"/>
    <s v="Budget"/>
  </r>
  <r>
    <s v="Maruti Alto 800 LXI"/>
    <x v="7"/>
    <n v="295000"/>
    <n v="10000"/>
    <x v="0"/>
    <x v="0"/>
    <x v="0"/>
    <s v="First Owner"/>
    <n v="7"/>
    <s v="Budget"/>
  </r>
  <r>
    <s v="Renault KWID RXL"/>
    <x v="7"/>
    <n v="375000"/>
    <n v="10000"/>
    <x v="0"/>
    <x v="0"/>
    <x v="0"/>
    <s v="First Owner"/>
    <n v="7"/>
    <s v="Budget"/>
  </r>
  <r>
    <s v="Hyundai EON Era Plus"/>
    <x v="1"/>
    <n v="215000"/>
    <n v="70000"/>
    <x v="0"/>
    <x v="0"/>
    <x v="0"/>
    <s v="Second Owner"/>
    <n v="14"/>
    <s v="Budget"/>
  </r>
  <r>
    <s v="Ford Fiesta 1.4 ZXi TDCi ABS"/>
    <x v="11"/>
    <n v="150000"/>
    <n v="110000"/>
    <x v="1"/>
    <x v="0"/>
    <x v="0"/>
    <s v="Second Owner"/>
    <n v="17"/>
    <s v="Budget"/>
  </r>
  <r>
    <s v="Maruti Alto LXI"/>
    <x v="18"/>
    <n v="60000"/>
    <n v="5000"/>
    <x v="0"/>
    <x v="0"/>
    <x v="0"/>
    <s v="Second Owner"/>
    <n v="23"/>
    <s v="Budget"/>
  </r>
  <r>
    <s v="Tata New Safari Dicor EX 4X2 BS IV"/>
    <x v="1"/>
    <n v="280000"/>
    <n v="110000"/>
    <x v="1"/>
    <x v="0"/>
    <x v="0"/>
    <s v="Fourth &amp; Above Owner"/>
    <n v="14"/>
    <s v="Budget"/>
  </r>
  <r>
    <s v="Toyota Etios VD"/>
    <x v="4"/>
    <n v="450000"/>
    <n v="50000"/>
    <x v="1"/>
    <x v="0"/>
    <x v="0"/>
    <s v="Second Owner"/>
    <n v="10"/>
    <s v="Budget"/>
  </r>
  <r>
    <s v="Mahindra XUV500 W7"/>
    <x v="6"/>
    <n v="1150000"/>
    <n v="58000"/>
    <x v="1"/>
    <x v="0"/>
    <x v="0"/>
    <s v="First Owner"/>
    <n v="8"/>
    <s v="Premium"/>
  </r>
  <r>
    <s v="Maruti Baleno Delta 1.3"/>
    <x v="6"/>
    <n v="650000"/>
    <n v="15000"/>
    <x v="1"/>
    <x v="0"/>
    <x v="0"/>
    <s v="First Owner"/>
    <n v="8"/>
    <s v="Mid Range"/>
  </r>
  <r>
    <s v="Tata Zest Revotron 1.2T XE"/>
    <x v="5"/>
    <n v="300000"/>
    <n v="60000"/>
    <x v="0"/>
    <x v="0"/>
    <x v="0"/>
    <s v="Second Owner"/>
    <n v="11"/>
    <s v="Budget"/>
  </r>
  <r>
    <s v="Tata Nano Twist XT"/>
    <x v="5"/>
    <n v="73000"/>
    <n v="57000"/>
    <x v="0"/>
    <x v="0"/>
    <x v="0"/>
    <s v="First Owner"/>
    <n v="11"/>
    <s v="Budget"/>
  </r>
  <r>
    <s v="Maruti Swift VDI BSIV"/>
    <x v="5"/>
    <n v="400000"/>
    <n v="87000"/>
    <x v="1"/>
    <x v="0"/>
    <x v="0"/>
    <s v="Third Owner"/>
    <n v="11"/>
    <s v="Budget"/>
  </r>
  <r>
    <s v="Renault KWID 1.0 RXT Optional"/>
    <x v="2"/>
    <n v="300000"/>
    <n v="70000"/>
    <x v="0"/>
    <x v="0"/>
    <x v="0"/>
    <s v="First Owner"/>
    <n v="9"/>
    <s v="Budget"/>
  </r>
  <r>
    <s v="Maruti Wagon R AX"/>
    <x v="1"/>
    <n v="300000"/>
    <n v="30000"/>
    <x v="0"/>
    <x v="0"/>
    <x v="1"/>
    <s v="Second Owner"/>
    <n v="14"/>
    <s v="Budget"/>
  </r>
  <r>
    <s v="Maruti Swift Dzire VDI"/>
    <x v="1"/>
    <n v="450000"/>
    <n v="80000"/>
    <x v="1"/>
    <x v="0"/>
    <x v="0"/>
    <s v="First Owner"/>
    <n v="14"/>
    <s v="Budget"/>
  </r>
  <r>
    <s v="Hyundai Santro Xing GLS"/>
    <x v="11"/>
    <n v="200000"/>
    <n v="100000"/>
    <x v="0"/>
    <x v="0"/>
    <x v="0"/>
    <s v="Second Owner"/>
    <n v="17"/>
    <s v="Budget"/>
  </r>
  <r>
    <s v="Maruti Swift VXI"/>
    <x v="7"/>
    <n v="580000"/>
    <n v="40000"/>
    <x v="0"/>
    <x v="0"/>
    <x v="0"/>
    <s v="First Owner"/>
    <n v="7"/>
    <s v="Mid Range"/>
  </r>
  <r>
    <s v="Hyundai Grand i10 1.2 Kappa Asta"/>
    <x v="2"/>
    <n v="550000"/>
    <n v="3917"/>
    <x v="0"/>
    <x v="0"/>
    <x v="0"/>
    <s v="First Owner"/>
    <n v="9"/>
    <s v="Mid Range"/>
  </r>
  <r>
    <s v="Mahindra Scorpio SLX 2.6 Turbo 8 Str"/>
    <x v="0"/>
    <n v="190000"/>
    <n v="160000"/>
    <x v="1"/>
    <x v="0"/>
    <x v="0"/>
    <s v="Second Owner"/>
    <n v="19"/>
    <s v="Budget"/>
  </r>
  <r>
    <s v="Tata Tiago 1.05 Revotorq XT Option"/>
    <x v="2"/>
    <n v="450000"/>
    <n v="35000"/>
    <x v="1"/>
    <x v="0"/>
    <x v="0"/>
    <s v="First Owner"/>
    <n v="9"/>
    <s v="Budget"/>
  </r>
  <r>
    <s v="Chevrolet Spark 1.0 LS"/>
    <x v="3"/>
    <n v="220000"/>
    <n v="70000"/>
    <x v="0"/>
    <x v="0"/>
    <x v="0"/>
    <s v="First Owner"/>
    <n v="12"/>
    <s v="Budget"/>
  </r>
  <r>
    <s v="Maruti SX4 ZXI MT BSIV"/>
    <x v="1"/>
    <n v="310000"/>
    <n v="69069"/>
    <x v="0"/>
    <x v="1"/>
    <x v="0"/>
    <s v="First Owner"/>
    <n v="14"/>
    <s v="Budget"/>
  </r>
  <r>
    <s v="Hyundai Elite i20 Sportz Plus BSIV"/>
    <x v="7"/>
    <n v="650000"/>
    <n v="13500"/>
    <x v="0"/>
    <x v="0"/>
    <x v="0"/>
    <s v="First Owner"/>
    <n v="7"/>
    <s v="Mid Range"/>
  </r>
  <r>
    <s v="Maruti Wagon R Stingray VXI"/>
    <x v="3"/>
    <n v="300000"/>
    <n v="59059"/>
    <x v="0"/>
    <x v="1"/>
    <x v="0"/>
    <s v="First Owner"/>
    <n v="12"/>
    <s v="Budget"/>
  </r>
  <r>
    <s v="Hyundai Accent Executive"/>
    <x v="8"/>
    <n v="200000"/>
    <n v="70000"/>
    <x v="0"/>
    <x v="0"/>
    <x v="0"/>
    <s v="First Owner"/>
    <n v="13"/>
    <s v="Budget"/>
  </r>
  <r>
    <s v="Honda Brio S MT"/>
    <x v="1"/>
    <n v="285000"/>
    <n v="39039"/>
    <x v="0"/>
    <x v="1"/>
    <x v="0"/>
    <s v="First Owner"/>
    <n v="14"/>
    <s v="Budget"/>
  </r>
  <r>
    <s v="Honda Brio Exclusive Edition"/>
    <x v="3"/>
    <n v="335000"/>
    <n v="33033"/>
    <x v="0"/>
    <x v="1"/>
    <x v="0"/>
    <s v="First Owner"/>
    <n v="12"/>
    <s v="Budget"/>
  </r>
  <r>
    <s v="Hyundai Verna Transform SX VTVT"/>
    <x v="9"/>
    <n v="370000"/>
    <n v="55168"/>
    <x v="0"/>
    <x v="0"/>
    <x v="0"/>
    <s v="Second Owner"/>
    <n v="15"/>
    <s v="Budget"/>
  </r>
  <r>
    <s v="Hyundai i20 1.2 Sportz"/>
    <x v="8"/>
    <n v="375000"/>
    <n v="41041"/>
    <x v="0"/>
    <x v="1"/>
    <x v="0"/>
    <s v="First Owner"/>
    <n v="13"/>
    <s v="Budget"/>
  </r>
  <r>
    <s v="Hyundai i10 Magna"/>
    <x v="11"/>
    <n v="235000"/>
    <n v="67067"/>
    <x v="0"/>
    <x v="1"/>
    <x v="0"/>
    <s v="First Owner"/>
    <n v="17"/>
    <s v="Budget"/>
  </r>
  <r>
    <s v="Hyundai i10 Sportz 1.2 AT"/>
    <x v="8"/>
    <n v="345000"/>
    <n v="66066"/>
    <x v="0"/>
    <x v="1"/>
    <x v="1"/>
    <s v="First Owner"/>
    <n v="13"/>
    <s v="Budget"/>
  </r>
  <r>
    <s v="Mahindra Quanto C8"/>
    <x v="8"/>
    <n v="365000"/>
    <n v="82082"/>
    <x v="1"/>
    <x v="1"/>
    <x v="0"/>
    <s v="First Owner"/>
    <n v="13"/>
    <s v="Budget"/>
  </r>
  <r>
    <s v="Hyundai Grand i10 Sportz"/>
    <x v="3"/>
    <n v="400000"/>
    <n v="48000"/>
    <x v="0"/>
    <x v="0"/>
    <x v="0"/>
    <s v="First Owner"/>
    <n v="12"/>
    <s v="Budget"/>
  </r>
  <r>
    <s v="Hyundai EON D Lite Plus"/>
    <x v="5"/>
    <n v="250000"/>
    <n v="30000"/>
    <x v="0"/>
    <x v="0"/>
    <x v="0"/>
    <s v="First Owner"/>
    <n v="11"/>
    <s v="Budget"/>
  </r>
  <r>
    <s v="Hyundai Verna SX CRDi AT"/>
    <x v="1"/>
    <n v="465000"/>
    <n v="70070"/>
    <x v="1"/>
    <x v="1"/>
    <x v="1"/>
    <s v="First Owner"/>
    <n v="14"/>
    <s v="Budget"/>
  </r>
  <r>
    <s v="Renault KWID RXT"/>
    <x v="2"/>
    <n v="300000"/>
    <n v="10000"/>
    <x v="0"/>
    <x v="0"/>
    <x v="0"/>
    <s v="First Owner"/>
    <n v="9"/>
    <s v="Budget"/>
  </r>
  <r>
    <s v="Maruti Swift Dzire ZXI 1.2 BS IV"/>
    <x v="6"/>
    <n v="655000"/>
    <n v="25000"/>
    <x v="0"/>
    <x v="0"/>
    <x v="0"/>
    <s v="First Owner"/>
    <n v="8"/>
    <s v="Mid Range"/>
  </r>
  <r>
    <s v="Maruti Wagon R LXI CNG"/>
    <x v="4"/>
    <n v="350000"/>
    <n v="30000"/>
    <x v="2"/>
    <x v="0"/>
    <x v="0"/>
    <s v="Second Owner"/>
    <n v="10"/>
    <s v="Budget"/>
  </r>
  <r>
    <s v="Hyundai i10 Sportz 1.2 AT"/>
    <x v="5"/>
    <n v="500000"/>
    <n v="50000"/>
    <x v="0"/>
    <x v="1"/>
    <x v="1"/>
    <s v="First Owner"/>
    <n v="11"/>
    <s v="Mid Range"/>
  </r>
  <r>
    <s v="Hyundai Grand i10 AT Asta"/>
    <x v="5"/>
    <n v="465000"/>
    <n v="63063"/>
    <x v="0"/>
    <x v="1"/>
    <x v="1"/>
    <s v="First Owner"/>
    <n v="11"/>
    <s v="Budget"/>
  </r>
  <r>
    <s v="Maruti Swift VDi BSIII W/ ABS"/>
    <x v="15"/>
    <n v="263000"/>
    <n v="70000"/>
    <x v="1"/>
    <x v="0"/>
    <x v="0"/>
    <s v="First Owner"/>
    <n v="18"/>
    <s v="Budget"/>
  </r>
  <r>
    <s v="Maruti Omni MPI STD BSIV"/>
    <x v="1"/>
    <n v="250000"/>
    <n v="90000"/>
    <x v="0"/>
    <x v="0"/>
    <x v="0"/>
    <s v="First Owner"/>
    <n v="14"/>
    <s v="Budget"/>
  </r>
  <r>
    <s v="Hyundai Accent GLE 1"/>
    <x v="22"/>
    <n v="60000"/>
    <n v="90000"/>
    <x v="0"/>
    <x v="0"/>
    <x v="0"/>
    <s v="Fourth &amp; Above Owner"/>
    <n v="27"/>
    <s v="Budget"/>
  </r>
  <r>
    <s v="Hyundai Getz GLX"/>
    <x v="14"/>
    <n v="70000"/>
    <n v="90000"/>
    <x v="0"/>
    <x v="0"/>
    <x v="0"/>
    <s v="Third Owner"/>
    <n v="21"/>
    <s v="Budget"/>
  </r>
  <r>
    <s v="Honda WR-V i-DTEC VX"/>
    <x v="2"/>
    <n v="650000"/>
    <n v="140000"/>
    <x v="1"/>
    <x v="0"/>
    <x v="0"/>
    <s v="First Owner"/>
    <n v="9"/>
    <s v="Mid Range"/>
  </r>
  <r>
    <s v="Hyundai i20 Asta 1.4 CRDi"/>
    <x v="3"/>
    <n v="370000"/>
    <n v="80000"/>
    <x v="1"/>
    <x v="0"/>
    <x v="0"/>
    <s v="Second Owner"/>
    <n v="12"/>
    <s v="Budget"/>
  </r>
  <r>
    <s v="Maruti Swift VDI Optional"/>
    <x v="4"/>
    <n v="509999"/>
    <n v="40000"/>
    <x v="1"/>
    <x v="0"/>
    <x v="0"/>
    <s v="First Owner"/>
    <n v="10"/>
    <s v="Mid Range"/>
  </r>
  <r>
    <s v="Maruti Zen Estilo VXI BSIV"/>
    <x v="9"/>
    <n v="280000"/>
    <n v="33000"/>
    <x v="0"/>
    <x v="0"/>
    <x v="0"/>
    <s v="First Owner"/>
    <n v="15"/>
    <s v="Budget"/>
  </r>
  <r>
    <s v="Maruti A-Star Vxi"/>
    <x v="10"/>
    <n v="180000"/>
    <n v="40000"/>
    <x v="0"/>
    <x v="0"/>
    <x v="0"/>
    <s v="First Owner"/>
    <n v="16"/>
    <s v="Budget"/>
  </r>
  <r>
    <s v="Ford Ecosport 1.5 Petrol Ambiente"/>
    <x v="2"/>
    <n v="650000"/>
    <n v="6000"/>
    <x v="0"/>
    <x v="0"/>
    <x v="0"/>
    <s v="First Owner"/>
    <n v="9"/>
    <s v="Mid Range"/>
  </r>
  <r>
    <s v="Hyundai Verna SX Diesel"/>
    <x v="10"/>
    <n v="200000"/>
    <n v="78000"/>
    <x v="1"/>
    <x v="1"/>
    <x v="0"/>
    <s v="Second Owner"/>
    <n v="16"/>
    <s v="Budget"/>
  </r>
  <r>
    <s v="Hyundai Verna SX Diesel"/>
    <x v="9"/>
    <n v="210000"/>
    <n v="72000"/>
    <x v="1"/>
    <x v="1"/>
    <x v="0"/>
    <s v="Third Owner"/>
    <n v="15"/>
    <s v="Budget"/>
  </r>
  <r>
    <s v="Tata Nano Cx BSIV"/>
    <x v="9"/>
    <n v="75000"/>
    <n v="9528"/>
    <x v="0"/>
    <x v="1"/>
    <x v="0"/>
    <s v="First Owner"/>
    <n v="15"/>
    <s v="Budget"/>
  </r>
  <r>
    <s v="Toyota Innova 2.5 G (Diesel) 8 Seater"/>
    <x v="9"/>
    <n v="450000"/>
    <n v="135200"/>
    <x v="1"/>
    <x v="1"/>
    <x v="0"/>
    <s v="First Owner"/>
    <n v="15"/>
    <s v="Budget"/>
  </r>
  <r>
    <s v="Hyundai i20 1.2 Sportz"/>
    <x v="9"/>
    <n v="220000"/>
    <n v="58000"/>
    <x v="0"/>
    <x v="1"/>
    <x v="0"/>
    <s v="Second Owner"/>
    <n v="15"/>
    <s v="Budget"/>
  </r>
  <r>
    <s v="Hyundai i20 Magna 1.4 CRDi (Diesel)"/>
    <x v="8"/>
    <n v="325000"/>
    <n v="78000"/>
    <x v="1"/>
    <x v="1"/>
    <x v="0"/>
    <s v="Second Owner"/>
    <n v="13"/>
    <s v="Budget"/>
  </r>
  <r>
    <s v="Tata Zest Revotron 1.2T XE"/>
    <x v="6"/>
    <n v="450000"/>
    <n v="45000"/>
    <x v="0"/>
    <x v="0"/>
    <x v="0"/>
    <s v="First Owner"/>
    <n v="8"/>
    <s v="Budget"/>
  </r>
  <r>
    <s v="Ford EcoSport 1.5 Diesel Titanium Plus BSIV"/>
    <x v="2"/>
    <n v="825000"/>
    <n v="35000"/>
    <x v="1"/>
    <x v="0"/>
    <x v="0"/>
    <s v="First Owner"/>
    <n v="9"/>
    <s v="Mid Range"/>
  </r>
  <r>
    <s v="Hyundai Accent GLS"/>
    <x v="0"/>
    <n v="125000"/>
    <n v="76000"/>
    <x v="0"/>
    <x v="1"/>
    <x v="0"/>
    <s v="Third Owner"/>
    <n v="19"/>
    <s v="Budget"/>
  </r>
  <r>
    <s v="Mahindra Xylo D2 BS IV"/>
    <x v="5"/>
    <n v="434999"/>
    <n v="100000"/>
    <x v="1"/>
    <x v="0"/>
    <x v="0"/>
    <s v="Third Owner"/>
    <n v="11"/>
    <s v="Budget"/>
  </r>
  <r>
    <s v="Mahindra Scorpio SLE BSIV"/>
    <x v="9"/>
    <n v="484999"/>
    <n v="99000"/>
    <x v="1"/>
    <x v="0"/>
    <x v="0"/>
    <s v="Second Owner"/>
    <n v="15"/>
    <s v="Budget"/>
  </r>
  <r>
    <s v="Maruti Ritz VDi"/>
    <x v="11"/>
    <n v="175000"/>
    <n v="80000"/>
    <x v="1"/>
    <x v="0"/>
    <x v="0"/>
    <s v="Third Owner"/>
    <n v="17"/>
    <s v="Budget"/>
  </r>
  <r>
    <s v="Honda Civic 1.8 S MT"/>
    <x v="12"/>
    <n v="220000"/>
    <n v="120000"/>
    <x v="0"/>
    <x v="0"/>
    <x v="0"/>
    <s v="Third Owner"/>
    <n v="20"/>
    <s v="Budget"/>
  </r>
  <r>
    <s v="Honda BR-V i-VTEC VX MT"/>
    <x v="20"/>
    <n v="1250000"/>
    <n v="1100"/>
    <x v="0"/>
    <x v="1"/>
    <x v="0"/>
    <s v="First Owner"/>
    <n v="6"/>
    <s v="Premium"/>
  </r>
  <r>
    <s v="Maruti Omni E MPI STD BS IV"/>
    <x v="2"/>
    <n v="215000"/>
    <n v="34000"/>
    <x v="0"/>
    <x v="1"/>
    <x v="0"/>
    <s v="First Owner"/>
    <n v="9"/>
    <s v="Budget"/>
  </r>
  <r>
    <s v="Mahindra XUV500 W6 2WD"/>
    <x v="3"/>
    <n v="625000"/>
    <n v="68000"/>
    <x v="1"/>
    <x v="1"/>
    <x v="0"/>
    <s v="First Owner"/>
    <n v="12"/>
    <s v="Mid Range"/>
  </r>
  <r>
    <s v="Ford EcoSport 1.5 Diesel Titanium BSIV"/>
    <x v="6"/>
    <n v="615000"/>
    <n v="15000"/>
    <x v="1"/>
    <x v="0"/>
    <x v="0"/>
    <s v="First Owner"/>
    <n v="8"/>
    <s v="Mid Range"/>
  </r>
  <r>
    <s v="Chevrolet Beat Diesel PS"/>
    <x v="1"/>
    <n v="130000"/>
    <n v="58000"/>
    <x v="1"/>
    <x v="1"/>
    <x v="0"/>
    <s v="First Owner"/>
    <n v="14"/>
    <s v="Budget"/>
  </r>
  <r>
    <s v="Tata Indigo CS eLX BS IV"/>
    <x v="8"/>
    <n v="175000"/>
    <n v="50300"/>
    <x v="1"/>
    <x v="0"/>
    <x v="0"/>
    <s v="First Owner"/>
    <n v="13"/>
    <s v="Budget"/>
  </r>
  <r>
    <s v="Tata Indigo CR4"/>
    <x v="9"/>
    <n v="150000"/>
    <n v="70000"/>
    <x v="1"/>
    <x v="0"/>
    <x v="0"/>
    <s v="Second Owner"/>
    <n v="15"/>
    <s v="Budget"/>
  </r>
  <r>
    <s v="Tata Indica Vista TDI LS"/>
    <x v="9"/>
    <n v="195000"/>
    <n v="60000"/>
    <x v="1"/>
    <x v="0"/>
    <x v="0"/>
    <s v="Third Owner"/>
    <n v="15"/>
    <s v="Budget"/>
  </r>
  <r>
    <s v="Maruti Ertiga 1.5 VDI"/>
    <x v="20"/>
    <n v="550000"/>
    <n v="90000"/>
    <x v="1"/>
    <x v="0"/>
    <x v="0"/>
    <s v="First Owner"/>
    <n v="6"/>
    <s v="Mid Range"/>
  </r>
  <r>
    <s v="Isuzu D-Max V-Cross Standard"/>
    <x v="6"/>
    <n v="1500000"/>
    <n v="40000"/>
    <x v="1"/>
    <x v="0"/>
    <x v="0"/>
    <s v="First Owner"/>
    <n v="8"/>
    <s v="Premium"/>
  </r>
  <r>
    <s v="Skoda Superb 1.8 TFSI MT"/>
    <x v="10"/>
    <n v="400000"/>
    <n v="80000"/>
    <x v="0"/>
    <x v="0"/>
    <x v="0"/>
    <s v="Second Owner"/>
    <n v="16"/>
    <s v="Budget"/>
  </r>
  <r>
    <s v="Nissan Kicks XV Premium D BSIV"/>
    <x v="7"/>
    <n v="1350000"/>
    <n v="15000"/>
    <x v="1"/>
    <x v="0"/>
    <x v="0"/>
    <s v="First Owner"/>
    <n v="7"/>
    <s v="Premium"/>
  </r>
  <r>
    <s v="Maruti Swift 1.2 DLX"/>
    <x v="5"/>
    <n v="217000"/>
    <n v="45000"/>
    <x v="0"/>
    <x v="0"/>
    <x v="0"/>
    <s v="First Owner"/>
    <n v="11"/>
    <s v="Budget"/>
  </r>
  <r>
    <s v="Maruti Swift VDI BSIV"/>
    <x v="9"/>
    <n v="290000"/>
    <n v="130000"/>
    <x v="1"/>
    <x v="0"/>
    <x v="0"/>
    <s v="Second Owner"/>
    <n v="15"/>
    <s v="Budget"/>
  </r>
  <r>
    <s v="Mahindra Bolero Power Plus SLX"/>
    <x v="6"/>
    <n v="700000"/>
    <n v="80000"/>
    <x v="1"/>
    <x v="0"/>
    <x v="0"/>
    <s v="First Owner"/>
    <n v="8"/>
    <s v="Mid Range"/>
  </r>
  <r>
    <s v="Maruti Alto 800 Base"/>
    <x v="3"/>
    <n v="175000"/>
    <n v="40000"/>
    <x v="0"/>
    <x v="0"/>
    <x v="0"/>
    <s v="First Owner"/>
    <n v="12"/>
    <s v="Budget"/>
  </r>
  <r>
    <s v="Volkswagen Ameo 1.5 TDI Highline 16 Alloy"/>
    <x v="2"/>
    <n v="575000"/>
    <n v="80000"/>
    <x v="1"/>
    <x v="0"/>
    <x v="0"/>
    <s v="First Owner"/>
    <n v="9"/>
    <s v="Mid Range"/>
  </r>
  <r>
    <s v="Maruti Ritz LDi"/>
    <x v="4"/>
    <n v="380000"/>
    <n v="100000"/>
    <x v="1"/>
    <x v="0"/>
    <x v="0"/>
    <s v="Second Owner"/>
    <n v="10"/>
    <s v="Budget"/>
  </r>
  <r>
    <s v="Mahindra Xylo D4 BSIV"/>
    <x v="8"/>
    <n v="350000"/>
    <n v="151624"/>
    <x v="1"/>
    <x v="0"/>
    <x v="0"/>
    <s v="Second Owner"/>
    <n v="13"/>
    <s v="Budget"/>
  </r>
  <r>
    <s v="Renault Duster 85PS Diesel RxL Optional"/>
    <x v="1"/>
    <n v="450000"/>
    <n v="160000"/>
    <x v="1"/>
    <x v="0"/>
    <x v="0"/>
    <s v="First Owner"/>
    <n v="14"/>
    <s v="Budget"/>
  </r>
  <r>
    <s v="Hyundai Santro AT CNG"/>
    <x v="14"/>
    <n v="130000"/>
    <n v="110000"/>
    <x v="2"/>
    <x v="0"/>
    <x v="0"/>
    <s v="Second Owner"/>
    <n v="21"/>
    <s v="Budget"/>
  </r>
  <r>
    <s v="Maruti Swift VDI BSIV"/>
    <x v="5"/>
    <n v="320000"/>
    <n v="74820"/>
    <x v="1"/>
    <x v="0"/>
    <x v="0"/>
    <s v="First Owner"/>
    <n v="11"/>
    <s v="Budget"/>
  </r>
  <r>
    <s v="Mahindra XUV500 W6 2WD"/>
    <x v="3"/>
    <n v="550000"/>
    <n v="82000"/>
    <x v="1"/>
    <x v="0"/>
    <x v="0"/>
    <s v="First Owner"/>
    <n v="12"/>
    <s v="Mid Range"/>
  </r>
  <r>
    <s v="Maruti Wagon R VXI BS IV"/>
    <x v="5"/>
    <n v="370000"/>
    <n v="50000"/>
    <x v="0"/>
    <x v="0"/>
    <x v="0"/>
    <s v="Second Owner"/>
    <n v="11"/>
    <s v="Budget"/>
  </r>
  <r>
    <s v="Chevrolet Beat LT"/>
    <x v="10"/>
    <n v="114999"/>
    <n v="70000"/>
    <x v="0"/>
    <x v="0"/>
    <x v="0"/>
    <s v="Second Owner"/>
    <n v="16"/>
    <s v="Budget"/>
  </r>
  <r>
    <s v="Ford Ecosport Sports Petrol"/>
    <x v="20"/>
    <n v="1100000"/>
    <n v="1000"/>
    <x v="0"/>
    <x v="0"/>
    <x v="0"/>
    <s v="First Owner"/>
    <n v="6"/>
    <s v="Premium"/>
  </r>
  <r>
    <s v="Hyundai Tucson CRDi"/>
    <x v="12"/>
    <n v="170000"/>
    <n v="170000"/>
    <x v="1"/>
    <x v="0"/>
    <x v="0"/>
    <s v="First Owner"/>
    <n v="20"/>
    <s v="Budget"/>
  </r>
  <r>
    <s v="Tata Indigo TDI"/>
    <x v="15"/>
    <n v="80000"/>
    <n v="150000"/>
    <x v="1"/>
    <x v="0"/>
    <x v="0"/>
    <s v="Third Owner"/>
    <n v="18"/>
    <s v="Budget"/>
  </r>
  <r>
    <s v="Ford EcoSport 1.5 Diesel Titanium BSIV"/>
    <x v="7"/>
    <n v="950000"/>
    <n v="17000"/>
    <x v="1"/>
    <x v="0"/>
    <x v="0"/>
    <s v="First Owner"/>
    <n v="7"/>
    <s v="Mid Range"/>
  </r>
  <r>
    <s v="Maruti Swift Dzire VDI"/>
    <x v="3"/>
    <n v="425000"/>
    <n v="150000"/>
    <x v="1"/>
    <x v="0"/>
    <x v="0"/>
    <s v="First Owner"/>
    <n v="12"/>
    <s v="Budget"/>
  </r>
  <r>
    <s v="Hyundai i20 Asta Option 1.4 CRDi"/>
    <x v="5"/>
    <n v="500000"/>
    <n v="80000"/>
    <x v="1"/>
    <x v="0"/>
    <x v="0"/>
    <s v="First Owner"/>
    <n v="11"/>
    <s v="Mid Range"/>
  </r>
  <r>
    <s v="Hyundai Santro Xing XG eRLX Euro III"/>
    <x v="14"/>
    <n v="70000"/>
    <n v="170000"/>
    <x v="0"/>
    <x v="0"/>
    <x v="0"/>
    <s v="Third Owner"/>
    <n v="21"/>
    <s v="Budget"/>
  </r>
  <r>
    <s v="Honda Amaze S i-Dtech"/>
    <x v="8"/>
    <n v="349000"/>
    <n v="120000"/>
    <x v="1"/>
    <x v="0"/>
    <x v="0"/>
    <s v="First Owner"/>
    <n v="13"/>
    <s v="Budget"/>
  </r>
  <r>
    <s v="Hyundai i20 1.2 Sportz"/>
    <x v="1"/>
    <n v="330000"/>
    <n v="90000"/>
    <x v="0"/>
    <x v="0"/>
    <x v="0"/>
    <s v="Third Owner"/>
    <n v="14"/>
    <s v="Budget"/>
  </r>
  <r>
    <s v="Hyundai Santro Xing GLS"/>
    <x v="10"/>
    <n v="120000"/>
    <n v="90000"/>
    <x v="0"/>
    <x v="0"/>
    <x v="0"/>
    <s v="Third Owner"/>
    <n v="16"/>
    <s v="Budget"/>
  </r>
  <r>
    <s v="Hyundai Verna 1.6 SX CRDi (O)"/>
    <x v="8"/>
    <n v="430000"/>
    <n v="100000"/>
    <x v="1"/>
    <x v="0"/>
    <x v="0"/>
    <s v="Second Owner"/>
    <n v="13"/>
    <s v="Budget"/>
  </r>
  <r>
    <s v="Maruti Swift VDI BSIV"/>
    <x v="3"/>
    <n v="390000"/>
    <n v="90000"/>
    <x v="1"/>
    <x v="0"/>
    <x v="0"/>
    <s v="First Owner"/>
    <n v="12"/>
    <s v="Budget"/>
  </r>
  <r>
    <s v="Nissan Micra Diesel XV Primo"/>
    <x v="1"/>
    <n v="225000"/>
    <n v="129000"/>
    <x v="1"/>
    <x v="0"/>
    <x v="0"/>
    <s v="First Owner"/>
    <n v="14"/>
    <s v="Budget"/>
  </r>
  <r>
    <s v="Mahindra Scorpio VLS AT 2.2 mHAWK"/>
    <x v="10"/>
    <n v="350000"/>
    <n v="186000"/>
    <x v="1"/>
    <x v="0"/>
    <x v="1"/>
    <s v="Second Owner"/>
    <n v="16"/>
    <s v="Budget"/>
  </r>
  <r>
    <s v="Tata Sumo LX"/>
    <x v="11"/>
    <n v="100000"/>
    <n v="66778"/>
    <x v="1"/>
    <x v="0"/>
    <x v="0"/>
    <s v="First Owner"/>
    <n v="17"/>
    <s v="Budget"/>
  </r>
  <r>
    <s v="Hyundai EON Era Plus"/>
    <x v="3"/>
    <n v="190000"/>
    <n v="50000"/>
    <x v="0"/>
    <x v="0"/>
    <x v="0"/>
    <s v="First Owner"/>
    <n v="12"/>
    <s v="Budget"/>
  </r>
  <r>
    <s v="Hyundai i20 Sportz 1.4 CRDi"/>
    <x v="3"/>
    <n v="315000"/>
    <n v="110000"/>
    <x v="1"/>
    <x v="0"/>
    <x v="0"/>
    <s v="Second Owner"/>
    <n v="12"/>
    <s v="Budget"/>
  </r>
  <r>
    <s v="Hyundai Grand i10 CRDi Magna"/>
    <x v="5"/>
    <n v="300000"/>
    <n v="60000"/>
    <x v="1"/>
    <x v="0"/>
    <x v="0"/>
    <s v="Second Owner"/>
    <n v="11"/>
    <s v="Budget"/>
  </r>
  <r>
    <s v="Renault KWID RXT"/>
    <x v="4"/>
    <n v="280000"/>
    <n v="40000"/>
    <x v="0"/>
    <x v="0"/>
    <x v="0"/>
    <s v="First Owner"/>
    <n v="10"/>
    <s v="Budget"/>
  </r>
  <r>
    <s v="Tata Tiago 1.2 Revotron XZ"/>
    <x v="6"/>
    <n v="539000"/>
    <n v="10000"/>
    <x v="0"/>
    <x v="0"/>
    <x v="0"/>
    <s v="First Owner"/>
    <n v="8"/>
    <s v="Mid Range"/>
  </r>
  <r>
    <s v="Maruti Celerio ZXI"/>
    <x v="2"/>
    <n v="420000"/>
    <n v="50000"/>
    <x v="0"/>
    <x v="0"/>
    <x v="0"/>
    <s v="First Owner"/>
    <n v="9"/>
    <s v="Budget"/>
  </r>
  <r>
    <s v="Maruti Omni E 8 Str STD"/>
    <x v="23"/>
    <n v="85000"/>
    <n v="70000"/>
    <x v="0"/>
    <x v="0"/>
    <x v="0"/>
    <s v="Third Owner"/>
    <n v="25"/>
    <s v="Budget"/>
  </r>
  <r>
    <s v="OpelCorsa 1.6Gls"/>
    <x v="16"/>
    <n v="142000"/>
    <n v="73000"/>
    <x v="0"/>
    <x v="0"/>
    <x v="0"/>
    <s v="Fourth &amp; Above Owner"/>
    <n v="22"/>
    <s v="Budget"/>
  </r>
  <r>
    <s v="Hyundai EON D Lite"/>
    <x v="3"/>
    <n v="180000"/>
    <n v="76000"/>
    <x v="0"/>
    <x v="0"/>
    <x v="0"/>
    <s v="Second Owner"/>
    <n v="12"/>
    <s v="Budget"/>
  </r>
  <r>
    <s v="Chevrolet Tavera Neo 3 Max 9 Str BSIII"/>
    <x v="3"/>
    <n v="400000"/>
    <n v="120000"/>
    <x v="1"/>
    <x v="0"/>
    <x v="0"/>
    <s v="Second Owner"/>
    <n v="12"/>
    <s v="Budget"/>
  </r>
  <r>
    <s v="Mahindra Scorpio VLX 2WD ABS AT BSIII"/>
    <x v="11"/>
    <n v="360000"/>
    <n v="170000"/>
    <x v="1"/>
    <x v="0"/>
    <x v="1"/>
    <s v="Third Owner"/>
    <n v="17"/>
    <s v="Budget"/>
  </r>
  <r>
    <s v="Hyundai Santro Xing XG"/>
    <x v="18"/>
    <n v="85000"/>
    <n v="110000"/>
    <x v="0"/>
    <x v="0"/>
    <x v="0"/>
    <s v="Second Owner"/>
    <n v="23"/>
    <s v="Budget"/>
  </r>
  <r>
    <s v="Honda Brio 1.2 S MT"/>
    <x v="4"/>
    <n v="350000"/>
    <n v="63400"/>
    <x v="0"/>
    <x v="0"/>
    <x v="0"/>
    <s v="First Owner"/>
    <n v="10"/>
    <s v="Budget"/>
  </r>
  <r>
    <s v="Datsun GO Plus T BSIV"/>
    <x v="5"/>
    <n v="380000"/>
    <n v="25000"/>
    <x v="0"/>
    <x v="0"/>
    <x v="0"/>
    <s v="First Owner"/>
    <n v="11"/>
    <s v="Budget"/>
  </r>
  <r>
    <s v="Hyundai i10 Era"/>
    <x v="11"/>
    <n v="140000"/>
    <n v="80000"/>
    <x v="0"/>
    <x v="0"/>
    <x v="0"/>
    <s v="Third Owner"/>
    <n v="17"/>
    <s v="Budget"/>
  </r>
  <r>
    <s v="Maruti Wagon R VXI BS IV"/>
    <x v="1"/>
    <n v="200000"/>
    <n v="90000"/>
    <x v="0"/>
    <x v="0"/>
    <x v="0"/>
    <s v="First Owner"/>
    <n v="14"/>
    <s v="Budget"/>
  </r>
  <r>
    <s v="Hyundai Santro Xing GL"/>
    <x v="9"/>
    <n v="150000"/>
    <n v="157000"/>
    <x v="0"/>
    <x v="0"/>
    <x v="0"/>
    <s v="First Owner"/>
    <n v="15"/>
    <s v="Budget"/>
  </r>
  <r>
    <s v="Mahindra Bolero SLX 2WD"/>
    <x v="0"/>
    <n v="300000"/>
    <n v="100000"/>
    <x v="1"/>
    <x v="0"/>
    <x v="0"/>
    <s v="Second Owner"/>
    <n v="19"/>
    <s v="Budget"/>
  </r>
  <r>
    <s v="Renault KWID RXT"/>
    <x v="2"/>
    <n v="280000"/>
    <n v="50000"/>
    <x v="0"/>
    <x v="0"/>
    <x v="0"/>
    <s v="First Owner"/>
    <n v="9"/>
    <s v="Budget"/>
  </r>
  <r>
    <s v="Maruti Alto K10 2010-2014 VXI"/>
    <x v="9"/>
    <n v="200000"/>
    <n v="40000"/>
    <x v="0"/>
    <x v="0"/>
    <x v="0"/>
    <s v="First Owner"/>
    <n v="15"/>
    <s v="Budget"/>
  </r>
  <r>
    <s v="Chevrolet Aveo U-VA 1.2 LT WO ABS Airbag"/>
    <x v="11"/>
    <n v="110000"/>
    <n v="38500"/>
    <x v="0"/>
    <x v="0"/>
    <x v="0"/>
    <s v="Second Owner"/>
    <n v="17"/>
    <s v="Budget"/>
  </r>
  <r>
    <s v="Hyundai i10 Magna"/>
    <x v="15"/>
    <n v="140000"/>
    <n v="103921"/>
    <x v="0"/>
    <x v="0"/>
    <x v="0"/>
    <s v="Second Owner"/>
    <n v="18"/>
    <s v="Budget"/>
  </r>
  <r>
    <s v="Honda City i-VTEC VX"/>
    <x v="6"/>
    <n v="1150000"/>
    <n v="14825"/>
    <x v="0"/>
    <x v="1"/>
    <x v="0"/>
    <s v="First Owner"/>
    <n v="8"/>
    <s v="Premium"/>
  </r>
  <r>
    <s v="Honda BR-V i-DTEC VX MT"/>
    <x v="4"/>
    <n v="910000"/>
    <n v="43377"/>
    <x v="1"/>
    <x v="1"/>
    <x v="0"/>
    <s v="First Owner"/>
    <n v="10"/>
    <s v="Mid Range"/>
  </r>
  <r>
    <s v="Ford Figo Diesel Titanium"/>
    <x v="10"/>
    <n v="160000"/>
    <n v="102307"/>
    <x v="1"/>
    <x v="1"/>
    <x v="0"/>
    <s v="First Owner"/>
    <n v="16"/>
    <s v="Budget"/>
  </r>
  <r>
    <s v="Maruti Zen LX"/>
    <x v="16"/>
    <n v="105000"/>
    <n v="79000"/>
    <x v="0"/>
    <x v="0"/>
    <x v="0"/>
    <s v="Second Owner"/>
    <n v="22"/>
    <s v="Budget"/>
  </r>
  <r>
    <s v="Maruti Wagon R LXI"/>
    <x v="16"/>
    <n v="70000"/>
    <n v="90000"/>
    <x v="0"/>
    <x v="0"/>
    <x v="0"/>
    <s v="Fourth &amp; Above Owner"/>
    <n v="22"/>
    <s v="Budget"/>
  </r>
  <r>
    <s v="Chevrolet Beat Diesel"/>
    <x v="1"/>
    <n v="160000"/>
    <n v="110000"/>
    <x v="1"/>
    <x v="0"/>
    <x v="0"/>
    <s v="First Owner"/>
    <n v="14"/>
    <s v="Budget"/>
  </r>
  <r>
    <s v="Chevrolet Sail Hatchback LT ABS"/>
    <x v="8"/>
    <n v="225000"/>
    <n v="80000"/>
    <x v="1"/>
    <x v="0"/>
    <x v="0"/>
    <s v="First Owner"/>
    <n v="13"/>
    <s v="Budget"/>
  </r>
  <r>
    <s v="Honda City 1.3 EXI"/>
    <x v="19"/>
    <n v="145000"/>
    <n v="100000"/>
    <x v="0"/>
    <x v="0"/>
    <x v="0"/>
    <s v="First Owner"/>
    <n v="24"/>
    <s v="Budget"/>
  </r>
  <r>
    <s v="Ford EcoSport 1.5 Diesel Titanium Plus BSIV"/>
    <x v="6"/>
    <n v="930000"/>
    <n v="20000"/>
    <x v="1"/>
    <x v="0"/>
    <x v="0"/>
    <s v="First Owner"/>
    <n v="8"/>
    <s v="Mid Range"/>
  </r>
  <r>
    <s v="Hyundai Getz 1.5 CRDi GVS"/>
    <x v="15"/>
    <n v="110000"/>
    <n v="154000"/>
    <x v="1"/>
    <x v="0"/>
    <x v="0"/>
    <s v="Third Owner"/>
    <n v="18"/>
    <s v="Budget"/>
  </r>
  <r>
    <s v="Renault Lodgy Stepway 85PS RXZ 8S"/>
    <x v="2"/>
    <n v="650000"/>
    <n v="40000"/>
    <x v="1"/>
    <x v="0"/>
    <x v="0"/>
    <s v="First Owner"/>
    <n v="9"/>
    <s v="Mid Range"/>
  </r>
  <r>
    <s v="Maruti Swift VXI"/>
    <x v="7"/>
    <n v="550000"/>
    <n v="51000"/>
    <x v="0"/>
    <x v="0"/>
    <x v="0"/>
    <s v="First Owner"/>
    <n v="7"/>
    <s v="Mid Range"/>
  </r>
  <r>
    <s v="Maruti Alto LX BSIII"/>
    <x v="15"/>
    <n v="85000"/>
    <n v="120000"/>
    <x v="0"/>
    <x v="0"/>
    <x v="0"/>
    <s v="Second Owner"/>
    <n v="18"/>
    <s v="Budget"/>
  </r>
  <r>
    <s v="Toyota Etios 1.5 V"/>
    <x v="4"/>
    <n v="509999"/>
    <n v="35000"/>
    <x v="0"/>
    <x v="0"/>
    <x v="0"/>
    <s v="First Owner"/>
    <n v="10"/>
    <s v="Mid Range"/>
  </r>
  <r>
    <s v="Maruti Baleno Alpha 1.3"/>
    <x v="2"/>
    <n v="650000"/>
    <n v="70000"/>
    <x v="1"/>
    <x v="0"/>
    <x v="0"/>
    <s v="First Owner"/>
    <n v="9"/>
    <s v="Mid Range"/>
  </r>
  <r>
    <s v="Chevrolet Spark 1.0 LS"/>
    <x v="9"/>
    <n v="140000"/>
    <n v="60000"/>
    <x v="0"/>
    <x v="0"/>
    <x v="0"/>
    <s v="Second Owner"/>
    <n v="15"/>
    <s v="Budget"/>
  </r>
  <r>
    <s v="Maruti Alto LXi"/>
    <x v="9"/>
    <n v="150000"/>
    <n v="70000"/>
    <x v="0"/>
    <x v="0"/>
    <x v="0"/>
    <s v="First Owner"/>
    <n v="15"/>
    <s v="Budget"/>
  </r>
  <r>
    <s v="Datsun GO Plus A Option Petrol"/>
    <x v="6"/>
    <n v="450000"/>
    <n v="10000"/>
    <x v="0"/>
    <x v="0"/>
    <x v="0"/>
    <s v="Second Owner"/>
    <n v="8"/>
    <s v="Budget"/>
  </r>
  <r>
    <s v="Hyundai Accent CRDi"/>
    <x v="12"/>
    <n v="170000"/>
    <n v="245244"/>
    <x v="1"/>
    <x v="0"/>
    <x v="0"/>
    <s v="Fourth &amp; Above Owner"/>
    <n v="20"/>
    <s v="Budget"/>
  </r>
  <r>
    <s v="Renault KWID 1.0 RXT Optional"/>
    <x v="2"/>
    <n v="400000"/>
    <n v="60000"/>
    <x v="0"/>
    <x v="0"/>
    <x v="0"/>
    <s v="First Owner"/>
    <n v="9"/>
    <s v="Budget"/>
  </r>
  <r>
    <s v="Tata Tiago 1.2 Revotron XE"/>
    <x v="4"/>
    <n v="300000"/>
    <n v="30000"/>
    <x v="0"/>
    <x v="0"/>
    <x v="0"/>
    <s v="First Owner"/>
    <n v="10"/>
    <s v="Budget"/>
  </r>
  <r>
    <s v="Maruti Alto 800 Base"/>
    <x v="1"/>
    <n v="250000"/>
    <n v="8000"/>
    <x v="0"/>
    <x v="0"/>
    <x v="0"/>
    <s v="First Owner"/>
    <n v="14"/>
    <s v="Budget"/>
  </r>
  <r>
    <s v="Tata Tigor 1.2 Revotron XM"/>
    <x v="7"/>
    <n v="500000"/>
    <n v="10000"/>
    <x v="0"/>
    <x v="0"/>
    <x v="0"/>
    <s v="First Owner"/>
    <n v="7"/>
    <s v="Mid Range"/>
  </r>
  <r>
    <s v="Hyundai Accent CRDi"/>
    <x v="19"/>
    <n v="85000"/>
    <n v="100000"/>
    <x v="1"/>
    <x v="0"/>
    <x v="0"/>
    <s v="Third Owner"/>
    <n v="24"/>
    <s v="Budget"/>
  </r>
  <r>
    <s v="Nissan Sunny Diesel XL"/>
    <x v="1"/>
    <n v="300000"/>
    <n v="110000"/>
    <x v="1"/>
    <x v="0"/>
    <x v="0"/>
    <s v="First Owner"/>
    <n v="14"/>
    <s v="Budget"/>
  </r>
  <r>
    <s v="Mahindra XUV500 AT W8 FWD"/>
    <x v="5"/>
    <n v="740000"/>
    <n v="45000"/>
    <x v="1"/>
    <x v="1"/>
    <x v="1"/>
    <s v="First Owner"/>
    <n v="11"/>
    <s v="Mid Range"/>
  </r>
  <r>
    <s v="Hyundai Santro Xing XG"/>
    <x v="14"/>
    <n v="70000"/>
    <n v="68500"/>
    <x v="0"/>
    <x v="1"/>
    <x v="0"/>
    <s v="First Owner"/>
    <n v="21"/>
    <s v="Budget"/>
  </r>
  <r>
    <s v="Hyundai Santro Sportz AMT"/>
    <x v="7"/>
    <n v="484999"/>
    <n v="5007"/>
    <x v="0"/>
    <x v="1"/>
    <x v="1"/>
    <s v="First Owner"/>
    <n v="7"/>
    <s v="Budget"/>
  </r>
  <r>
    <s v="Nissan Micra Active XV S"/>
    <x v="8"/>
    <n v="164000"/>
    <n v="30000"/>
    <x v="0"/>
    <x v="0"/>
    <x v="0"/>
    <s v="First Owner"/>
    <n v="13"/>
    <s v="Budget"/>
  </r>
  <r>
    <s v="Honda City 1.5 V AT"/>
    <x v="15"/>
    <n v="140000"/>
    <n v="70000"/>
    <x v="0"/>
    <x v="0"/>
    <x v="1"/>
    <s v="First Owner"/>
    <n v="18"/>
    <s v="Budget"/>
  </r>
  <r>
    <s v="Mercedes-Benz E-Class E250 CDI Elegance"/>
    <x v="9"/>
    <n v="999000"/>
    <n v="49600"/>
    <x v="1"/>
    <x v="1"/>
    <x v="1"/>
    <s v="First Owner"/>
    <n v="15"/>
    <s v="Mid Range"/>
  </r>
  <r>
    <s v="Maruti Alto LXI"/>
    <x v="14"/>
    <n v="56000"/>
    <n v="23000"/>
    <x v="0"/>
    <x v="0"/>
    <x v="0"/>
    <s v="Second Owner"/>
    <n v="21"/>
    <s v="Budget"/>
  </r>
  <r>
    <s v="BMW 7 Series 730Ld"/>
    <x v="12"/>
    <n v="1050000"/>
    <n v="30000"/>
    <x v="1"/>
    <x v="1"/>
    <x v="1"/>
    <s v="First Owner"/>
    <n v="20"/>
    <s v="Premium"/>
  </r>
  <r>
    <s v="Hyundai Verna 1.6 VTVT"/>
    <x v="10"/>
    <n v="190000"/>
    <n v="38000"/>
    <x v="0"/>
    <x v="1"/>
    <x v="0"/>
    <s v="First Owner"/>
    <n v="16"/>
    <s v="Budget"/>
  </r>
  <r>
    <s v="Audi Q5 3.0 TDI Quattro Technology"/>
    <x v="6"/>
    <n v="3899000"/>
    <n v="22000"/>
    <x v="1"/>
    <x v="1"/>
    <x v="1"/>
    <s v="First Owner"/>
    <n v="8"/>
    <s v="Premium"/>
  </r>
  <r>
    <s v="Hyundai i10 Sportz 1.2"/>
    <x v="9"/>
    <n v="235000"/>
    <n v="43100"/>
    <x v="0"/>
    <x v="1"/>
    <x v="0"/>
    <s v="First Owner"/>
    <n v="15"/>
    <s v="Budget"/>
  </r>
  <r>
    <s v="Datsun GO Plus T"/>
    <x v="2"/>
    <n v="350000"/>
    <n v="10171"/>
    <x v="0"/>
    <x v="1"/>
    <x v="0"/>
    <s v="First Owner"/>
    <n v="9"/>
    <s v="Budget"/>
  </r>
  <r>
    <s v="Renault Duster 110PS Diesel RxL"/>
    <x v="5"/>
    <n v="465000"/>
    <n v="41123"/>
    <x v="1"/>
    <x v="1"/>
    <x v="0"/>
    <s v="First Owner"/>
    <n v="11"/>
    <s v="Budget"/>
  </r>
  <r>
    <s v="Toyota Camry Hybrid 2.5"/>
    <x v="2"/>
    <n v="1900000"/>
    <n v="20118"/>
    <x v="0"/>
    <x v="1"/>
    <x v="1"/>
    <s v="First Owner"/>
    <n v="9"/>
    <s v="Premium"/>
  </r>
  <r>
    <s v="Honda City i DTec SV"/>
    <x v="3"/>
    <n v="450000"/>
    <n v="40000"/>
    <x v="1"/>
    <x v="1"/>
    <x v="0"/>
    <s v="First Owner"/>
    <n v="12"/>
    <s v="Budget"/>
  </r>
  <r>
    <s v="Volkswagen Jetta 2.0L TDI Highline"/>
    <x v="5"/>
    <n v="790000"/>
    <n v="52517"/>
    <x v="1"/>
    <x v="1"/>
    <x v="0"/>
    <s v="First Owner"/>
    <n v="11"/>
    <s v="Mid Range"/>
  </r>
  <r>
    <s v="Mahindra Marazzo M2 8Str"/>
    <x v="7"/>
    <n v="900000"/>
    <n v="20000"/>
    <x v="1"/>
    <x v="0"/>
    <x v="0"/>
    <s v="First Owner"/>
    <n v="7"/>
    <s v="Mid Range"/>
  </r>
  <r>
    <s v="Ford Ecosport 1.5 DV5 MT Titanium Optional"/>
    <x v="3"/>
    <n v="450000"/>
    <n v="99117"/>
    <x v="1"/>
    <x v="1"/>
    <x v="0"/>
    <s v="First Owner"/>
    <n v="12"/>
    <s v="Budget"/>
  </r>
  <r>
    <s v="Chevrolet Spark 1.0 LS"/>
    <x v="11"/>
    <n v="135000"/>
    <n v="90000"/>
    <x v="0"/>
    <x v="0"/>
    <x v="0"/>
    <s v="First Owner"/>
    <n v="17"/>
    <s v="Budget"/>
  </r>
  <r>
    <s v="Maruti Celerio ZXI MT BSIV"/>
    <x v="7"/>
    <n v="425000"/>
    <n v="3700"/>
    <x v="0"/>
    <x v="0"/>
    <x v="0"/>
    <s v="First Owner"/>
    <n v="7"/>
    <s v="Budget"/>
  </r>
  <r>
    <s v="Tata Indica Vista Terra 1.4 TDI"/>
    <x v="10"/>
    <n v="100000"/>
    <n v="80000"/>
    <x v="1"/>
    <x v="0"/>
    <x v="0"/>
    <s v="First Owner"/>
    <n v="16"/>
    <s v="Budget"/>
  </r>
  <r>
    <s v="Ford EcoSport 1.5 TDCi Titanium BSIV"/>
    <x v="5"/>
    <n v="650000"/>
    <n v="100000"/>
    <x v="1"/>
    <x v="0"/>
    <x v="0"/>
    <s v="Second Owner"/>
    <n v="11"/>
    <s v="Mid Range"/>
  </r>
  <r>
    <s v="Tata Indica Vista Aqua 1.4 TDI"/>
    <x v="9"/>
    <n v="90000"/>
    <n v="54000"/>
    <x v="1"/>
    <x v="0"/>
    <x v="0"/>
    <s v="First Owner"/>
    <n v="15"/>
    <s v="Budget"/>
  </r>
  <r>
    <s v="Hyundai EON Era Plus"/>
    <x v="2"/>
    <n v="250000"/>
    <n v="19000"/>
    <x v="0"/>
    <x v="0"/>
    <x v="0"/>
    <s v="First Owner"/>
    <n v="9"/>
    <s v="Budget"/>
  </r>
  <r>
    <s v="Maruti Swift Dzire VDI"/>
    <x v="3"/>
    <n v="300000"/>
    <n v="120000"/>
    <x v="1"/>
    <x v="0"/>
    <x v="0"/>
    <s v="First Owner"/>
    <n v="12"/>
    <s v="Budget"/>
  </r>
  <r>
    <s v="Maruti Wagon R VXI BS IV"/>
    <x v="3"/>
    <n v="275000"/>
    <n v="30000"/>
    <x v="0"/>
    <x v="0"/>
    <x v="0"/>
    <s v="First Owner"/>
    <n v="12"/>
    <s v="Budget"/>
  </r>
  <r>
    <s v="Honda BRV i-VTEC V MT"/>
    <x v="2"/>
    <n v="600000"/>
    <n v="43500"/>
    <x v="0"/>
    <x v="0"/>
    <x v="0"/>
    <s v="First Owner"/>
    <n v="9"/>
    <s v="Mid Range"/>
  </r>
  <r>
    <s v="Renault KWID RXT"/>
    <x v="4"/>
    <n v="270000"/>
    <n v="60000"/>
    <x v="0"/>
    <x v="0"/>
    <x v="0"/>
    <s v="Second Owner"/>
    <n v="10"/>
    <s v="Budget"/>
  </r>
  <r>
    <s v="Renault KWID RXT Optional"/>
    <x v="4"/>
    <n v="240000"/>
    <n v="70000"/>
    <x v="0"/>
    <x v="0"/>
    <x v="0"/>
    <s v="Second Owner"/>
    <n v="10"/>
    <s v="Budget"/>
  </r>
  <r>
    <s v="Renault KWID 1.0 RXT Optional"/>
    <x v="4"/>
    <n v="350000"/>
    <n v="20000"/>
    <x v="0"/>
    <x v="0"/>
    <x v="0"/>
    <s v="First Owner"/>
    <n v="10"/>
    <s v="Budget"/>
  </r>
  <r>
    <s v="Maruti Omni 5 Str STD"/>
    <x v="17"/>
    <n v="65000"/>
    <n v="60000"/>
    <x v="0"/>
    <x v="1"/>
    <x v="0"/>
    <s v="Third Owner"/>
    <n v="28"/>
    <s v="Budget"/>
  </r>
  <r>
    <s v="Maruti Swift Dzire VDI"/>
    <x v="5"/>
    <n v="650000"/>
    <n v="58000"/>
    <x v="1"/>
    <x v="0"/>
    <x v="0"/>
    <s v="First Owner"/>
    <n v="11"/>
    <s v="Mid Range"/>
  </r>
  <r>
    <s v="Maruti Wagon R LX BS IV"/>
    <x v="3"/>
    <n v="350000"/>
    <n v="40000"/>
    <x v="0"/>
    <x v="1"/>
    <x v="0"/>
    <s v="First Owner"/>
    <n v="12"/>
    <s v="Budget"/>
  </r>
  <r>
    <s v="Maruti Wagon R LXI"/>
    <x v="14"/>
    <n v="75000"/>
    <n v="70000"/>
    <x v="0"/>
    <x v="0"/>
    <x v="0"/>
    <s v="Second Owner"/>
    <n v="21"/>
    <s v="Budget"/>
  </r>
  <r>
    <s v="Hyundai i20 Asta (o) 1.4 CRDi (Diesel)"/>
    <x v="1"/>
    <n v="440000"/>
    <n v="70000"/>
    <x v="1"/>
    <x v="1"/>
    <x v="0"/>
    <s v="First Owner"/>
    <n v="14"/>
    <s v="Budget"/>
  </r>
  <r>
    <s v="Hyundai Santro Xing GLS"/>
    <x v="8"/>
    <n v="270000"/>
    <n v="60000"/>
    <x v="0"/>
    <x v="0"/>
    <x v="0"/>
    <s v="First Owner"/>
    <n v="13"/>
    <s v="Budget"/>
  </r>
  <r>
    <s v="Toyota Innova 2.5 V Diesel 7-seater"/>
    <x v="3"/>
    <n v="1150000"/>
    <n v="135000"/>
    <x v="1"/>
    <x v="1"/>
    <x v="0"/>
    <s v="First Owner"/>
    <n v="12"/>
    <s v="Premium"/>
  </r>
  <r>
    <s v="Maruti Omni 8 Seater BSII"/>
    <x v="5"/>
    <n v="238000"/>
    <n v="70000"/>
    <x v="0"/>
    <x v="1"/>
    <x v="0"/>
    <s v="First Owner"/>
    <n v="11"/>
    <s v="Budget"/>
  </r>
  <r>
    <s v="Mercedes-Benz B Class B180 Sports"/>
    <x v="8"/>
    <n v="1100000"/>
    <n v="40000"/>
    <x v="0"/>
    <x v="0"/>
    <x v="1"/>
    <s v="Second Owner"/>
    <n v="13"/>
    <s v="Premium"/>
  </r>
  <r>
    <s v="Mahindra XUV500 W10 2WD"/>
    <x v="5"/>
    <n v="1200000"/>
    <n v="75000"/>
    <x v="1"/>
    <x v="1"/>
    <x v="0"/>
    <s v="Second Owner"/>
    <n v="11"/>
    <s v="Premium"/>
  </r>
  <r>
    <s v="Skoda Fabia 1.2L Diesel Ambiente"/>
    <x v="10"/>
    <n v="260000"/>
    <n v="150000"/>
    <x v="1"/>
    <x v="0"/>
    <x v="0"/>
    <s v="First Owner"/>
    <n v="16"/>
    <s v="Budget"/>
  </r>
  <r>
    <s v="Toyota Etios VD"/>
    <x v="1"/>
    <n v="350000"/>
    <n v="140000"/>
    <x v="1"/>
    <x v="0"/>
    <x v="0"/>
    <s v="Third Owner"/>
    <n v="14"/>
    <s v="Budget"/>
  </r>
  <r>
    <s v="Toyota Etios Liva VD"/>
    <x v="5"/>
    <n v="480000"/>
    <n v="70000"/>
    <x v="1"/>
    <x v="0"/>
    <x v="0"/>
    <s v="First Owner"/>
    <n v="11"/>
    <s v="Budget"/>
  </r>
  <r>
    <s v="Toyota Etios Liva GD"/>
    <x v="1"/>
    <n v="345000"/>
    <n v="137250"/>
    <x v="1"/>
    <x v="0"/>
    <x v="0"/>
    <s v="Second Owner"/>
    <n v="14"/>
    <s v="Budget"/>
  </r>
  <r>
    <s v="Mahindra Scorpio M2DI"/>
    <x v="8"/>
    <n v="500000"/>
    <n v="110000"/>
    <x v="1"/>
    <x v="0"/>
    <x v="0"/>
    <s v="Second Owner"/>
    <n v="13"/>
    <s v="Mid Range"/>
  </r>
  <r>
    <s v="Hyundai Grand i10 Asta Option"/>
    <x v="2"/>
    <n v="595000"/>
    <n v="27000"/>
    <x v="0"/>
    <x v="1"/>
    <x v="0"/>
    <s v="First Owner"/>
    <n v="9"/>
    <s v="Mid Range"/>
  </r>
  <r>
    <s v="Hyundai Verna CRDi 1.6 SX Option"/>
    <x v="7"/>
    <n v="1295000"/>
    <n v="9000"/>
    <x v="1"/>
    <x v="1"/>
    <x v="0"/>
    <s v="First Owner"/>
    <n v="7"/>
    <s v="Premium"/>
  </r>
  <r>
    <s v="Volkswagen Vento 1.5 TDI Highline BSIV"/>
    <x v="7"/>
    <n v="1350000"/>
    <n v="5400"/>
    <x v="1"/>
    <x v="1"/>
    <x v="0"/>
    <s v="Test Drive Car"/>
    <n v="7"/>
    <s v="Premium"/>
  </r>
  <r>
    <s v="Renault KWID Climber 1.0 MT Opt BSIV"/>
    <x v="20"/>
    <n v="541000"/>
    <n v="1000"/>
    <x v="0"/>
    <x v="1"/>
    <x v="0"/>
    <s v="Test Drive Car"/>
    <n v="6"/>
    <s v="Mid Range"/>
  </r>
  <r>
    <s v="Hyundai Santro Asta"/>
    <x v="6"/>
    <n v="515000"/>
    <n v="16000"/>
    <x v="0"/>
    <x v="1"/>
    <x v="0"/>
    <s v="First Owner"/>
    <n v="8"/>
    <s v="Mid Range"/>
  </r>
  <r>
    <s v="Ford Figo Aspire Titanium Plus Diesel"/>
    <x v="7"/>
    <n v="894999"/>
    <n v="13000"/>
    <x v="1"/>
    <x v="1"/>
    <x v="0"/>
    <s v="Test Drive Car"/>
    <n v="7"/>
    <s v="Mid Range"/>
  </r>
  <r>
    <s v="Renault Pulse RxZ Optional"/>
    <x v="1"/>
    <n v="325000"/>
    <n v="47000"/>
    <x v="1"/>
    <x v="1"/>
    <x v="0"/>
    <s v="First Owner"/>
    <n v="14"/>
    <s v="Budget"/>
  </r>
  <r>
    <s v="Maruti Ciaz 1.4 Alpha"/>
    <x v="6"/>
    <n v="925000"/>
    <n v="22000"/>
    <x v="0"/>
    <x v="0"/>
    <x v="0"/>
    <s v="First Owner"/>
    <n v="8"/>
    <s v="Mid Range"/>
  </r>
  <r>
    <s v="Nissan Terrano XL P"/>
    <x v="2"/>
    <n v="844999"/>
    <n v="30000"/>
    <x v="0"/>
    <x v="0"/>
    <x v="0"/>
    <s v="First Owner"/>
    <n v="9"/>
    <s v="Mid Range"/>
  </r>
  <r>
    <s v="Maruti Ciaz 1.4 Alpha"/>
    <x v="6"/>
    <n v="925000"/>
    <n v="20000"/>
    <x v="0"/>
    <x v="0"/>
    <x v="0"/>
    <s v="First Owner"/>
    <n v="8"/>
    <s v="Mid Range"/>
  </r>
  <r>
    <s v="Tata Manza Club Class Quadrajet90 LX"/>
    <x v="8"/>
    <n v="300000"/>
    <n v="60000"/>
    <x v="1"/>
    <x v="0"/>
    <x v="0"/>
    <s v="First Owner"/>
    <n v="13"/>
    <s v="Budget"/>
  </r>
  <r>
    <s v="Toyota Camry M/t"/>
    <x v="15"/>
    <n v="650000"/>
    <n v="75000"/>
    <x v="0"/>
    <x v="0"/>
    <x v="0"/>
    <s v="Second Owner"/>
    <n v="18"/>
    <s v="Mid Range"/>
  </r>
  <r>
    <s v="Maruti Alto K10 LXI"/>
    <x v="10"/>
    <n v="175000"/>
    <n v="64000"/>
    <x v="0"/>
    <x v="1"/>
    <x v="0"/>
    <s v="First Owner"/>
    <n v="16"/>
    <s v="Budget"/>
  </r>
  <r>
    <s v="Maruti SX4 S Cross DDiS 320 Delta"/>
    <x v="5"/>
    <n v="325000"/>
    <n v="80000"/>
    <x v="1"/>
    <x v="0"/>
    <x v="0"/>
    <s v="First Owner"/>
    <n v="11"/>
    <s v="Budget"/>
  </r>
  <r>
    <s v="Renault Duster 85PS Diesel RxZ"/>
    <x v="2"/>
    <n v="600000"/>
    <n v="90000"/>
    <x v="1"/>
    <x v="0"/>
    <x v="0"/>
    <s v="First Owner"/>
    <n v="9"/>
    <s v="Mid Range"/>
  </r>
  <r>
    <s v="Maruti Swift ZXI Plus"/>
    <x v="6"/>
    <n v="700000"/>
    <n v="30000"/>
    <x v="0"/>
    <x v="0"/>
    <x v="0"/>
    <s v="First Owner"/>
    <n v="8"/>
    <s v="Mid Range"/>
  </r>
  <r>
    <s v="Toyota Corolla H3"/>
    <x v="18"/>
    <n v="95000"/>
    <n v="120000"/>
    <x v="0"/>
    <x v="0"/>
    <x v="1"/>
    <s v="Second Owner"/>
    <n v="23"/>
    <s v="Budget"/>
  </r>
  <r>
    <s v="Maruti Celerio ZXI"/>
    <x v="7"/>
    <n v="490000"/>
    <n v="20000"/>
    <x v="0"/>
    <x v="1"/>
    <x v="0"/>
    <s v="First Owner"/>
    <n v="7"/>
    <s v="Budget"/>
  </r>
  <r>
    <s v="Tata Safari DICOR 2.2 EX 4x2"/>
    <x v="8"/>
    <n v="380000"/>
    <n v="100000"/>
    <x v="1"/>
    <x v="0"/>
    <x v="0"/>
    <s v="First Owner"/>
    <n v="13"/>
    <s v="Budget"/>
  </r>
  <r>
    <s v="Hyundai Grand i10 1.2 Kappa Sportz Dual Tone"/>
    <x v="6"/>
    <n v="550000"/>
    <n v="31000"/>
    <x v="0"/>
    <x v="1"/>
    <x v="0"/>
    <s v="First Owner"/>
    <n v="8"/>
    <s v="Mid Range"/>
  </r>
  <r>
    <s v="Maruti Alto 800 LXI"/>
    <x v="8"/>
    <n v="225000"/>
    <n v="47000"/>
    <x v="0"/>
    <x v="1"/>
    <x v="0"/>
    <s v="First Owner"/>
    <n v="13"/>
    <s v="Budget"/>
  </r>
  <r>
    <s v="Tata Nexon 1.2 Revotron XM"/>
    <x v="6"/>
    <n v="570000"/>
    <n v="11200"/>
    <x v="0"/>
    <x v="0"/>
    <x v="0"/>
    <s v="First Owner"/>
    <n v="8"/>
    <s v="Mid Range"/>
  </r>
  <r>
    <s v="Maruti Alto 800 LXI"/>
    <x v="6"/>
    <n v="305000"/>
    <n v="35000"/>
    <x v="0"/>
    <x v="1"/>
    <x v="0"/>
    <s v="First Owner"/>
    <n v="8"/>
    <s v="Budget"/>
  </r>
  <r>
    <s v="Maruti Wagon R Duo Lxi"/>
    <x v="10"/>
    <n v="240000"/>
    <n v="50000"/>
    <x v="3"/>
    <x v="1"/>
    <x v="0"/>
    <s v="First Owner"/>
    <n v="16"/>
    <s v="Budget"/>
  </r>
  <r>
    <s v="Maruti Ertiga SHVS VDI"/>
    <x v="5"/>
    <n v="700000"/>
    <n v="55000"/>
    <x v="1"/>
    <x v="1"/>
    <x v="0"/>
    <s v="First Owner"/>
    <n v="11"/>
    <s v="Mid Range"/>
  </r>
  <r>
    <s v="Maruti Omni E MPI STD BS IV"/>
    <x v="6"/>
    <n v="288000"/>
    <n v="20000"/>
    <x v="0"/>
    <x v="1"/>
    <x v="0"/>
    <s v="First Owner"/>
    <n v="8"/>
    <s v="Budget"/>
  </r>
  <r>
    <s v="Mahindra Bolero B4"/>
    <x v="2"/>
    <n v="800000"/>
    <n v="75000"/>
    <x v="1"/>
    <x v="1"/>
    <x v="0"/>
    <s v="First Owner"/>
    <n v="9"/>
    <s v="Mid Range"/>
  </r>
  <r>
    <s v="Maruti Celerio VXI"/>
    <x v="2"/>
    <n v="430000"/>
    <n v="93000"/>
    <x v="0"/>
    <x v="1"/>
    <x v="0"/>
    <s v="First Owner"/>
    <n v="9"/>
    <s v="Budget"/>
  </r>
  <r>
    <s v="Chevrolet Beat Diesel LT Option"/>
    <x v="11"/>
    <n v="195000"/>
    <n v="57000"/>
    <x v="1"/>
    <x v="1"/>
    <x v="0"/>
    <s v="Second Owner"/>
    <n v="17"/>
    <s v="Budget"/>
  </r>
  <r>
    <s v="Maruti Eeco Smiles 5 Seater AC"/>
    <x v="3"/>
    <n v="325000"/>
    <n v="30000"/>
    <x v="0"/>
    <x v="1"/>
    <x v="0"/>
    <s v="First Owner"/>
    <n v="12"/>
    <s v="Budget"/>
  </r>
  <r>
    <s v="Renault Duster 85PS Diesel RxE"/>
    <x v="8"/>
    <n v="450000"/>
    <n v="73000"/>
    <x v="1"/>
    <x v="1"/>
    <x v="0"/>
    <s v="First Owner"/>
    <n v="13"/>
    <s v="Budget"/>
  </r>
  <r>
    <s v="Maruti Swift Dzire VDI"/>
    <x v="4"/>
    <n v="630000"/>
    <n v="65000"/>
    <x v="1"/>
    <x v="1"/>
    <x v="0"/>
    <s v="First Owner"/>
    <n v="10"/>
    <s v="Mid Range"/>
  </r>
  <r>
    <s v="Maruti Swift 1.3 VXi"/>
    <x v="11"/>
    <n v="250000"/>
    <n v="62000"/>
    <x v="0"/>
    <x v="1"/>
    <x v="0"/>
    <s v="Second Owner"/>
    <n v="17"/>
    <s v="Budget"/>
  </r>
  <r>
    <s v="Hyundai Santro GLS I - Euro II"/>
    <x v="0"/>
    <n v="135000"/>
    <n v="85000"/>
    <x v="0"/>
    <x v="1"/>
    <x v="0"/>
    <s v="First Owner"/>
    <n v="19"/>
    <s v="Budget"/>
  </r>
  <r>
    <s v="Chevrolet Spark 1.0 PS"/>
    <x v="10"/>
    <n v="110000"/>
    <n v="73000"/>
    <x v="0"/>
    <x v="0"/>
    <x v="0"/>
    <s v="First Owner"/>
    <n v="16"/>
    <s v="Budget"/>
  </r>
  <r>
    <s v="Maruti Swift ZDi"/>
    <x v="1"/>
    <n v="350000"/>
    <n v="55000"/>
    <x v="1"/>
    <x v="1"/>
    <x v="0"/>
    <s v="First Owner"/>
    <n v="14"/>
    <s v="Budget"/>
  </r>
  <r>
    <s v="Maruti Omni E MPI STD BS IV"/>
    <x v="4"/>
    <n v="240000"/>
    <n v="5800"/>
    <x v="0"/>
    <x v="0"/>
    <x v="0"/>
    <s v="Second Owner"/>
    <n v="10"/>
    <s v="Budget"/>
  </r>
  <r>
    <s v="Toyota Innova 2.5 V Diesel 8-seater"/>
    <x v="11"/>
    <n v="350000"/>
    <n v="350000"/>
    <x v="1"/>
    <x v="0"/>
    <x v="0"/>
    <s v="First Owner"/>
    <n v="17"/>
    <s v="Budget"/>
  </r>
  <r>
    <s v="Maruti Swift ZXI Plus"/>
    <x v="6"/>
    <n v="600000"/>
    <n v="30000"/>
    <x v="0"/>
    <x v="0"/>
    <x v="0"/>
    <s v="First Owner"/>
    <n v="8"/>
    <s v="Mid Range"/>
  </r>
  <r>
    <s v="Maruti Swift Dzire VDI"/>
    <x v="6"/>
    <n v="750000"/>
    <n v="20000"/>
    <x v="1"/>
    <x v="0"/>
    <x v="0"/>
    <s v="First Owner"/>
    <n v="8"/>
    <s v="Mid Range"/>
  </r>
  <r>
    <s v="Hyundai EON Era Plus"/>
    <x v="6"/>
    <n v="270000"/>
    <n v="20000"/>
    <x v="0"/>
    <x v="0"/>
    <x v="0"/>
    <s v="First Owner"/>
    <n v="8"/>
    <s v="Budget"/>
  </r>
  <r>
    <s v="Maruti Alto LXi"/>
    <x v="0"/>
    <n v="90000"/>
    <n v="100000"/>
    <x v="0"/>
    <x v="0"/>
    <x v="0"/>
    <s v="Second Owner"/>
    <n v="19"/>
    <s v="Budget"/>
  </r>
  <r>
    <s v="Maruti Wagon R Stingray VXI"/>
    <x v="8"/>
    <n v="350000"/>
    <n v="65000"/>
    <x v="0"/>
    <x v="0"/>
    <x v="0"/>
    <s v="First Owner"/>
    <n v="13"/>
    <s v="Budget"/>
  </r>
  <r>
    <s v="Ford Figo Diesel Celebration Edition"/>
    <x v="8"/>
    <n v="285000"/>
    <n v="90000"/>
    <x v="1"/>
    <x v="0"/>
    <x v="0"/>
    <s v="Second Owner"/>
    <n v="13"/>
    <s v="Budget"/>
  </r>
  <r>
    <s v="Toyota Innova 2.5 E Diesel MS 7-seater"/>
    <x v="9"/>
    <n v="665000"/>
    <n v="267000"/>
    <x v="1"/>
    <x v="0"/>
    <x v="0"/>
    <s v="Second Owner"/>
    <n v="15"/>
    <s v="Mid Range"/>
  </r>
  <r>
    <s v="Mahindra Scorpio 2.6 CRDe"/>
    <x v="14"/>
    <n v="175000"/>
    <n v="250000"/>
    <x v="1"/>
    <x v="0"/>
    <x v="0"/>
    <s v="Second Owner"/>
    <n v="21"/>
    <s v="Budget"/>
  </r>
  <r>
    <s v="Mahindra Xylo D2"/>
    <x v="9"/>
    <n v="350000"/>
    <n v="140000"/>
    <x v="1"/>
    <x v="0"/>
    <x v="0"/>
    <s v="Second Owner"/>
    <n v="15"/>
    <s v="Budget"/>
  </r>
  <r>
    <s v="Honda City i-VTEC CVT ZX"/>
    <x v="6"/>
    <n v="1225000"/>
    <n v="22000"/>
    <x v="0"/>
    <x v="1"/>
    <x v="1"/>
    <s v="First Owner"/>
    <n v="8"/>
    <s v="Premium"/>
  </r>
  <r>
    <s v="Honda Jazz Select Edition Active"/>
    <x v="10"/>
    <n v="285000"/>
    <n v="60000"/>
    <x v="0"/>
    <x v="1"/>
    <x v="0"/>
    <s v="Second Owner"/>
    <n v="16"/>
    <s v="Budget"/>
  </r>
  <r>
    <s v="Honda City i-VTEC VX"/>
    <x v="6"/>
    <n v="1000000"/>
    <n v="28635"/>
    <x v="0"/>
    <x v="1"/>
    <x v="0"/>
    <s v="First Owner"/>
    <n v="8"/>
    <s v="Mid Range"/>
  </r>
  <r>
    <s v="Honda Amaze VX Diesel BSIV"/>
    <x v="6"/>
    <n v="780000"/>
    <n v="32114"/>
    <x v="1"/>
    <x v="1"/>
    <x v="0"/>
    <s v="First Owner"/>
    <n v="8"/>
    <s v="Mid Range"/>
  </r>
  <r>
    <s v="Maruti Celerio VXI"/>
    <x v="3"/>
    <n v="300000"/>
    <n v="82000"/>
    <x v="0"/>
    <x v="1"/>
    <x v="0"/>
    <s v="Second Owner"/>
    <n v="12"/>
    <s v="Budget"/>
  </r>
  <r>
    <s v="Maruti Swift VXI BSIII"/>
    <x v="12"/>
    <n v="160000"/>
    <n v="95149"/>
    <x v="0"/>
    <x v="1"/>
    <x v="0"/>
    <s v="Second Owner"/>
    <n v="20"/>
    <s v="Budget"/>
  </r>
  <r>
    <s v="Honda Amaze VX i-VTEC"/>
    <x v="6"/>
    <n v="625000"/>
    <n v="68458"/>
    <x v="0"/>
    <x v="1"/>
    <x v="0"/>
    <s v="First Owner"/>
    <n v="8"/>
    <s v="Mid Range"/>
  </r>
  <r>
    <s v="Maruti Ritz VXi"/>
    <x v="10"/>
    <n v="265000"/>
    <n v="42000"/>
    <x v="0"/>
    <x v="0"/>
    <x v="0"/>
    <s v="First Owner"/>
    <n v="16"/>
    <s v="Budget"/>
  </r>
  <r>
    <s v="Honda City i DTEC V"/>
    <x v="3"/>
    <n v="515000"/>
    <n v="90000"/>
    <x v="1"/>
    <x v="0"/>
    <x v="0"/>
    <s v="Second Owner"/>
    <n v="12"/>
    <s v="Mid Range"/>
  </r>
  <r>
    <s v="Hyundai i20 Active 1.4 SX"/>
    <x v="4"/>
    <n v="650000"/>
    <n v="100000"/>
    <x v="1"/>
    <x v="0"/>
    <x v="0"/>
    <s v="First Owner"/>
    <n v="10"/>
    <s v="Mid Range"/>
  </r>
  <r>
    <s v="Mahindra TUV 300 T8"/>
    <x v="2"/>
    <n v="650000"/>
    <n v="80000"/>
    <x v="1"/>
    <x v="0"/>
    <x v="0"/>
    <s v="First Owner"/>
    <n v="9"/>
    <s v="Mid Range"/>
  </r>
  <r>
    <s v="Hyundai Getz 1.3 GLS"/>
    <x v="10"/>
    <n v="150000"/>
    <n v="105546"/>
    <x v="0"/>
    <x v="0"/>
    <x v="0"/>
    <s v="First Owner"/>
    <n v="16"/>
    <s v="Budget"/>
  </r>
  <r>
    <s v="Toyota Etios Liva 1.2 V"/>
    <x v="6"/>
    <n v="500000"/>
    <n v="10000"/>
    <x v="0"/>
    <x v="0"/>
    <x v="0"/>
    <s v="First Owner"/>
    <n v="8"/>
    <s v="Mid Range"/>
  </r>
  <r>
    <s v="Toyota Innova 2.5 GX 7 STR BSIV"/>
    <x v="1"/>
    <n v="1000000"/>
    <n v="80000"/>
    <x v="1"/>
    <x v="0"/>
    <x v="0"/>
    <s v="Second Owner"/>
    <n v="14"/>
    <s v="Mid Range"/>
  </r>
  <r>
    <s v="Hyundai i20 Magna Optional 1.2"/>
    <x v="8"/>
    <n v="340000"/>
    <n v="35000"/>
    <x v="0"/>
    <x v="0"/>
    <x v="0"/>
    <s v="First Owner"/>
    <n v="13"/>
    <s v="Budget"/>
  </r>
  <r>
    <s v="Toyota Innova 2.5 G (Diesel) 8 Seater"/>
    <x v="8"/>
    <n v="1010000"/>
    <n v="120000"/>
    <x v="1"/>
    <x v="0"/>
    <x v="0"/>
    <s v="First Owner"/>
    <n v="13"/>
    <s v="Premium"/>
  </r>
  <r>
    <s v="Toyota Etios GD"/>
    <x v="9"/>
    <n v="350000"/>
    <n v="120000"/>
    <x v="1"/>
    <x v="0"/>
    <x v="0"/>
    <s v="Third Owner"/>
    <n v="15"/>
    <s v="Budget"/>
  </r>
  <r>
    <s v="Maruti Swift VDI BSIV"/>
    <x v="4"/>
    <n v="595000"/>
    <n v="70000"/>
    <x v="1"/>
    <x v="0"/>
    <x v="0"/>
    <s v="First Owner"/>
    <n v="10"/>
    <s v="Mid Range"/>
  </r>
  <r>
    <s v="Mahindra Scorpio VLX 2WD BSIV"/>
    <x v="3"/>
    <n v="700000"/>
    <n v="130000"/>
    <x v="1"/>
    <x v="0"/>
    <x v="0"/>
    <s v="Third Owner"/>
    <n v="12"/>
    <s v="Mid Range"/>
  </r>
  <r>
    <s v="Renault KWID RXL"/>
    <x v="7"/>
    <n v="265000"/>
    <n v="40000"/>
    <x v="0"/>
    <x v="0"/>
    <x v="0"/>
    <s v="First Owner"/>
    <n v="7"/>
    <s v="Budget"/>
  </r>
  <r>
    <s v="Maruti Alto K10 VXI"/>
    <x v="5"/>
    <n v="320000"/>
    <n v="60000"/>
    <x v="0"/>
    <x v="0"/>
    <x v="0"/>
    <s v="Second Owner"/>
    <n v="11"/>
    <s v="Budget"/>
  </r>
  <r>
    <s v="Honda City 1.5 S MT"/>
    <x v="9"/>
    <n v="310000"/>
    <n v="110000"/>
    <x v="0"/>
    <x v="0"/>
    <x v="0"/>
    <s v="First Owner"/>
    <n v="15"/>
    <s v="Budget"/>
  </r>
  <r>
    <s v="Honda City i DTEC VX"/>
    <x v="3"/>
    <n v="700000"/>
    <n v="130000"/>
    <x v="1"/>
    <x v="0"/>
    <x v="0"/>
    <s v="First Owner"/>
    <n v="12"/>
    <s v="Mid Range"/>
  </r>
  <r>
    <s v="Maruti Alto LXi BSIII"/>
    <x v="11"/>
    <n v="130000"/>
    <n v="80000"/>
    <x v="0"/>
    <x v="0"/>
    <x v="0"/>
    <s v="Second Owner"/>
    <n v="17"/>
    <s v="Budget"/>
  </r>
  <r>
    <s v="Maruti Swift Dzire VDi"/>
    <x v="11"/>
    <n v="150000"/>
    <n v="120000"/>
    <x v="1"/>
    <x v="0"/>
    <x v="0"/>
    <s v="Second Owner"/>
    <n v="17"/>
    <s v="Budget"/>
  </r>
  <r>
    <s v="Honda Amaze E i-Dtech"/>
    <x v="5"/>
    <n v="300000"/>
    <n v="104000"/>
    <x v="1"/>
    <x v="0"/>
    <x v="0"/>
    <s v="Second Owner"/>
    <n v="11"/>
    <s v="Budget"/>
  </r>
  <r>
    <s v="Maruti Swift Dzire LXi"/>
    <x v="9"/>
    <n v="150000"/>
    <n v="100000"/>
    <x v="0"/>
    <x v="0"/>
    <x v="0"/>
    <s v="Second Owner"/>
    <n v="15"/>
    <s v="Budget"/>
  </r>
  <r>
    <s v="Honda City 1.3 EXI"/>
    <x v="18"/>
    <n v="120000"/>
    <n v="132343"/>
    <x v="0"/>
    <x v="0"/>
    <x v="0"/>
    <s v="Second Owner"/>
    <n v="23"/>
    <s v="Budget"/>
  </r>
  <r>
    <s v="Hyundai Creta 1.4 CRDi S Plus"/>
    <x v="4"/>
    <n v="950000"/>
    <n v="90000"/>
    <x v="1"/>
    <x v="0"/>
    <x v="0"/>
    <s v="Second Owner"/>
    <n v="10"/>
    <s v="Mid Range"/>
  </r>
  <r>
    <s v="Maruti Wagon R VXI BS IV"/>
    <x v="0"/>
    <n v="100000"/>
    <n v="60000"/>
    <x v="0"/>
    <x v="0"/>
    <x v="0"/>
    <s v="Second Owner"/>
    <n v="19"/>
    <s v="Budget"/>
  </r>
  <r>
    <s v="Honda Jazz 1.5 SV i DTEC"/>
    <x v="5"/>
    <n v="450000"/>
    <n v="76000"/>
    <x v="1"/>
    <x v="0"/>
    <x v="0"/>
    <s v="First Owner"/>
    <n v="11"/>
    <s v="Budget"/>
  </r>
  <r>
    <s v="Maruti 800 EX"/>
    <x v="16"/>
    <n v="30000"/>
    <n v="60000"/>
    <x v="0"/>
    <x v="0"/>
    <x v="0"/>
    <s v="Third Owner"/>
    <n v="22"/>
    <s v="Budget"/>
  </r>
  <r>
    <s v="Mahindra Renault Logan 1.6 Petrol GLSX"/>
    <x v="11"/>
    <n v="200000"/>
    <n v="30000"/>
    <x v="0"/>
    <x v="0"/>
    <x v="0"/>
    <s v="Second Owner"/>
    <n v="17"/>
    <s v="Budget"/>
  </r>
  <r>
    <s v="Tata Indigo LS"/>
    <x v="10"/>
    <n v="250000"/>
    <n v="96000"/>
    <x v="1"/>
    <x v="0"/>
    <x v="0"/>
    <s v="Second Owner"/>
    <n v="16"/>
    <s v="Budget"/>
  </r>
  <r>
    <s v="Maruti Alto VXi"/>
    <x v="5"/>
    <n v="280000"/>
    <n v="26134"/>
    <x v="0"/>
    <x v="1"/>
    <x v="0"/>
    <s v="First Owner"/>
    <n v="11"/>
    <s v="Budget"/>
  </r>
  <r>
    <s v="Maruti Ritz VDi"/>
    <x v="9"/>
    <n v="260000"/>
    <n v="52895"/>
    <x v="1"/>
    <x v="1"/>
    <x v="0"/>
    <s v="First Owner"/>
    <n v="15"/>
    <s v="Budget"/>
  </r>
  <r>
    <s v="Hyundai Verna SX Diesel"/>
    <x v="8"/>
    <n v="550000"/>
    <n v="42324"/>
    <x v="1"/>
    <x v="1"/>
    <x v="0"/>
    <s v="Second Owner"/>
    <n v="13"/>
    <s v="Mid Range"/>
  </r>
  <r>
    <s v="Mahindra XUV500 W10 1.99 mHawk"/>
    <x v="4"/>
    <n v="1044999"/>
    <n v="65000"/>
    <x v="1"/>
    <x v="1"/>
    <x v="0"/>
    <s v="First Owner"/>
    <n v="10"/>
    <s v="Premium"/>
  </r>
  <r>
    <s v="Mahindra Scorpio EX"/>
    <x v="1"/>
    <n v="550000"/>
    <n v="60236"/>
    <x v="1"/>
    <x v="1"/>
    <x v="0"/>
    <s v="First Owner"/>
    <n v="14"/>
    <s v="Mid Range"/>
  </r>
  <r>
    <s v="Maruti Wagon R VXI BS IV"/>
    <x v="3"/>
    <n v="210000"/>
    <n v="70000"/>
    <x v="0"/>
    <x v="0"/>
    <x v="0"/>
    <s v="Second Owner"/>
    <n v="12"/>
    <s v="Budget"/>
  </r>
  <r>
    <s v="Maruti Wagon R VXI BS IV"/>
    <x v="3"/>
    <n v="210000"/>
    <n v="70000"/>
    <x v="0"/>
    <x v="0"/>
    <x v="0"/>
    <s v="Third Owner"/>
    <n v="12"/>
    <s v="Budget"/>
  </r>
  <r>
    <s v="Mahindra Xylo E8"/>
    <x v="11"/>
    <n v="290000"/>
    <n v="100000"/>
    <x v="1"/>
    <x v="0"/>
    <x v="0"/>
    <s v="Second Owner"/>
    <n v="17"/>
    <s v="Budget"/>
  </r>
  <r>
    <s v="Fiat 500 Lounge"/>
    <x v="15"/>
    <n v="250999"/>
    <n v="110000"/>
    <x v="1"/>
    <x v="0"/>
    <x v="0"/>
    <s v="First Owner"/>
    <n v="18"/>
    <s v="Budget"/>
  </r>
  <r>
    <s v="Renault Triber RXT BSIV"/>
    <x v="7"/>
    <n v="600000"/>
    <n v="10300"/>
    <x v="0"/>
    <x v="0"/>
    <x v="0"/>
    <s v="First Owner"/>
    <n v="7"/>
    <s v="Mid Range"/>
  </r>
  <r>
    <s v="Fiat Grande Punto EVO 1.3 Active"/>
    <x v="3"/>
    <n v="270000"/>
    <n v="120000"/>
    <x v="1"/>
    <x v="0"/>
    <x v="0"/>
    <s v="Second Owner"/>
    <n v="12"/>
    <s v="Budget"/>
  </r>
  <r>
    <s v="Tata New Safari 4X4 EX"/>
    <x v="1"/>
    <n v="550000"/>
    <n v="142000"/>
    <x v="1"/>
    <x v="0"/>
    <x v="0"/>
    <s v="First Owner"/>
    <n v="14"/>
    <s v="Mid Range"/>
  </r>
  <r>
    <s v="Mahindra TUV 300 mHAWK100 T8"/>
    <x v="2"/>
    <n v="800000"/>
    <n v="25000"/>
    <x v="1"/>
    <x v="0"/>
    <x v="0"/>
    <s v="First Owner"/>
    <n v="9"/>
    <s v="Mid Range"/>
  </r>
  <r>
    <s v="Tata Altroz XE"/>
    <x v="20"/>
    <n v="500000"/>
    <n v="5000"/>
    <x v="0"/>
    <x v="0"/>
    <x v="0"/>
    <s v="First Owner"/>
    <n v="6"/>
    <s v="Mid Range"/>
  </r>
  <r>
    <s v="Hyundai Grand i10 1.2 Kappa Sportz BSIV"/>
    <x v="4"/>
    <n v="396000"/>
    <n v="28643"/>
    <x v="0"/>
    <x v="1"/>
    <x v="0"/>
    <s v="First Owner"/>
    <n v="10"/>
    <s v="Budget"/>
  </r>
  <r>
    <s v="Honda City i DTEC VX"/>
    <x v="3"/>
    <n v="600000"/>
    <n v="50000"/>
    <x v="1"/>
    <x v="0"/>
    <x v="0"/>
    <s v="First Owner"/>
    <n v="12"/>
    <s v="Mid Range"/>
  </r>
  <r>
    <s v="Maruti Wagon R ZXI 1.2"/>
    <x v="7"/>
    <n v="575000"/>
    <n v="30000"/>
    <x v="0"/>
    <x v="1"/>
    <x v="0"/>
    <s v="First Owner"/>
    <n v="7"/>
    <s v="Mid Range"/>
  </r>
  <r>
    <s v="Hyundai Santro Sportz BSIV"/>
    <x v="20"/>
    <n v="520000"/>
    <n v="5000"/>
    <x v="0"/>
    <x v="0"/>
    <x v="0"/>
    <s v="First Owner"/>
    <n v="6"/>
    <s v="Mid Range"/>
  </r>
  <r>
    <s v="Mahindra XUV500 AT W10 FWD"/>
    <x v="6"/>
    <n v="1400000"/>
    <n v="30000"/>
    <x v="1"/>
    <x v="0"/>
    <x v="1"/>
    <s v="First Owner"/>
    <n v="8"/>
    <s v="Premium"/>
  </r>
  <r>
    <s v="Maruti Baleno Delta Automatic"/>
    <x v="6"/>
    <n v="600000"/>
    <n v="7600"/>
    <x v="0"/>
    <x v="0"/>
    <x v="1"/>
    <s v="First Owner"/>
    <n v="8"/>
    <s v="Mid Range"/>
  </r>
  <r>
    <s v="Chevrolet Beat Diesel LS"/>
    <x v="8"/>
    <n v="195000"/>
    <n v="47253"/>
    <x v="1"/>
    <x v="1"/>
    <x v="0"/>
    <s v="First Owner"/>
    <n v="13"/>
    <s v="Budget"/>
  </r>
  <r>
    <s v="Maruti Alto K10 VXI AGS"/>
    <x v="5"/>
    <n v="281000"/>
    <n v="4432"/>
    <x v="0"/>
    <x v="1"/>
    <x v="1"/>
    <s v="Second Owner"/>
    <n v="11"/>
    <s v="Budget"/>
  </r>
  <r>
    <s v="Tata Indica GLS BS IV"/>
    <x v="10"/>
    <n v="75000"/>
    <n v="110000"/>
    <x v="0"/>
    <x v="0"/>
    <x v="0"/>
    <s v="Second Owner"/>
    <n v="16"/>
    <s v="Budget"/>
  </r>
  <r>
    <s v="Hyundai Grand i10 Sportz"/>
    <x v="3"/>
    <n v="400000"/>
    <n v="25000"/>
    <x v="0"/>
    <x v="0"/>
    <x v="0"/>
    <s v="First Owner"/>
    <n v="12"/>
    <s v="Budget"/>
  </r>
  <r>
    <s v="Tata Indica Vista Terra 1.4 TDI"/>
    <x v="11"/>
    <n v="93000"/>
    <n v="70000"/>
    <x v="1"/>
    <x v="0"/>
    <x v="0"/>
    <s v="Second Owner"/>
    <n v="17"/>
    <s v="Budget"/>
  </r>
  <r>
    <s v="Hyundai i20 Active S Petrol"/>
    <x v="4"/>
    <n v="560000"/>
    <n v="68523"/>
    <x v="0"/>
    <x v="1"/>
    <x v="0"/>
    <s v="First Owner"/>
    <n v="10"/>
    <s v="Mid Range"/>
  </r>
  <r>
    <s v="Hyundai EON 1.0 Era Plus"/>
    <x v="7"/>
    <n v="400000"/>
    <n v="5000"/>
    <x v="0"/>
    <x v="0"/>
    <x v="0"/>
    <s v="First Owner"/>
    <n v="7"/>
    <s v="Budget"/>
  </r>
  <r>
    <s v="Tata Tigor 1.2 Revotron XT"/>
    <x v="6"/>
    <n v="459999"/>
    <n v="40000"/>
    <x v="0"/>
    <x v="0"/>
    <x v="0"/>
    <s v="First Owner"/>
    <n v="8"/>
    <s v="Budget"/>
  </r>
  <r>
    <s v="Hyundai Xcent 1.2 CRDi E"/>
    <x v="2"/>
    <n v="450000"/>
    <n v="43000"/>
    <x v="1"/>
    <x v="0"/>
    <x v="0"/>
    <s v="First Owner"/>
    <n v="9"/>
    <s v="Budget"/>
  </r>
  <r>
    <s v="Maruti Alto Green LXi (CNG)"/>
    <x v="10"/>
    <n v="88000"/>
    <n v="80251"/>
    <x v="2"/>
    <x v="1"/>
    <x v="0"/>
    <s v="Second Owner"/>
    <n v="16"/>
    <s v="Budget"/>
  </r>
  <r>
    <s v="Hyundai i20 1.2 Era"/>
    <x v="10"/>
    <n v="250000"/>
    <n v="34500"/>
    <x v="0"/>
    <x v="0"/>
    <x v="0"/>
    <s v="Second Owner"/>
    <n v="16"/>
    <s v="Budget"/>
  </r>
  <r>
    <s v="Ford Ikon 1.4 ZXi"/>
    <x v="21"/>
    <n v="22000"/>
    <n v="42743"/>
    <x v="0"/>
    <x v="1"/>
    <x v="0"/>
    <s v="Third Owner"/>
    <n v="26"/>
    <s v="Budget"/>
  </r>
  <r>
    <s v="Chevrolet Beat Diesel LS"/>
    <x v="8"/>
    <n v="130000"/>
    <n v="93900"/>
    <x v="1"/>
    <x v="0"/>
    <x v="0"/>
    <s v="Second Owner"/>
    <n v="13"/>
    <s v="Budget"/>
  </r>
  <r>
    <s v="Maruti Zen VXi - BS III"/>
    <x v="16"/>
    <n v="79000"/>
    <n v="80000"/>
    <x v="0"/>
    <x v="0"/>
    <x v="0"/>
    <s v="First Owner"/>
    <n v="22"/>
    <s v="Budget"/>
  </r>
  <r>
    <s v="Chevrolet Beat Diesel LS"/>
    <x v="1"/>
    <n v="120000"/>
    <n v="110000"/>
    <x v="1"/>
    <x v="0"/>
    <x v="0"/>
    <s v="First Owner"/>
    <n v="14"/>
    <s v="Budget"/>
  </r>
  <r>
    <s v="BMW 7 Series 730Ld"/>
    <x v="9"/>
    <n v="1700000"/>
    <n v="100000"/>
    <x v="1"/>
    <x v="0"/>
    <x v="1"/>
    <s v="Second Owner"/>
    <n v="15"/>
    <s v="Premium"/>
  </r>
  <r>
    <s v="Chevrolet Optra Magnum 2.0 LT"/>
    <x v="1"/>
    <n v="300000"/>
    <n v="25000"/>
    <x v="1"/>
    <x v="0"/>
    <x v="0"/>
    <s v="First Owner"/>
    <n v="14"/>
    <s v="Budget"/>
  </r>
  <r>
    <s v="Maruti A-Star Lxi"/>
    <x v="11"/>
    <n v="145000"/>
    <n v="25000"/>
    <x v="0"/>
    <x v="0"/>
    <x v="0"/>
    <s v="First Owner"/>
    <n v="17"/>
    <s v="Budget"/>
  </r>
  <r>
    <s v="Ford Endeavour 3.2 Titanium AT 4X4"/>
    <x v="7"/>
    <n v="3200000"/>
    <n v="20000"/>
    <x v="1"/>
    <x v="0"/>
    <x v="1"/>
    <s v="First Owner"/>
    <n v="7"/>
    <s v="Premium"/>
  </r>
  <r>
    <s v="Chevrolet Spark 1.0 LT"/>
    <x v="8"/>
    <n v="240000"/>
    <n v="10000"/>
    <x v="0"/>
    <x v="0"/>
    <x v="0"/>
    <s v="First Owner"/>
    <n v="13"/>
    <s v="Budget"/>
  </r>
  <r>
    <s v="Honda WR-V i-DTEC VX"/>
    <x v="6"/>
    <n v="700000"/>
    <n v="30000"/>
    <x v="1"/>
    <x v="0"/>
    <x v="0"/>
    <s v="First Owner"/>
    <n v="8"/>
    <s v="Mid Range"/>
  </r>
  <r>
    <s v="Hyundai Accent GLX"/>
    <x v="10"/>
    <n v="145000"/>
    <n v="110000"/>
    <x v="0"/>
    <x v="0"/>
    <x v="0"/>
    <s v="Second Owner"/>
    <n v="16"/>
    <s v="Budget"/>
  </r>
  <r>
    <s v="Maruti Ertiga VDI Limited Edition"/>
    <x v="3"/>
    <n v="535000"/>
    <n v="80000"/>
    <x v="1"/>
    <x v="0"/>
    <x v="0"/>
    <s v="Second Owner"/>
    <n v="12"/>
    <s v="Mid Range"/>
  </r>
  <r>
    <s v="Mahindra KUV 100 mFALCON G80 K2 Plus"/>
    <x v="4"/>
    <n v="420000"/>
    <n v="21000"/>
    <x v="0"/>
    <x v="0"/>
    <x v="0"/>
    <s v="First Owner"/>
    <n v="10"/>
    <s v="Budget"/>
  </r>
  <r>
    <s v="Maruti Alto K10 VXI"/>
    <x v="4"/>
    <n v="350000"/>
    <n v="20000"/>
    <x v="0"/>
    <x v="0"/>
    <x v="0"/>
    <s v="First Owner"/>
    <n v="10"/>
    <s v="Budget"/>
  </r>
  <r>
    <s v="Maruti Swift VDI BSIV"/>
    <x v="5"/>
    <n v="550000"/>
    <n v="32000"/>
    <x v="1"/>
    <x v="0"/>
    <x v="0"/>
    <s v="First Owner"/>
    <n v="11"/>
    <s v="Mid Range"/>
  </r>
  <r>
    <s v="Mitsubishi Montero 3.2 MT"/>
    <x v="0"/>
    <n v="750000"/>
    <n v="180000"/>
    <x v="1"/>
    <x v="0"/>
    <x v="0"/>
    <s v="First Owner"/>
    <n v="19"/>
    <s v="Mid Range"/>
  </r>
  <r>
    <s v="Tata Indica Vista Aqua 1.3 Quadrajet ABS BSIV"/>
    <x v="1"/>
    <n v="198000"/>
    <n v="70000"/>
    <x v="1"/>
    <x v="0"/>
    <x v="0"/>
    <s v="Second Owner"/>
    <n v="14"/>
    <s v="Budget"/>
  </r>
  <r>
    <s v="Hyundai i20 Magna Optional 1.4 CRDi"/>
    <x v="8"/>
    <n v="420000"/>
    <n v="50000"/>
    <x v="1"/>
    <x v="0"/>
    <x v="0"/>
    <s v="First Owner"/>
    <n v="13"/>
    <s v="Budget"/>
  </r>
  <r>
    <s v="Ford Endeavour 4x2 XLT"/>
    <x v="16"/>
    <n v="195000"/>
    <n v="120000"/>
    <x v="1"/>
    <x v="0"/>
    <x v="0"/>
    <s v="First Owner"/>
    <n v="22"/>
    <s v="Budget"/>
  </r>
  <r>
    <s v="Hyundai EON Sportz"/>
    <x v="1"/>
    <n v="150000"/>
    <n v="55766"/>
    <x v="0"/>
    <x v="0"/>
    <x v="0"/>
    <s v="Second Owner"/>
    <n v="14"/>
    <s v="Budget"/>
  </r>
  <r>
    <s v="Nissan Micra XL"/>
    <x v="9"/>
    <n v="275000"/>
    <n v="40000"/>
    <x v="0"/>
    <x v="0"/>
    <x v="0"/>
    <s v="Second Owner"/>
    <n v="15"/>
    <s v="Budget"/>
  </r>
  <r>
    <s v="Maruti 800 Std"/>
    <x v="23"/>
    <n v="65000"/>
    <n v="60000"/>
    <x v="0"/>
    <x v="0"/>
    <x v="0"/>
    <s v="Third Owner"/>
    <n v="25"/>
    <s v="Budget"/>
  </r>
  <r>
    <s v="Maruti Swift LXi BSIV"/>
    <x v="15"/>
    <n v="200000"/>
    <n v="50000"/>
    <x v="0"/>
    <x v="0"/>
    <x v="0"/>
    <s v="First Owner"/>
    <n v="18"/>
    <s v="Budget"/>
  </r>
  <r>
    <s v="Maruti Swift Dzire VDi"/>
    <x v="10"/>
    <n v="250000"/>
    <n v="110000"/>
    <x v="1"/>
    <x v="0"/>
    <x v="0"/>
    <s v="Second Owner"/>
    <n v="16"/>
    <s v="Budget"/>
  </r>
  <r>
    <s v="Tata Indigo TDI"/>
    <x v="8"/>
    <n v="182000"/>
    <n v="100000"/>
    <x v="1"/>
    <x v="0"/>
    <x v="0"/>
    <s v="First Owner"/>
    <n v="13"/>
    <s v="Budget"/>
  </r>
  <r>
    <s v="Maruti Zen VX"/>
    <x v="23"/>
    <n v="85000"/>
    <n v="86000"/>
    <x v="0"/>
    <x v="0"/>
    <x v="0"/>
    <s v="Second Owner"/>
    <n v="25"/>
    <s v="Budget"/>
  </r>
  <r>
    <s v="Maruti Swift VDI"/>
    <x v="8"/>
    <n v="400000"/>
    <n v="50000"/>
    <x v="1"/>
    <x v="0"/>
    <x v="0"/>
    <s v="First Owner"/>
    <n v="13"/>
    <s v="Budget"/>
  </r>
  <r>
    <s v="Maruti Baleno Delta 1.3"/>
    <x v="2"/>
    <n v="650000"/>
    <n v="20000"/>
    <x v="1"/>
    <x v="0"/>
    <x v="0"/>
    <s v="First Owner"/>
    <n v="9"/>
    <s v="Mid Range"/>
  </r>
  <r>
    <s v="Hyundai i10 Magna 1.2"/>
    <x v="10"/>
    <n v="400000"/>
    <n v="50000"/>
    <x v="0"/>
    <x v="0"/>
    <x v="0"/>
    <s v="First Owner"/>
    <n v="16"/>
    <s v="Budget"/>
  </r>
  <r>
    <s v="Tata Manza Aura (ABS) Quadrajet BS IV"/>
    <x v="1"/>
    <n v="295000"/>
    <n v="80000"/>
    <x v="1"/>
    <x v="0"/>
    <x v="0"/>
    <s v="Second Owner"/>
    <n v="14"/>
    <s v="Budget"/>
  </r>
  <r>
    <s v="Maruti Omni LPG STD BSIV"/>
    <x v="12"/>
    <n v="60000"/>
    <n v="135000"/>
    <x v="3"/>
    <x v="0"/>
    <x v="0"/>
    <s v="Fourth &amp; Above Owner"/>
    <n v="20"/>
    <s v="Budget"/>
  </r>
  <r>
    <s v="Maruti Zen D PS"/>
    <x v="18"/>
    <n v="110000"/>
    <n v="120000"/>
    <x v="1"/>
    <x v="0"/>
    <x v="0"/>
    <s v="Third Owner"/>
    <n v="23"/>
    <s v="Budget"/>
  </r>
  <r>
    <s v="Fiat Linea 1.3 Multijet Emotion"/>
    <x v="5"/>
    <n v="550000"/>
    <n v="113600"/>
    <x v="1"/>
    <x v="0"/>
    <x v="0"/>
    <s v="First Owner"/>
    <n v="11"/>
    <s v="Mid Range"/>
  </r>
  <r>
    <s v="Hyundai Santro Xing GLS"/>
    <x v="15"/>
    <n v="190000"/>
    <n v="70000"/>
    <x v="0"/>
    <x v="0"/>
    <x v="0"/>
    <s v="Third Owner"/>
    <n v="18"/>
    <s v="Budget"/>
  </r>
  <r>
    <s v="Ford Aspire Titanium Plus Diesel BSIV"/>
    <x v="6"/>
    <n v="861999"/>
    <n v="20000"/>
    <x v="1"/>
    <x v="1"/>
    <x v="0"/>
    <s v="First Owner"/>
    <n v="8"/>
    <s v="Mid Range"/>
  </r>
  <r>
    <s v="Ford Aspire Titanium Plus BSIV"/>
    <x v="6"/>
    <n v="782000"/>
    <n v="14000"/>
    <x v="0"/>
    <x v="1"/>
    <x v="0"/>
    <s v="First Owner"/>
    <n v="8"/>
    <s v="Mid Range"/>
  </r>
  <r>
    <s v="Ford Freestyle Titanium Plus Diesel BSIV"/>
    <x v="6"/>
    <n v="836000"/>
    <n v="26000"/>
    <x v="1"/>
    <x v="1"/>
    <x v="0"/>
    <s v="First Owner"/>
    <n v="8"/>
    <s v="Mid Range"/>
  </r>
  <r>
    <s v="Honda City i VTEC V"/>
    <x v="4"/>
    <n v="696000"/>
    <n v="138925"/>
    <x v="0"/>
    <x v="1"/>
    <x v="0"/>
    <s v="First Owner"/>
    <n v="10"/>
    <s v="Mid Range"/>
  </r>
  <r>
    <s v="Honda Jazz 1.5 VX i DTEC"/>
    <x v="4"/>
    <n v="596000"/>
    <n v="121764"/>
    <x v="1"/>
    <x v="1"/>
    <x v="0"/>
    <s v="First Owner"/>
    <n v="10"/>
    <s v="Mid Range"/>
  </r>
  <r>
    <s v="Honda Jazz 1.2 VX i VTEC"/>
    <x v="4"/>
    <n v="612000"/>
    <n v="105429"/>
    <x v="0"/>
    <x v="1"/>
    <x v="0"/>
    <s v="First Owner"/>
    <n v="10"/>
    <s v="Mid Range"/>
  </r>
  <r>
    <s v="Maruti Alto 800 LXI"/>
    <x v="5"/>
    <n v="114999"/>
    <n v="35000"/>
    <x v="0"/>
    <x v="0"/>
    <x v="0"/>
    <s v="First Owner"/>
    <n v="11"/>
    <s v="Budget"/>
  </r>
  <r>
    <s v="Tata Bolt Quadrajet XE"/>
    <x v="2"/>
    <n v="340000"/>
    <n v="60000"/>
    <x v="1"/>
    <x v="0"/>
    <x v="0"/>
    <s v="First Owner"/>
    <n v="9"/>
    <s v="Budget"/>
  </r>
  <r>
    <s v="Maruti Swift ZXI Plus"/>
    <x v="20"/>
    <n v="550000"/>
    <n v="5000"/>
    <x v="0"/>
    <x v="0"/>
    <x v="0"/>
    <s v="First Owner"/>
    <n v="6"/>
    <s v="Mid Range"/>
  </r>
  <r>
    <s v="Chevrolet Aveo U-VA 1.2 LT"/>
    <x v="15"/>
    <n v="114999"/>
    <n v="70000"/>
    <x v="0"/>
    <x v="0"/>
    <x v="0"/>
    <s v="Third Owner"/>
    <n v="18"/>
    <s v="Budget"/>
  </r>
  <r>
    <s v="Maruti Wagon R VXI"/>
    <x v="21"/>
    <n v="105000"/>
    <n v="80000"/>
    <x v="0"/>
    <x v="0"/>
    <x v="0"/>
    <s v="First Owner"/>
    <n v="26"/>
    <s v="Budget"/>
  </r>
  <r>
    <s v="Maruti Vitara Brezza ZDi"/>
    <x v="7"/>
    <n v="890000"/>
    <n v="20000"/>
    <x v="1"/>
    <x v="0"/>
    <x v="0"/>
    <s v="First Owner"/>
    <n v="7"/>
    <s v="Mid Range"/>
  </r>
  <r>
    <s v="Tata Nexon 1.2 Revotron XZ Plus"/>
    <x v="7"/>
    <n v="715000"/>
    <n v="8000"/>
    <x v="0"/>
    <x v="0"/>
    <x v="0"/>
    <s v="First Owner"/>
    <n v="7"/>
    <s v="Mid Range"/>
  </r>
  <r>
    <s v="Hyundai i20 Asta (o)"/>
    <x v="3"/>
    <n v="525000"/>
    <n v="54000"/>
    <x v="0"/>
    <x v="1"/>
    <x v="0"/>
    <s v="Second Owner"/>
    <n v="12"/>
    <s v="Mid Range"/>
  </r>
  <r>
    <s v="Hyundai i20 Asta 1.2"/>
    <x v="3"/>
    <n v="475000"/>
    <n v="23122"/>
    <x v="0"/>
    <x v="1"/>
    <x v="0"/>
    <s v="Second Owner"/>
    <n v="12"/>
    <s v="Budget"/>
  </r>
  <r>
    <s v="Chevrolet Cruze LT"/>
    <x v="1"/>
    <n v="349000"/>
    <n v="44500"/>
    <x v="1"/>
    <x v="1"/>
    <x v="0"/>
    <s v="Second Owner"/>
    <n v="14"/>
    <s v="Budget"/>
  </r>
  <r>
    <s v="Volkswagen Polo GTI"/>
    <x v="2"/>
    <n v="825000"/>
    <n v="13599"/>
    <x v="0"/>
    <x v="1"/>
    <x v="1"/>
    <s v="First Owner"/>
    <n v="9"/>
    <s v="Mid Range"/>
  </r>
  <r>
    <s v="Mahindra Scorpio SLE BSIV"/>
    <x v="3"/>
    <n v="550000"/>
    <n v="100000"/>
    <x v="1"/>
    <x v="0"/>
    <x v="0"/>
    <s v="Second Owner"/>
    <n v="12"/>
    <s v="Mid Range"/>
  </r>
  <r>
    <s v="Maruti Swift 1.3 VXI ABS"/>
    <x v="12"/>
    <n v="95000"/>
    <n v="110000"/>
    <x v="0"/>
    <x v="0"/>
    <x v="0"/>
    <s v="Third Owner"/>
    <n v="20"/>
    <s v="Budget"/>
  </r>
  <r>
    <s v="Toyota Innova 2.5 G (Diesel) 7 Seater"/>
    <x v="3"/>
    <n v="725000"/>
    <n v="90000"/>
    <x v="1"/>
    <x v="0"/>
    <x v="0"/>
    <s v="Second Owner"/>
    <n v="12"/>
    <s v="Mid Range"/>
  </r>
  <r>
    <s v="Tata Tigor 1.2 Revotron XZ Option"/>
    <x v="7"/>
    <n v="670000"/>
    <n v="17000"/>
    <x v="0"/>
    <x v="0"/>
    <x v="0"/>
    <s v="First Owner"/>
    <n v="7"/>
    <s v="Mid Range"/>
  </r>
  <r>
    <s v="Maruti Alto LX"/>
    <x v="15"/>
    <n v="65000"/>
    <n v="140000"/>
    <x v="0"/>
    <x v="0"/>
    <x v="0"/>
    <s v="First Owner"/>
    <n v="18"/>
    <s v="Budget"/>
  </r>
  <r>
    <s v="Mahindra Xylo D4"/>
    <x v="5"/>
    <n v="500000"/>
    <n v="50000"/>
    <x v="1"/>
    <x v="0"/>
    <x v="0"/>
    <s v="Second Owner"/>
    <n v="11"/>
    <s v="Mid Range"/>
  </r>
  <r>
    <s v="Mahindra KUV 100 mFALCON G80 K8 5str"/>
    <x v="2"/>
    <n v="600000"/>
    <n v="53000"/>
    <x v="0"/>
    <x v="0"/>
    <x v="0"/>
    <s v="First Owner"/>
    <n v="9"/>
    <s v="Mid Range"/>
  </r>
  <r>
    <s v="Maruti Wagon R VXI Optional"/>
    <x v="2"/>
    <n v="350000"/>
    <n v="70000"/>
    <x v="0"/>
    <x v="0"/>
    <x v="0"/>
    <s v="Second Owner"/>
    <n v="9"/>
    <s v="Budget"/>
  </r>
  <r>
    <s v="Chevrolet Beat Diesel LT"/>
    <x v="1"/>
    <n v="200000"/>
    <n v="70000"/>
    <x v="1"/>
    <x v="0"/>
    <x v="0"/>
    <s v="Second Owner"/>
    <n v="14"/>
    <s v="Budget"/>
  </r>
  <r>
    <s v="Hyundai EON Sportz"/>
    <x v="1"/>
    <n v="150000"/>
    <n v="80000"/>
    <x v="0"/>
    <x v="0"/>
    <x v="0"/>
    <s v="First Owner"/>
    <n v="14"/>
    <s v="Budget"/>
  </r>
  <r>
    <s v="Maruti Zen D PS"/>
    <x v="18"/>
    <n v="75000"/>
    <n v="110000"/>
    <x v="1"/>
    <x v="0"/>
    <x v="0"/>
    <s v="Second Owner"/>
    <n v="23"/>
    <s v="Budget"/>
  </r>
  <r>
    <s v="Honda Amaze EX i-Dtech"/>
    <x v="8"/>
    <n v="350000"/>
    <n v="90000"/>
    <x v="1"/>
    <x v="0"/>
    <x v="0"/>
    <s v="Second Owner"/>
    <n v="13"/>
    <s v="Budget"/>
  </r>
  <r>
    <s v="Toyota Innova Crysta 2.4 VX MT 8S BSIV"/>
    <x v="6"/>
    <n v="1700000"/>
    <n v="15000"/>
    <x v="1"/>
    <x v="0"/>
    <x v="0"/>
    <s v="First Owner"/>
    <n v="8"/>
    <s v="Premium"/>
  </r>
  <r>
    <s v="BMW X1 sDrive20d"/>
    <x v="9"/>
    <n v="890000"/>
    <n v="86000"/>
    <x v="1"/>
    <x v="0"/>
    <x v="1"/>
    <s v="Second Owner"/>
    <n v="15"/>
    <s v="Mid Range"/>
  </r>
  <r>
    <s v="Mahindra Scorpio M2DI"/>
    <x v="3"/>
    <n v="500000"/>
    <n v="120000"/>
    <x v="1"/>
    <x v="0"/>
    <x v="0"/>
    <s v="First Owner"/>
    <n v="12"/>
    <s v="Mid Range"/>
  </r>
  <r>
    <s v="Hyundai Elite i20 Sportz Plus Dual Tone BSIV"/>
    <x v="7"/>
    <n v="600000"/>
    <n v="5200"/>
    <x v="0"/>
    <x v="0"/>
    <x v="0"/>
    <s v="First Owner"/>
    <n v="7"/>
    <s v="Mid Range"/>
  </r>
  <r>
    <s v="Chevrolet Beat LS"/>
    <x v="10"/>
    <n v="99000"/>
    <n v="60000"/>
    <x v="0"/>
    <x v="0"/>
    <x v="0"/>
    <s v="Second Owner"/>
    <n v="16"/>
    <s v="Budget"/>
  </r>
  <r>
    <s v="Hyundai i10 Era 1.1 iTech SE"/>
    <x v="9"/>
    <n v="235000"/>
    <n v="46000"/>
    <x v="0"/>
    <x v="0"/>
    <x v="0"/>
    <s v="First Owner"/>
    <n v="15"/>
    <s v="Budget"/>
  </r>
  <r>
    <s v="Tata Indigo GLX"/>
    <x v="12"/>
    <n v="75000"/>
    <n v="40000"/>
    <x v="0"/>
    <x v="0"/>
    <x v="0"/>
    <s v="Second Owner"/>
    <n v="20"/>
    <s v="Budget"/>
  </r>
  <r>
    <s v="Honda City i DTEC VX"/>
    <x v="3"/>
    <n v="600000"/>
    <n v="90000"/>
    <x v="1"/>
    <x v="0"/>
    <x v="0"/>
    <s v="Second Owner"/>
    <n v="12"/>
    <s v="Mid Range"/>
  </r>
  <r>
    <s v="Hyundai Verna CRDi 1.6 SX"/>
    <x v="7"/>
    <n v="1000000"/>
    <n v="25000"/>
    <x v="1"/>
    <x v="0"/>
    <x v="0"/>
    <s v="Second Owner"/>
    <n v="7"/>
    <s v="Mid Range"/>
  </r>
  <r>
    <s v="Hyundai Verna 1.6 SX"/>
    <x v="1"/>
    <n v="390000"/>
    <n v="90000"/>
    <x v="1"/>
    <x v="0"/>
    <x v="0"/>
    <s v="First Owner"/>
    <n v="14"/>
    <s v="Budget"/>
  </r>
  <r>
    <s v="Volkswagen Polo 1.5 TDI Highline"/>
    <x v="5"/>
    <n v="600000"/>
    <n v="70000"/>
    <x v="1"/>
    <x v="0"/>
    <x v="0"/>
    <s v="First Owner"/>
    <n v="11"/>
    <s v="Mid Range"/>
  </r>
  <r>
    <s v="Hyundai i20 1.2 Spotz"/>
    <x v="2"/>
    <n v="600000"/>
    <n v="70000"/>
    <x v="0"/>
    <x v="0"/>
    <x v="0"/>
    <s v="Second Owner"/>
    <n v="9"/>
    <s v="Mid Range"/>
  </r>
  <r>
    <s v="Hyundai Elite i20 Magna Plus Diesel"/>
    <x v="7"/>
    <n v="730000"/>
    <n v="35000"/>
    <x v="1"/>
    <x v="0"/>
    <x v="0"/>
    <s v="Second Owner"/>
    <n v="7"/>
    <s v="Mid Range"/>
  </r>
  <r>
    <s v="Hyundai Grand i10 1.2 Kappa Magna AT"/>
    <x v="2"/>
    <n v="450000"/>
    <n v="12700"/>
    <x v="0"/>
    <x v="0"/>
    <x v="1"/>
    <s v="First Owner"/>
    <n v="9"/>
    <s v="Budget"/>
  </r>
  <r>
    <s v="Maruti Ritz LDi"/>
    <x v="9"/>
    <n v="250000"/>
    <n v="80000"/>
    <x v="1"/>
    <x v="0"/>
    <x v="0"/>
    <s v="First Owner"/>
    <n v="15"/>
    <s v="Budget"/>
  </r>
  <r>
    <s v="Mahindra XUV500 W10 2WD"/>
    <x v="6"/>
    <n v="1400000"/>
    <n v="20000"/>
    <x v="1"/>
    <x v="0"/>
    <x v="0"/>
    <s v="First Owner"/>
    <n v="8"/>
    <s v="Premium"/>
  </r>
  <r>
    <s v="Renault KWID 1.0 RXT Optional"/>
    <x v="6"/>
    <n v="300000"/>
    <n v="20000"/>
    <x v="0"/>
    <x v="0"/>
    <x v="0"/>
    <s v="First Owner"/>
    <n v="8"/>
    <s v="Budget"/>
  </r>
  <r>
    <s v="Ford EcoSport 1.5 Petrol Titanium BSIV"/>
    <x v="2"/>
    <n v="800000"/>
    <n v="19000"/>
    <x v="0"/>
    <x v="0"/>
    <x v="0"/>
    <s v="First Owner"/>
    <n v="9"/>
    <s v="Mid Range"/>
  </r>
  <r>
    <s v="Fiat Grande Punto Active (Diesel)"/>
    <x v="11"/>
    <n v="125000"/>
    <n v="95000"/>
    <x v="1"/>
    <x v="0"/>
    <x v="0"/>
    <s v="Second Owner"/>
    <n v="17"/>
    <s v="Budget"/>
  </r>
  <r>
    <s v="Volkswagen Polo Diesel Trendline 1.2L"/>
    <x v="1"/>
    <n v="295000"/>
    <n v="90000"/>
    <x v="1"/>
    <x v="0"/>
    <x v="0"/>
    <s v="First Owner"/>
    <n v="14"/>
    <s v="Budget"/>
  </r>
  <r>
    <s v="Ford Ecosport 1.0 Ecoboost Platinum Edition BSIV"/>
    <x v="8"/>
    <n v="650000"/>
    <n v="45839"/>
    <x v="0"/>
    <x v="1"/>
    <x v="0"/>
    <s v="First Owner"/>
    <n v="13"/>
    <s v="Mid Range"/>
  </r>
  <r>
    <s v="Chevrolet Aveo 1.4 LS"/>
    <x v="10"/>
    <n v="200000"/>
    <n v="74510"/>
    <x v="0"/>
    <x v="1"/>
    <x v="0"/>
    <s v="First Owner"/>
    <n v="16"/>
    <s v="Budget"/>
  </r>
  <r>
    <s v="Chevrolet Aveo U-VA 1.2 LS"/>
    <x v="11"/>
    <n v="130000"/>
    <n v="87293"/>
    <x v="0"/>
    <x v="1"/>
    <x v="0"/>
    <s v="First Owner"/>
    <n v="17"/>
    <s v="Budget"/>
  </r>
  <r>
    <s v="Ford Figo Diesel EXI"/>
    <x v="1"/>
    <n v="250000"/>
    <n v="156040"/>
    <x v="1"/>
    <x v="1"/>
    <x v="0"/>
    <s v="First Owner"/>
    <n v="14"/>
    <s v="Budget"/>
  </r>
  <r>
    <s v="Ford Endeavour 2.5L 4X2 MT"/>
    <x v="16"/>
    <n v="400000"/>
    <n v="93415"/>
    <x v="1"/>
    <x v="1"/>
    <x v="0"/>
    <s v="First Owner"/>
    <n v="22"/>
    <s v="Budget"/>
  </r>
  <r>
    <s v="Ford Aspire Titanium BSIV"/>
    <x v="2"/>
    <n v="430000"/>
    <n v="101159"/>
    <x v="0"/>
    <x v="1"/>
    <x v="0"/>
    <s v="First Owner"/>
    <n v="9"/>
    <s v="Budget"/>
  </r>
  <r>
    <s v="Hyundai EON 1.0 Kappa Magna Plus"/>
    <x v="5"/>
    <n v="170000"/>
    <n v="80000"/>
    <x v="0"/>
    <x v="0"/>
    <x v="0"/>
    <s v="Second Owner"/>
    <n v="11"/>
    <s v="Budget"/>
  </r>
  <r>
    <s v="Tata Tiago 2019-2020 XZ"/>
    <x v="7"/>
    <n v="450000"/>
    <n v="12000"/>
    <x v="0"/>
    <x v="0"/>
    <x v="0"/>
    <s v="First Owner"/>
    <n v="7"/>
    <s v="Budget"/>
  </r>
  <r>
    <s v="Maruti Swift ZXI"/>
    <x v="8"/>
    <n v="350000"/>
    <n v="90000"/>
    <x v="0"/>
    <x v="0"/>
    <x v="0"/>
    <s v="First Owner"/>
    <n v="13"/>
    <s v="Budget"/>
  </r>
  <r>
    <s v="Chevrolet Spark 1.0 LT"/>
    <x v="9"/>
    <n v="130000"/>
    <n v="68519"/>
    <x v="0"/>
    <x v="1"/>
    <x v="0"/>
    <s v="First Owner"/>
    <n v="15"/>
    <s v="Budget"/>
  </r>
  <r>
    <s v="Chevrolet Beat Diesel LS"/>
    <x v="1"/>
    <n v="180000"/>
    <n v="55130"/>
    <x v="1"/>
    <x v="1"/>
    <x v="0"/>
    <s v="First Owner"/>
    <n v="14"/>
    <s v="Budget"/>
  </r>
  <r>
    <s v="Ford Ecosport 1.0 Ecoboost Titanium Optional"/>
    <x v="3"/>
    <n v="475000"/>
    <n v="65239"/>
    <x v="0"/>
    <x v="1"/>
    <x v="0"/>
    <s v="First Owner"/>
    <n v="12"/>
    <s v="Budget"/>
  </r>
  <r>
    <s v="Volkswagen Polo 1.2 MPI Comfortline"/>
    <x v="5"/>
    <n v="470000"/>
    <n v="58182"/>
    <x v="0"/>
    <x v="1"/>
    <x v="0"/>
    <s v="First Owner"/>
    <n v="11"/>
    <s v="Budget"/>
  </r>
  <r>
    <s v="Ford Fiesta Diesel Trend"/>
    <x v="1"/>
    <n v="200000"/>
    <n v="91245"/>
    <x v="1"/>
    <x v="1"/>
    <x v="0"/>
    <s v="First Owner"/>
    <n v="14"/>
    <s v="Budget"/>
  </r>
  <r>
    <s v="Mahindra XUV500 W8 2WD"/>
    <x v="8"/>
    <n v="650000"/>
    <n v="102989"/>
    <x v="1"/>
    <x v="1"/>
    <x v="0"/>
    <s v="First Owner"/>
    <n v="13"/>
    <s v="Mid Range"/>
  </r>
  <r>
    <s v="Honda City 1.5 E MT"/>
    <x v="10"/>
    <n v="400000"/>
    <n v="50000"/>
    <x v="0"/>
    <x v="0"/>
    <x v="0"/>
    <s v="First Owner"/>
    <n v="16"/>
    <s v="Budget"/>
  </r>
  <r>
    <s v="Maruti Zen VXI"/>
    <x v="21"/>
    <n v="100000"/>
    <n v="120000"/>
    <x v="0"/>
    <x v="0"/>
    <x v="0"/>
    <s v="First Owner"/>
    <n v="26"/>
    <s v="Budget"/>
  </r>
  <r>
    <s v="Maruti Swift Dzire VDI"/>
    <x v="3"/>
    <n v="409999"/>
    <n v="90000"/>
    <x v="1"/>
    <x v="0"/>
    <x v="0"/>
    <s v="First Owner"/>
    <n v="12"/>
    <s v="Budget"/>
  </r>
  <r>
    <s v="Maruti Swift VDI BSIV"/>
    <x v="6"/>
    <n v="640000"/>
    <n v="25000"/>
    <x v="1"/>
    <x v="0"/>
    <x v="0"/>
    <s v="First Owner"/>
    <n v="8"/>
    <s v="Mid Range"/>
  </r>
  <r>
    <s v="Maruti Wagon R LXI Minor"/>
    <x v="0"/>
    <n v="160000"/>
    <n v="80000"/>
    <x v="0"/>
    <x v="0"/>
    <x v="0"/>
    <s v="Second Owner"/>
    <n v="19"/>
    <s v="Budget"/>
  </r>
  <r>
    <s v="Maruti Baleno Zeta 1.3"/>
    <x v="6"/>
    <n v="750000"/>
    <n v="70000"/>
    <x v="1"/>
    <x v="0"/>
    <x v="0"/>
    <s v="First Owner"/>
    <n v="8"/>
    <s v="Mid Range"/>
  </r>
  <r>
    <s v="Mahindra Jeep MM 550 XDB"/>
    <x v="19"/>
    <n v="150000"/>
    <n v="50000"/>
    <x v="1"/>
    <x v="0"/>
    <x v="0"/>
    <s v="Third Owner"/>
    <n v="24"/>
    <s v="Budget"/>
  </r>
  <r>
    <s v="Maruti Alto STD"/>
    <x v="15"/>
    <n v="80000"/>
    <n v="100000"/>
    <x v="0"/>
    <x v="0"/>
    <x v="0"/>
    <s v="Second Owner"/>
    <n v="18"/>
    <s v="Budget"/>
  </r>
  <r>
    <s v="Maruti Celerio VDi"/>
    <x v="4"/>
    <n v="240000"/>
    <n v="90000"/>
    <x v="1"/>
    <x v="0"/>
    <x v="0"/>
    <s v="Third Owner"/>
    <n v="10"/>
    <s v="Budget"/>
  </r>
  <r>
    <s v="Maruti Esteem Lxi"/>
    <x v="14"/>
    <n v="60000"/>
    <n v="60000"/>
    <x v="0"/>
    <x v="0"/>
    <x v="0"/>
    <s v="Third Owner"/>
    <n v="21"/>
    <s v="Budget"/>
  </r>
  <r>
    <s v="Maruti Alto LX"/>
    <x v="0"/>
    <n v="70000"/>
    <n v="120000"/>
    <x v="0"/>
    <x v="0"/>
    <x v="0"/>
    <s v="Third Owner"/>
    <n v="19"/>
    <s v="Budget"/>
  </r>
  <r>
    <s v="Volkswagen Jetta 1.9 Highline TDI"/>
    <x v="15"/>
    <n v="285000"/>
    <n v="90000"/>
    <x v="1"/>
    <x v="0"/>
    <x v="1"/>
    <s v="Second Owner"/>
    <n v="18"/>
    <s v="Budget"/>
  </r>
  <r>
    <s v="Maruti Swift VDI BSIV"/>
    <x v="5"/>
    <n v="350000"/>
    <n v="60000"/>
    <x v="1"/>
    <x v="0"/>
    <x v="0"/>
    <s v="Second Owner"/>
    <n v="11"/>
    <s v="Budget"/>
  </r>
  <r>
    <s v="Hyundai i20 Active 1.4 SX with AVN"/>
    <x v="5"/>
    <n v="699000"/>
    <n v="30000"/>
    <x v="1"/>
    <x v="0"/>
    <x v="0"/>
    <s v="Second Owner"/>
    <n v="11"/>
    <s v="Mid Range"/>
  </r>
  <r>
    <s v="Ford Figo Diesel ZXI"/>
    <x v="9"/>
    <n v="275000"/>
    <n v="108000"/>
    <x v="1"/>
    <x v="0"/>
    <x v="0"/>
    <s v="Second Owner"/>
    <n v="15"/>
    <s v="Budget"/>
  </r>
  <r>
    <s v="Hyundai i20 1.4 CRDi Magna"/>
    <x v="1"/>
    <n v="350000"/>
    <n v="160000"/>
    <x v="1"/>
    <x v="0"/>
    <x v="0"/>
    <s v="Second Owner"/>
    <n v="14"/>
    <s v="Budget"/>
  </r>
  <r>
    <s v="Maruti Alto LXi BSIII"/>
    <x v="12"/>
    <n v="135000"/>
    <n v="90000"/>
    <x v="0"/>
    <x v="0"/>
    <x v="0"/>
    <s v="Third Owner"/>
    <n v="20"/>
    <s v="Budget"/>
  </r>
  <r>
    <s v="Mahindra Xylo E4 8S"/>
    <x v="10"/>
    <n v="325000"/>
    <n v="120000"/>
    <x v="1"/>
    <x v="0"/>
    <x v="0"/>
    <s v="Third Owner"/>
    <n v="16"/>
    <s v="Budget"/>
  </r>
  <r>
    <s v="Mahindra XUV500 W8 2WD"/>
    <x v="1"/>
    <n v="650000"/>
    <n v="102000"/>
    <x v="1"/>
    <x v="0"/>
    <x v="0"/>
    <s v="Second Owner"/>
    <n v="14"/>
    <s v="Mid Range"/>
  </r>
  <r>
    <s v="Mahindra Bolero SLE"/>
    <x v="11"/>
    <n v="300000"/>
    <n v="178000"/>
    <x v="1"/>
    <x v="0"/>
    <x v="0"/>
    <s v="Second Owner"/>
    <n v="17"/>
    <s v="Budget"/>
  </r>
  <r>
    <s v="Toyota Innova 2.5 VX (Diesel) 8 Seater"/>
    <x v="3"/>
    <n v="1200000"/>
    <n v="200000"/>
    <x v="1"/>
    <x v="0"/>
    <x v="0"/>
    <s v="Second Owner"/>
    <n v="12"/>
    <s v="Premium"/>
  </r>
  <r>
    <s v="Ford Fiesta Petrol Trend"/>
    <x v="1"/>
    <n v="450000"/>
    <n v="60000"/>
    <x v="0"/>
    <x v="1"/>
    <x v="0"/>
    <s v="First Owner"/>
    <n v="14"/>
    <s v="Budget"/>
  </r>
  <r>
    <s v="Tata Tiago 1.2 Revotron XE"/>
    <x v="7"/>
    <n v="425000"/>
    <n v="3000"/>
    <x v="0"/>
    <x v="0"/>
    <x v="0"/>
    <s v="First Owner"/>
    <n v="7"/>
    <s v="Budget"/>
  </r>
  <r>
    <s v="Maruti Alto LXi"/>
    <x v="12"/>
    <n v="150000"/>
    <n v="75118"/>
    <x v="0"/>
    <x v="0"/>
    <x v="0"/>
    <s v="Second Owner"/>
    <n v="20"/>
    <s v="Budget"/>
  </r>
  <r>
    <s v="Maruti Ritz LDi"/>
    <x v="8"/>
    <n v="290000"/>
    <n v="140000"/>
    <x v="1"/>
    <x v="0"/>
    <x v="0"/>
    <s v="Second Owner"/>
    <n v="13"/>
    <s v="Budget"/>
  </r>
  <r>
    <s v="Hyundai Xcent 1.2 Kappa Base"/>
    <x v="3"/>
    <n v="335000"/>
    <n v="60000"/>
    <x v="0"/>
    <x v="0"/>
    <x v="0"/>
    <s v="Second Owner"/>
    <n v="12"/>
    <s v="Budget"/>
  </r>
  <r>
    <s v="Chevrolet Optra 1.6"/>
    <x v="12"/>
    <n v="120000"/>
    <n v="79000"/>
    <x v="0"/>
    <x v="1"/>
    <x v="0"/>
    <s v="Fourth &amp; Above Owner"/>
    <n v="20"/>
    <s v="Budget"/>
  </r>
  <r>
    <s v="Ford Ikon 1.6 ZXI NXt"/>
    <x v="14"/>
    <n v="20000"/>
    <n v="25000"/>
    <x v="0"/>
    <x v="0"/>
    <x v="0"/>
    <s v="Second Owner"/>
    <n v="21"/>
    <s v="Budget"/>
  </r>
  <r>
    <s v="Tata Indigo LS"/>
    <x v="1"/>
    <n v="220000"/>
    <n v="70000"/>
    <x v="1"/>
    <x v="0"/>
    <x v="0"/>
    <s v="Second Owner"/>
    <n v="14"/>
    <s v="Budget"/>
  </r>
  <r>
    <s v="Ford Ikon 1.3 Flair"/>
    <x v="14"/>
    <n v="61000"/>
    <n v="4637"/>
    <x v="0"/>
    <x v="0"/>
    <x v="0"/>
    <s v="Second Owner"/>
    <n v="21"/>
    <s v="Budget"/>
  </r>
  <r>
    <s v="Maruti Swift VDI BSIV"/>
    <x v="4"/>
    <n v="620000"/>
    <n v="70000"/>
    <x v="1"/>
    <x v="0"/>
    <x v="0"/>
    <s v="First Owner"/>
    <n v="10"/>
    <s v="Mid Range"/>
  </r>
  <r>
    <s v="Maruti Swift Dzire LDIX Limited Edition"/>
    <x v="3"/>
    <n v="425000"/>
    <n v="100000"/>
    <x v="1"/>
    <x v="0"/>
    <x v="0"/>
    <s v="Second Owner"/>
    <n v="12"/>
    <s v="Budget"/>
  </r>
  <r>
    <s v="Tata Indica Vista Aqua 1.3 Quadrajet"/>
    <x v="11"/>
    <n v="85000"/>
    <n v="120000"/>
    <x v="1"/>
    <x v="0"/>
    <x v="0"/>
    <s v="Second Owner"/>
    <n v="17"/>
    <s v="Budget"/>
  </r>
  <r>
    <s v="Maruti Swift 1.3 DLX"/>
    <x v="5"/>
    <n v="270000"/>
    <n v="40000"/>
    <x v="1"/>
    <x v="0"/>
    <x v="0"/>
    <s v="Second Owner"/>
    <n v="11"/>
    <s v="Budget"/>
  </r>
  <r>
    <s v="Maruti Swift Vdi BSIII"/>
    <x v="11"/>
    <n v="180000"/>
    <n v="220000"/>
    <x v="1"/>
    <x v="0"/>
    <x v="0"/>
    <s v="First Owner"/>
    <n v="17"/>
    <s v="Budget"/>
  </r>
  <r>
    <s v="Mahindra KUV 100 mFALCON G80 K2"/>
    <x v="2"/>
    <n v="450000"/>
    <n v="30000"/>
    <x v="0"/>
    <x v="0"/>
    <x v="0"/>
    <s v="First Owner"/>
    <n v="9"/>
    <s v="Budget"/>
  </r>
  <r>
    <s v="Tata New Safari DICOR 2.2 VX 4x4"/>
    <x v="1"/>
    <n v="450000"/>
    <n v="42655"/>
    <x v="1"/>
    <x v="0"/>
    <x v="0"/>
    <s v="First Owner"/>
    <n v="14"/>
    <s v="Budget"/>
  </r>
  <r>
    <s v="Renault KWID 1.0 RXL"/>
    <x v="2"/>
    <n v="250000"/>
    <n v="43000"/>
    <x v="0"/>
    <x v="0"/>
    <x v="0"/>
    <s v="Second Owner"/>
    <n v="9"/>
    <s v="Budget"/>
  </r>
  <r>
    <s v="Toyota Innova 2.5 VX 8 STR BSIV"/>
    <x v="1"/>
    <n v="725000"/>
    <n v="70000"/>
    <x v="1"/>
    <x v="0"/>
    <x v="0"/>
    <s v="First Owner"/>
    <n v="14"/>
    <s v="Mid Range"/>
  </r>
  <r>
    <s v="Hyundai i20 Magna"/>
    <x v="10"/>
    <n v="250000"/>
    <n v="55000"/>
    <x v="0"/>
    <x v="0"/>
    <x v="0"/>
    <s v="First Owner"/>
    <n v="16"/>
    <s v="Budget"/>
  </r>
  <r>
    <s v="Fiat Punto 1.3 Active"/>
    <x v="10"/>
    <n v="99000"/>
    <n v="80000"/>
    <x v="1"/>
    <x v="0"/>
    <x v="0"/>
    <s v="Second Owner"/>
    <n v="16"/>
    <s v="Budget"/>
  </r>
  <r>
    <s v="Renault KWID 1.0"/>
    <x v="2"/>
    <n v="350000"/>
    <n v="55000"/>
    <x v="0"/>
    <x v="0"/>
    <x v="0"/>
    <s v="First Owner"/>
    <n v="9"/>
    <s v="Budget"/>
  </r>
  <r>
    <s v="Hyundai Xcent 1.2 VTVT E Plus"/>
    <x v="6"/>
    <n v="511000"/>
    <n v="70000"/>
    <x v="0"/>
    <x v="0"/>
    <x v="0"/>
    <s v="First Owner"/>
    <n v="8"/>
    <s v="Mid Range"/>
  </r>
  <r>
    <s v="Maruti Ritz VDi"/>
    <x v="1"/>
    <n v="300000"/>
    <n v="80000"/>
    <x v="1"/>
    <x v="0"/>
    <x v="0"/>
    <s v="First Owner"/>
    <n v="14"/>
    <s v="Budget"/>
  </r>
  <r>
    <s v="Audi Q5 2.0 TFSI Quattro"/>
    <x v="10"/>
    <n v="1100000"/>
    <n v="110000"/>
    <x v="0"/>
    <x v="0"/>
    <x v="1"/>
    <s v="First Owner"/>
    <n v="16"/>
    <s v="Premium"/>
  </r>
  <r>
    <s v="Hyundai i10 Sportz 1.2"/>
    <x v="10"/>
    <n v="125000"/>
    <n v="60000"/>
    <x v="0"/>
    <x v="0"/>
    <x v="0"/>
    <s v="Third Owner"/>
    <n v="16"/>
    <s v="Budget"/>
  </r>
  <r>
    <s v="Tata Tiago 1.2 Revotron XZ"/>
    <x v="6"/>
    <n v="500000"/>
    <n v="30000"/>
    <x v="0"/>
    <x v="0"/>
    <x v="0"/>
    <s v="First Owner"/>
    <n v="8"/>
    <s v="Mid Range"/>
  </r>
  <r>
    <s v="Renault Duster 85PS Diesel RxL"/>
    <x v="8"/>
    <n v="385000"/>
    <n v="80000"/>
    <x v="1"/>
    <x v="0"/>
    <x v="0"/>
    <s v="Second Owner"/>
    <n v="13"/>
    <s v="Budget"/>
  </r>
  <r>
    <s v="Skoda Rapid 1.6 MPI Elegance"/>
    <x v="1"/>
    <n v="350000"/>
    <n v="90000"/>
    <x v="0"/>
    <x v="0"/>
    <x v="0"/>
    <s v="First Owner"/>
    <n v="14"/>
    <s v="Budget"/>
  </r>
  <r>
    <s v="Maruti 800 Std BSIII"/>
    <x v="18"/>
    <n v="60000"/>
    <n v="50000"/>
    <x v="0"/>
    <x v="0"/>
    <x v="0"/>
    <s v="First Owner"/>
    <n v="23"/>
    <s v="Budget"/>
  </r>
  <r>
    <s v="Hyundai Santro Xing GLS"/>
    <x v="1"/>
    <n v="300000"/>
    <n v="50000"/>
    <x v="0"/>
    <x v="0"/>
    <x v="0"/>
    <s v="First Owner"/>
    <n v="14"/>
    <s v="Budget"/>
  </r>
  <r>
    <s v="Hyundai i20 1.4 CRDi Asta"/>
    <x v="1"/>
    <n v="400000"/>
    <n v="70000"/>
    <x v="1"/>
    <x v="0"/>
    <x v="0"/>
    <s v="First Owner"/>
    <n v="14"/>
    <s v="Budget"/>
  </r>
  <r>
    <s v="Ford Ecosport 1.5 DV5 MT Titanium"/>
    <x v="3"/>
    <n v="550000"/>
    <n v="110000"/>
    <x v="1"/>
    <x v="0"/>
    <x v="0"/>
    <s v="First Owner"/>
    <n v="12"/>
    <s v="Mid Range"/>
  </r>
  <r>
    <s v="Nissan Sunny XL"/>
    <x v="1"/>
    <n v="300000"/>
    <n v="80000"/>
    <x v="0"/>
    <x v="0"/>
    <x v="0"/>
    <s v="Second Owner"/>
    <n v="14"/>
    <s v="Budget"/>
  </r>
  <r>
    <s v="Maruti Swift VDI"/>
    <x v="1"/>
    <n v="250000"/>
    <n v="156000"/>
    <x v="1"/>
    <x v="0"/>
    <x v="0"/>
    <s v="First Owner"/>
    <n v="14"/>
    <s v="Budget"/>
  </r>
  <r>
    <s v="Toyota Innova 2.5 GX 7 STR"/>
    <x v="1"/>
    <n v="800000"/>
    <n v="180000"/>
    <x v="1"/>
    <x v="0"/>
    <x v="0"/>
    <s v="First Owner"/>
    <n v="14"/>
    <s v="Mid Range"/>
  </r>
  <r>
    <s v="Maruti Eeco 5 Seater AC BSIV"/>
    <x v="6"/>
    <n v="300000"/>
    <n v="25000"/>
    <x v="0"/>
    <x v="0"/>
    <x v="0"/>
    <s v="First Owner"/>
    <n v="8"/>
    <s v="Budget"/>
  </r>
  <r>
    <s v="Maruti Alto LX"/>
    <x v="16"/>
    <n v="80000"/>
    <n v="120000"/>
    <x v="0"/>
    <x v="0"/>
    <x v="0"/>
    <s v="First Owner"/>
    <n v="22"/>
    <s v="Budget"/>
  </r>
  <r>
    <s v="Mahindra Scorpio S5 BSIV"/>
    <x v="20"/>
    <n v="1200000"/>
    <n v="11000"/>
    <x v="1"/>
    <x v="0"/>
    <x v="0"/>
    <s v="First Owner"/>
    <n v="6"/>
    <s v="Premium"/>
  </r>
  <r>
    <s v="Renault KWID AMT"/>
    <x v="2"/>
    <n v="355000"/>
    <n v="40000"/>
    <x v="0"/>
    <x v="0"/>
    <x v="1"/>
    <s v="First Owner"/>
    <n v="9"/>
    <s v="Budget"/>
  </r>
  <r>
    <s v="Maruti Swift Dzire VDI"/>
    <x v="5"/>
    <n v="520000"/>
    <n v="50000"/>
    <x v="1"/>
    <x v="0"/>
    <x v="0"/>
    <s v="First Owner"/>
    <n v="11"/>
    <s v="Mid Range"/>
  </r>
  <r>
    <s v="Hyundai Verna 1.6 CRDI"/>
    <x v="1"/>
    <n v="500000"/>
    <n v="26000"/>
    <x v="1"/>
    <x v="0"/>
    <x v="0"/>
    <s v="First Owner"/>
    <n v="14"/>
    <s v="Mid Range"/>
  </r>
  <r>
    <s v="Maruti Alto LXi"/>
    <x v="15"/>
    <n v="114999"/>
    <n v="30000"/>
    <x v="0"/>
    <x v="0"/>
    <x v="0"/>
    <s v="First Owner"/>
    <n v="18"/>
    <s v="Budget"/>
  </r>
  <r>
    <s v="Toyota Fortuner 4x2 Manual"/>
    <x v="3"/>
    <n v="1800000"/>
    <n v="50000"/>
    <x v="1"/>
    <x v="0"/>
    <x v="0"/>
    <s v="First Owner"/>
    <n v="12"/>
    <s v="Premium"/>
  </r>
  <r>
    <s v="Mahindra TUV 300 T6 Plus"/>
    <x v="6"/>
    <n v="800000"/>
    <n v="20000"/>
    <x v="1"/>
    <x v="0"/>
    <x v="0"/>
    <s v="First Owner"/>
    <n v="8"/>
    <s v="Mid Range"/>
  </r>
  <r>
    <s v="Maruti Alto LXi BSIII"/>
    <x v="15"/>
    <n v="105000"/>
    <n v="30000"/>
    <x v="0"/>
    <x v="0"/>
    <x v="0"/>
    <s v="Second Owner"/>
    <n v="18"/>
    <s v="Budget"/>
  </r>
  <r>
    <s v="Maruti Alto LXi"/>
    <x v="9"/>
    <n v="135000"/>
    <n v="78000"/>
    <x v="0"/>
    <x v="0"/>
    <x v="0"/>
    <s v="First Owner"/>
    <n v="15"/>
    <s v="Budget"/>
  </r>
  <r>
    <s v="Maruti Wagon R VXI BS IV"/>
    <x v="9"/>
    <n v="170000"/>
    <n v="40000"/>
    <x v="0"/>
    <x v="0"/>
    <x v="0"/>
    <s v="Second Owner"/>
    <n v="15"/>
    <s v="Budget"/>
  </r>
  <r>
    <s v="Hyundai Verna 1.6 SX VTVT"/>
    <x v="3"/>
    <n v="550000"/>
    <n v="100000"/>
    <x v="0"/>
    <x v="0"/>
    <x v="0"/>
    <s v="First Owner"/>
    <n v="12"/>
    <s v="Mid Range"/>
  </r>
  <r>
    <s v="Honda City 1.5 V MT"/>
    <x v="11"/>
    <n v="250000"/>
    <n v="70000"/>
    <x v="0"/>
    <x v="0"/>
    <x v="0"/>
    <s v="Third Owner"/>
    <n v="17"/>
    <s v="Budget"/>
  </r>
  <r>
    <s v="Hyundai Elantra CRDi SX"/>
    <x v="3"/>
    <n v="650000"/>
    <n v="30000"/>
    <x v="1"/>
    <x v="0"/>
    <x v="0"/>
    <s v="Second Owner"/>
    <n v="12"/>
    <s v="Mid Range"/>
  </r>
  <r>
    <s v="Honda City 1.5 V AT Exclusive"/>
    <x v="15"/>
    <n v="210000"/>
    <n v="77000"/>
    <x v="0"/>
    <x v="0"/>
    <x v="1"/>
    <s v="Third Owner"/>
    <n v="18"/>
    <s v="Budget"/>
  </r>
  <r>
    <s v="Volkswagen Vento Diesel Highline"/>
    <x v="9"/>
    <n v="260000"/>
    <n v="150000"/>
    <x v="1"/>
    <x v="0"/>
    <x v="0"/>
    <s v="First Owner"/>
    <n v="15"/>
    <s v="Budget"/>
  </r>
  <r>
    <s v="Maruti Swift Dzire ZDI"/>
    <x v="4"/>
    <n v="750000"/>
    <n v="69000"/>
    <x v="1"/>
    <x v="0"/>
    <x v="0"/>
    <s v="First Owner"/>
    <n v="10"/>
    <s v="Mid Range"/>
  </r>
  <r>
    <s v="Toyota Innova Crysta 2.8 GX AT BSIV"/>
    <x v="4"/>
    <n v="1350000"/>
    <n v="120000"/>
    <x v="1"/>
    <x v="0"/>
    <x v="1"/>
    <s v="First Owner"/>
    <n v="10"/>
    <s v="Premium"/>
  </r>
  <r>
    <s v="Maruti Ritz VDi"/>
    <x v="1"/>
    <n v="220000"/>
    <n v="120000"/>
    <x v="1"/>
    <x v="0"/>
    <x v="0"/>
    <s v="Second Owner"/>
    <n v="14"/>
    <s v="Budget"/>
  </r>
  <r>
    <s v="Hyundai Getz 1.3 GLS"/>
    <x v="15"/>
    <n v="110000"/>
    <n v="110000"/>
    <x v="0"/>
    <x v="0"/>
    <x v="0"/>
    <s v="Second Owner"/>
    <n v="18"/>
    <s v="Budget"/>
  </r>
  <r>
    <s v="Mahindra XUV500 AT W8 FWD"/>
    <x v="2"/>
    <n v="1230000"/>
    <n v="70000"/>
    <x v="1"/>
    <x v="0"/>
    <x v="1"/>
    <s v="First Owner"/>
    <n v="9"/>
    <s v="Premium"/>
  </r>
  <r>
    <s v="Mahindra Quanto C6"/>
    <x v="8"/>
    <n v="220000"/>
    <n v="110000"/>
    <x v="1"/>
    <x v="0"/>
    <x v="0"/>
    <s v="First Owner"/>
    <n v="13"/>
    <s v="Budget"/>
  </r>
  <r>
    <s v="Tata Indigo LX Dicor"/>
    <x v="11"/>
    <n v="130000"/>
    <n v="50000"/>
    <x v="1"/>
    <x v="0"/>
    <x v="0"/>
    <s v="First Owner"/>
    <n v="17"/>
    <s v="Budget"/>
  </r>
  <r>
    <s v="Hyundai i20 1.2 Magna"/>
    <x v="1"/>
    <n v="330000"/>
    <n v="44000"/>
    <x v="0"/>
    <x v="0"/>
    <x v="0"/>
    <s v="First Owner"/>
    <n v="14"/>
    <s v="Budget"/>
  </r>
  <r>
    <s v="Honda City 1.5 S MT"/>
    <x v="10"/>
    <n v="254999"/>
    <n v="90000"/>
    <x v="0"/>
    <x v="0"/>
    <x v="0"/>
    <s v="Second Owner"/>
    <n v="16"/>
    <s v="Budget"/>
  </r>
  <r>
    <s v="Hyundai Verna 1.6 SX VTVT (O)"/>
    <x v="3"/>
    <n v="600000"/>
    <n v="50000"/>
    <x v="0"/>
    <x v="0"/>
    <x v="0"/>
    <s v="Second Owner"/>
    <n v="12"/>
    <s v="Mid Range"/>
  </r>
  <r>
    <s v="Hyundai i10 Magna"/>
    <x v="1"/>
    <n v="210000"/>
    <n v="50000"/>
    <x v="0"/>
    <x v="0"/>
    <x v="0"/>
    <s v="First Owner"/>
    <n v="14"/>
    <s v="Budget"/>
  </r>
  <r>
    <s v="Chevrolet Enjoy TCDi LT 7 Seater"/>
    <x v="3"/>
    <n v="300000"/>
    <n v="146000"/>
    <x v="1"/>
    <x v="0"/>
    <x v="0"/>
    <s v="First Owner"/>
    <n v="12"/>
    <s v="Budget"/>
  </r>
  <r>
    <s v="Tata Tiago 1.2 Revotron XTA"/>
    <x v="6"/>
    <n v="426000"/>
    <n v="15000"/>
    <x v="0"/>
    <x v="0"/>
    <x v="1"/>
    <s v="First Owner"/>
    <n v="8"/>
    <s v="Budget"/>
  </r>
  <r>
    <s v="Maruti Alto K10 VXI"/>
    <x v="5"/>
    <n v="265000"/>
    <n v="60000"/>
    <x v="0"/>
    <x v="0"/>
    <x v="0"/>
    <s v="First Owner"/>
    <n v="11"/>
    <s v="Budget"/>
  </r>
  <r>
    <s v="Hyundai Xcent 1.2 Kappa SX"/>
    <x v="4"/>
    <n v="450000"/>
    <n v="35000"/>
    <x v="0"/>
    <x v="0"/>
    <x v="0"/>
    <s v="Second Owner"/>
    <n v="10"/>
    <s v="Budget"/>
  </r>
  <r>
    <s v="Hyundai Verna 1.6 SX"/>
    <x v="1"/>
    <n v="480000"/>
    <n v="80000"/>
    <x v="1"/>
    <x v="0"/>
    <x v="0"/>
    <s v="First Owner"/>
    <n v="14"/>
    <s v="Budget"/>
  </r>
  <r>
    <s v="Tata Nano Lx"/>
    <x v="10"/>
    <n v="40000"/>
    <n v="90000"/>
    <x v="0"/>
    <x v="0"/>
    <x v="0"/>
    <s v="First Owner"/>
    <n v="16"/>
    <s v="Budget"/>
  </r>
  <r>
    <s v="Honda City 1.5 S MT"/>
    <x v="9"/>
    <n v="395000"/>
    <n v="70000"/>
    <x v="0"/>
    <x v="0"/>
    <x v="0"/>
    <s v="Second Owner"/>
    <n v="15"/>
    <s v="Budget"/>
  </r>
  <r>
    <s v="Maruti Wagon R VXI BS IV"/>
    <x v="8"/>
    <n v="229999"/>
    <n v="62000"/>
    <x v="0"/>
    <x v="0"/>
    <x v="0"/>
    <s v="Second Owner"/>
    <n v="13"/>
    <s v="Budget"/>
  </r>
  <r>
    <s v="Ford Ecosport 1.5 Petrol Titanium Plus AT"/>
    <x v="6"/>
    <n v="875000"/>
    <n v="10000"/>
    <x v="0"/>
    <x v="0"/>
    <x v="1"/>
    <s v="First Owner"/>
    <n v="8"/>
    <s v="Mid Range"/>
  </r>
  <r>
    <s v="Maruti Eeco 5 STR With AC Plus HTR CNG"/>
    <x v="10"/>
    <n v="170000"/>
    <n v="80000"/>
    <x v="2"/>
    <x v="0"/>
    <x v="0"/>
    <s v="Fourth &amp; Above Owner"/>
    <n v="16"/>
    <s v="Budget"/>
  </r>
  <r>
    <s v="Hyundai i20 Sportz 1.2"/>
    <x v="5"/>
    <n v="500000"/>
    <n v="35000"/>
    <x v="0"/>
    <x v="0"/>
    <x v="0"/>
    <s v="Second Owner"/>
    <n v="11"/>
    <s v="Mid Range"/>
  </r>
  <r>
    <s v="Maruti Ignis 1.2 Sigma BSIV"/>
    <x v="7"/>
    <n v="450000"/>
    <n v="40000"/>
    <x v="0"/>
    <x v="0"/>
    <x v="0"/>
    <s v="First Owner"/>
    <n v="7"/>
    <s v="Budget"/>
  </r>
  <r>
    <s v="Maruti Ertiga VDI"/>
    <x v="1"/>
    <n v="550000"/>
    <n v="120000"/>
    <x v="1"/>
    <x v="0"/>
    <x v="0"/>
    <s v="Third Owner"/>
    <n v="14"/>
    <s v="Mid Range"/>
  </r>
  <r>
    <s v="Tata Manza Aura Safire BS IV"/>
    <x v="8"/>
    <n v="200000"/>
    <n v="60000"/>
    <x v="0"/>
    <x v="0"/>
    <x v="0"/>
    <s v="First Owner"/>
    <n v="13"/>
    <s v="Budget"/>
  </r>
  <r>
    <s v="Tata Indica GLS BS IV"/>
    <x v="15"/>
    <n v="80000"/>
    <n v="90000"/>
    <x v="0"/>
    <x v="0"/>
    <x v="0"/>
    <s v="Second Owner"/>
    <n v="18"/>
    <s v="Budget"/>
  </r>
  <r>
    <s v="Tata New Safari DICOR 2.2 EX 4x2"/>
    <x v="10"/>
    <n v="300000"/>
    <n v="250000"/>
    <x v="1"/>
    <x v="0"/>
    <x v="0"/>
    <s v="Second Owner"/>
    <n v="16"/>
    <s v="Budget"/>
  </r>
  <r>
    <s v="Ford Aspire Titanium Plus Diesel BSIV"/>
    <x v="7"/>
    <n v="675000"/>
    <n v="15000"/>
    <x v="1"/>
    <x v="0"/>
    <x v="0"/>
    <s v="First Owner"/>
    <n v="7"/>
    <s v="Mid Range"/>
  </r>
  <r>
    <s v="Maruti Eeco 7 Seater Standard BSIV"/>
    <x v="2"/>
    <n v="260000"/>
    <n v="30000"/>
    <x v="0"/>
    <x v="0"/>
    <x v="0"/>
    <s v="First Owner"/>
    <n v="9"/>
    <s v="Budget"/>
  </r>
  <r>
    <s v="Maruti Wagon R LXI"/>
    <x v="23"/>
    <n v="70000"/>
    <n v="117000"/>
    <x v="0"/>
    <x v="0"/>
    <x v="0"/>
    <s v="Second Owner"/>
    <n v="25"/>
    <s v="Budget"/>
  </r>
  <r>
    <s v="Maruti Alto LX"/>
    <x v="16"/>
    <n v="100000"/>
    <n v="70000"/>
    <x v="0"/>
    <x v="0"/>
    <x v="0"/>
    <s v="First Owner"/>
    <n v="22"/>
    <s v="Budget"/>
  </r>
  <r>
    <s v="Toyota Innova 2.5 VX (Diesel) 7 Seater"/>
    <x v="1"/>
    <n v="730000"/>
    <n v="110000"/>
    <x v="1"/>
    <x v="0"/>
    <x v="0"/>
    <s v="Second Owner"/>
    <n v="14"/>
    <s v="Mid Range"/>
  </r>
  <r>
    <s v="Nissan Terrano XL 85 PS"/>
    <x v="4"/>
    <n v="525000"/>
    <n v="100000"/>
    <x v="1"/>
    <x v="0"/>
    <x v="0"/>
    <s v="Second Owner"/>
    <n v="10"/>
    <s v="Mid Range"/>
  </r>
  <r>
    <s v="Nissan Terrano XL 85 PS"/>
    <x v="4"/>
    <n v="525000"/>
    <n v="105000"/>
    <x v="1"/>
    <x v="0"/>
    <x v="0"/>
    <s v="Second Owner"/>
    <n v="10"/>
    <s v="Mid Range"/>
  </r>
  <r>
    <s v="Toyota Innova 2.5 V Diesel 7-seater"/>
    <x v="11"/>
    <n v="550000"/>
    <n v="182000"/>
    <x v="1"/>
    <x v="0"/>
    <x v="0"/>
    <s v="Third Owner"/>
    <n v="17"/>
    <s v="Mid Range"/>
  </r>
  <r>
    <s v="Toyota Corolla Altis Diesel D4DJ"/>
    <x v="1"/>
    <n v="420000"/>
    <n v="95000"/>
    <x v="1"/>
    <x v="0"/>
    <x v="0"/>
    <s v="Second Owner"/>
    <n v="14"/>
    <s v="Budget"/>
  </r>
  <r>
    <s v="Honda Amaze SX i-VTEC"/>
    <x v="5"/>
    <n v="500000"/>
    <n v="70000"/>
    <x v="0"/>
    <x v="0"/>
    <x v="0"/>
    <s v="First Owner"/>
    <n v="11"/>
    <s v="Mid Range"/>
  </r>
  <r>
    <s v="Maruti Wagon R LXI Minor"/>
    <x v="11"/>
    <n v="165000"/>
    <n v="76000"/>
    <x v="0"/>
    <x v="0"/>
    <x v="0"/>
    <s v="Second Owner"/>
    <n v="17"/>
    <s v="Budget"/>
  </r>
  <r>
    <s v="Hyundai Verna 1.6 SX"/>
    <x v="3"/>
    <n v="650000"/>
    <n v="70000"/>
    <x v="1"/>
    <x v="0"/>
    <x v="0"/>
    <s v="Second Owner"/>
    <n v="12"/>
    <s v="Mid Range"/>
  </r>
  <r>
    <s v="Chevrolet Beat Diesel LT"/>
    <x v="8"/>
    <n v="195000"/>
    <n v="46000"/>
    <x v="1"/>
    <x v="0"/>
    <x v="0"/>
    <s v="First Owner"/>
    <n v="13"/>
    <s v="Budget"/>
  </r>
  <r>
    <s v="Maruti Zen LX"/>
    <x v="22"/>
    <n v="75000"/>
    <n v="70000"/>
    <x v="0"/>
    <x v="0"/>
    <x v="0"/>
    <s v="First Owner"/>
    <n v="27"/>
    <s v="Budget"/>
  </r>
  <r>
    <s v="Maruti Esteem Lxi - BSIII"/>
    <x v="12"/>
    <n v="90000"/>
    <n v="90000"/>
    <x v="0"/>
    <x v="0"/>
    <x v="0"/>
    <s v="First Owner"/>
    <n v="20"/>
    <s v="Budget"/>
  </r>
  <r>
    <s v="Hyundai Xcent 1.1 CRDi Base"/>
    <x v="4"/>
    <n v="515000"/>
    <n v="50000"/>
    <x v="1"/>
    <x v="0"/>
    <x v="0"/>
    <s v="First Owner"/>
    <n v="10"/>
    <s v="Mid Range"/>
  </r>
  <r>
    <s v="Honda Jazz 1.5 VX i DTEC"/>
    <x v="2"/>
    <n v="700000"/>
    <n v="24585"/>
    <x v="1"/>
    <x v="1"/>
    <x v="0"/>
    <s v="Test Drive Car"/>
    <n v="9"/>
    <s v="Mid Range"/>
  </r>
  <r>
    <s v="Maruti Zen LX"/>
    <x v="23"/>
    <n v="62000"/>
    <n v="70000"/>
    <x v="0"/>
    <x v="0"/>
    <x v="0"/>
    <s v="First Owner"/>
    <n v="25"/>
    <s v="Budget"/>
  </r>
  <r>
    <s v="Toyota Etios GD SP"/>
    <x v="9"/>
    <n v="220000"/>
    <n v="110000"/>
    <x v="1"/>
    <x v="0"/>
    <x v="0"/>
    <s v="Third Owner"/>
    <n v="15"/>
    <s v="Budget"/>
  </r>
  <r>
    <s v="Hyundai Santro Magna CNG BSIV"/>
    <x v="7"/>
    <n v="520000"/>
    <n v="10000"/>
    <x v="2"/>
    <x v="0"/>
    <x v="0"/>
    <s v="First Owner"/>
    <n v="7"/>
    <s v="Mid Range"/>
  </r>
  <r>
    <s v="Fiat Linea Emotion"/>
    <x v="10"/>
    <n v="170000"/>
    <n v="100000"/>
    <x v="0"/>
    <x v="0"/>
    <x v="0"/>
    <s v="First Owner"/>
    <n v="16"/>
    <s v="Budget"/>
  </r>
  <r>
    <s v="Ford Figo Diesel Titanium"/>
    <x v="9"/>
    <n v="190000"/>
    <n v="110000"/>
    <x v="1"/>
    <x v="0"/>
    <x v="0"/>
    <s v="Second Owner"/>
    <n v="15"/>
    <s v="Budget"/>
  </r>
  <r>
    <s v="Ford Figo Diesel Titanium"/>
    <x v="9"/>
    <n v="150000"/>
    <n v="100000"/>
    <x v="1"/>
    <x v="0"/>
    <x v="0"/>
    <s v="Second Owner"/>
    <n v="15"/>
    <s v="Budget"/>
  </r>
  <r>
    <s v="Maruti Zen Estilo LXI BS IV"/>
    <x v="11"/>
    <n v="125000"/>
    <n v="65000"/>
    <x v="0"/>
    <x v="0"/>
    <x v="0"/>
    <s v="First Owner"/>
    <n v="17"/>
    <s v="Budget"/>
  </r>
  <r>
    <s v="Honda Amaze EX i-Dtech"/>
    <x v="5"/>
    <n v="290000"/>
    <n v="40000"/>
    <x v="1"/>
    <x v="0"/>
    <x v="0"/>
    <s v="Third Owner"/>
    <n v="11"/>
    <s v="Budget"/>
  </r>
  <r>
    <s v="Maruti Celerio X ZXI BSIV"/>
    <x v="7"/>
    <n v="490000"/>
    <n v="13900"/>
    <x v="0"/>
    <x v="0"/>
    <x v="0"/>
    <s v="First Owner"/>
    <n v="7"/>
    <s v="Budget"/>
  </r>
  <r>
    <s v="Tata Tigor 1.2 Revotron XZ Option"/>
    <x v="2"/>
    <n v="434999"/>
    <n v="17563"/>
    <x v="0"/>
    <x v="0"/>
    <x v="0"/>
    <s v="First Owner"/>
    <n v="9"/>
    <s v="Budget"/>
  </r>
  <r>
    <s v="Tata Zest Revotron 1.2T XE"/>
    <x v="4"/>
    <n v="380000"/>
    <n v="15000"/>
    <x v="0"/>
    <x v="0"/>
    <x v="0"/>
    <s v="First Owner"/>
    <n v="10"/>
    <s v="Budget"/>
  </r>
  <r>
    <s v="Volkswagen Polo Diesel Trendline 1.2L"/>
    <x v="1"/>
    <n v="200000"/>
    <n v="82000"/>
    <x v="1"/>
    <x v="0"/>
    <x v="0"/>
    <s v="Second Owner"/>
    <n v="14"/>
    <s v="Budget"/>
  </r>
  <r>
    <s v="Ford Figo 1.5D Trend MT"/>
    <x v="4"/>
    <n v="495000"/>
    <n v="40000"/>
    <x v="1"/>
    <x v="0"/>
    <x v="0"/>
    <s v="First Owner"/>
    <n v="10"/>
    <s v="Budget"/>
  </r>
  <r>
    <s v="Toyota Innova 2.5 Z Diesel 7 Seater BS IV"/>
    <x v="3"/>
    <n v="894999"/>
    <n v="173000"/>
    <x v="1"/>
    <x v="0"/>
    <x v="0"/>
    <s v="Third Owner"/>
    <n v="12"/>
    <s v="Mid Range"/>
  </r>
  <r>
    <s v="Mahindra XUV500 W6 2WD"/>
    <x v="3"/>
    <n v="600000"/>
    <n v="151000"/>
    <x v="1"/>
    <x v="0"/>
    <x v="0"/>
    <s v="Second Owner"/>
    <n v="12"/>
    <s v="Mid Range"/>
  </r>
  <r>
    <s v="Honda Brio S MT"/>
    <x v="5"/>
    <n v="300000"/>
    <n v="50000"/>
    <x v="0"/>
    <x v="0"/>
    <x v="0"/>
    <s v="First Owner"/>
    <n v="11"/>
    <s v="Budget"/>
  </r>
  <r>
    <s v="Honda Amaze E i-VTEC"/>
    <x v="2"/>
    <n v="430000"/>
    <n v="15000"/>
    <x v="0"/>
    <x v="0"/>
    <x v="0"/>
    <s v="First Owner"/>
    <n v="9"/>
    <s v="Budget"/>
  </r>
  <r>
    <s v="Honda Amaze E i-DTEC"/>
    <x v="2"/>
    <n v="370000"/>
    <n v="80000"/>
    <x v="1"/>
    <x v="0"/>
    <x v="0"/>
    <s v="First Owner"/>
    <n v="9"/>
    <s v="Budget"/>
  </r>
  <r>
    <s v="Maruti Baleno Zeta 1.2"/>
    <x v="7"/>
    <n v="750000"/>
    <n v="11000"/>
    <x v="0"/>
    <x v="0"/>
    <x v="0"/>
    <s v="First Owner"/>
    <n v="7"/>
    <s v="Mid Range"/>
  </r>
  <r>
    <s v="Maruti Alto K10 LXI CNG Optional"/>
    <x v="4"/>
    <n v="300000"/>
    <n v="50000"/>
    <x v="2"/>
    <x v="0"/>
    <x v="0"/>
    <s v="First Owner"/>
    <n v="10"/>
    <s v="Budget"/>
  </r>
  <r>
    <s v="BMW X1 sDrive20d"/>
    <x v="1"/>
    <n v="700000"/>
    <n v="120000"/>
    <x v="1"/>
    <x v="0"/>
    <x v="1"/>
    <s v="Second Owner"/>
    <n v="14"/>
    <s v="Mid Range"/>
  </r>
  <r>
    <s v="Maruti Wagon R LXI DUO BSIII"/>
    <x v="0"/>
    <n v="100000"/>
    <n v="70000"/>
    <x v="3"/>
    <x v="0"/>
    <x v="0"/>
    <s v="Third Owner"/>
    <n v="19"/>
    <s v="Budget"/>
  </r>
  <r>
    <s v="Hyundai Grand i10 Sportz"/>
    <x v="5"/>
    <n v="300000"/>
    <n v="90000"/>
    <x v="0"/>
    <x v="0"/>
    <x v="0"/>
    <s v="First Owner"/>
    <n v="11"/>
    <s v="Budget"/>
  </r>
  <r>
    <s v="Tata Indica Vista Quadrajet VX"/>
    <x v="1"/>
    <n v="130000"/>
    <n v="185000"/>
    <x v="1"/>
    <x v="0"/>
    <x v="0"/>
    <s v="Second Owner"/>
    <n v="14"/>
    <s v="Budget"/>
  </r>
  <r>
    <s v="Hyundai i20 Asta Option 1.4 CRDi"/>
    <x v="4"/>
    <n v="650000"/>
    <n v="40000"/>
    <x v="1"/>
    <x v="0"/>
    <x v="0"/>
    <s v="First Owner"/>
    <n v="10"/>
    <s v="Mid Range"/>
  </r>
  <r>
    <s v="Maruti Swift VDI BSIV"/>
    <x v="2"/>
    <n v="509999"/>
    <n v="25000"/>
    <x v="1"/>
    <x v="0"/>
    <x v="0"/>
    <s v="First Owner"/>
    <n v="9"/>
    <s v="Mid Range"/>
  </r>
  <r>
    <s v="Toyota Innova 2.5 VX (Diesel) 7 Seater"/>
    <x v="8"/>
    <n v="1000000"/>
    <n v="117780"/>
    <x v="1"/>
    <x v="0"/>
    <x v="0"/>
    <s v="Second Owner"/>
    <n v="13"/>
    <s v="Mid Range"/>
  </r>
  <r>
    <s v="Hyundai Verna CRDi SX"/>
    <x v="10"/>
    <n v="280000"/>
    <n v="120000"/>
    <x v="1"/>
    <x v="0"/>
    <x v="0"/>
    <s v="Second Owner"/>
    <n v="16"/>
    <s v="Budget"/>
  </r>
  <r>
    <s v="Maruti Swift DDiS VDI"/>
    <x v="2"/>
    <n v="600000"/>
    <n v="120000"/>
    <x v="1"/>
    <x v="0"/>
    <x v="0"/>
    <s v="First Owner"/>
    <n v="9"/>
    <s v="Mid Range"/>
  </r>
  <r>
    <s v="Skoda Rapid 1.6 TDI Ambition"/>
    <x v="8"/>
    <n v="210000"/>
    <n v="120000"/>
    <x v="1"/>
    <x v="0"/>
    <x v="0"/>
    <s v="Third Owner"/>
    <n v="13"/>
    <s v="Budget"/>
  </r>
  <r>
    <s v="Audi Q3 2.0 TDI Quattro Premium Plus"/>
    <x v="3"/>
    <n v="1150000"/>
    <n v="110000"/>
    <x v="1"/>
    <x v="0"/>
    <x v="1"/>
    <s v="Second Owner"/>
    <n v="12"/>
    <s v="Premium"/>
  </r>
  <r>
    <s v="Hyundai EON Magna Plus"/>
    <x v="6"/>
    <n v="245000"/>
    <n v="30000"/>
    <x v="0"/>
    <x v="0"/>
    <x v="0"/>
    <s v="First Owner"/>
    <n v="8"/>
    <s v="Budget"/>
  </r>
  <r>
    <s v="Hyundai Grand i10 Sportz"/>
    <x v="4"/>
    <n v="375000"/>
    <n v="25000"/>
    <x v="0"/>
    <x v="0"/>
    <x v="0"/>
    <s v="First Owner"/>
    <n v="10"/>
    <s v="Budget"/>
  </r>
  <r>
    <s v="Mahindra Scorpio 1.99 S10"/>
    <x v="5"/>
    <n v="150000"/>
    <n v="55000"/>
    <x v="1"/>
    <x v="0"/>
    <x v="0"/>
    <s v="Second Owner"/>
    <n v="11"/>
    <s v="Budget"/>
  </r>
  <r>
    <s v="Mahindra XUV500 W10 2WD"/>
    <x v="6"/>
    <n v="1450000"/>
    <n v="20000"/>
    <x v="1"/>
    <x v="0"/>
    <x v="0"/>
    <s v="First Owner"/>
    <n v="8"/>
    <s v="Premium"/>
  </r>
  <r>
    <s v="Maruti Ertiga VDI"/>
    <x v="3"/>
    <n v="500000"/>
    <n v="100000"/>
    <x v="1"/>
    <x v="0"/>
    <x v="0"/>
    <s v="Second Owner"/>
    <n v="12"/>
    <s v="Mid Range"/>
  </r>
  <r>
    <s v="Maruti Alto LXi"/>
    <x v="0"/>
    <n v="75000"/>
    <n v="40000"/>
    <x v="0"/>
    <x v="0"/>
    <x v="0"/>
    <s v="Second Owner"/>
    <n v="19"/>
    <s v="Budget"/>
  </r>
  <r>
    <s v="Hyundai Sonata AT Leather"/>
    <x v="12"/>
    <n v="225000"/>
    <n v="80000"/>
    <x v="0"/>
    <x v="0"/>
    <x v="1"/>
    <s v="Third Owner"/>
    <n v="20"/>
    <s v="Budget"/>
  </r>
  <r>
    <s v="Hyundai Sonata 2.4L AT"/>
    <x v="12"/>
    <n v="275000"/>
    <n v="80000"/>
    <x v="0"/>
    <x v="0"/>
    <x v="1"/>
    <s v="Fourth &amp; Above Owner"/>
    <n v="20"/>
    <s v="Budget"/>
  </r>
  <r>
    <s v="Mahindra Bolero Power Plus SLX"/>
    <x v="6"/>
    <n v="620000"/>
    <n v="35000"/>
    <x v="1"/>
    <x v="0"/>
    <x v="0"/>
    <s v="First Owner"/>
    <n v="8"/>
    <s v="Mid Range"/>
  </r>
  <r>
    <s v="Nissan X-Trail SLX MT"/>
    <x v="10"/>
    <n v="600000"/>
    <n v="110000"/>
    <x v="1"/>
    <x v="0"/>
    <x v="0"/>
    <s v="Second Owner"/>
    <n v="16"/>
    <s v="Mid Range"/>
  </r>
  <r>
    <s v="Mahindra Xylo E8 ABS Airbag BSIV"/>
    <x v="9"/>
    <n v="275000"/>
    <n v="160000"/>
    <x v="1"/>
    <x v="0"/>
    <x v="0"/>
    <s v="First Owner"/>
    <n v="15"/>
    <s v="Budget"/>
  </r>
  <r>
    <s v="Tata Indigo TDI"/>
    <x v="8"/>
    <n v="125000"/>
    <n v="125000"/>
    <x v="1"/>
    <x v="0"/>
    <x v="0"/>
    <s v="First Owner"/>
    <n v="13"/>
    <s v="Budget"/>
  </r>
  <r>
    <s v="Tata Indigo GLS"/>
    <x v="9"/>
    <n v="80000"/>
    <n v="62000"/>
    <x v="0"/>
    <x v="0"/>
    <x v="0"/>
    <s v="Second Owner"/>
    <n v="15"/>
    <s v="Budget"/>
  </r>
  <r>
    <s v="Nissan Micra Diesel XV"/>
    <x v="9"/>
    <n v="199000"/>
    <n v="120000"/>
    <x v="1"/>
    <x v="0"/>
    <x v="0"/>
    <s v="Second Owner"/>
    <n v="15"/>
    <s v="Budget"/>
  </r>
  <r>
    <s v="Nissan Micra XL"/>
    <x v="4"/>
    <n v="440000"/>
    <n v="33000"/>
    <x v="0"/>
    <x v="0"/>
    <x v="0"/>
    <s v="Second Owner"/>
    <n v="10"/>
    <s v="Budget"/>
  </r>
  <r>
    <s v="Maruti Swift Dzire LDI"/>
    <x v="8"/>
    <n v="250000"/>
    <n v="80000"/>
    <x v="1"/>
    <x v="0"/>
    <x v="0"/>
    <s v="Fourth &amp; Above Owner"/>
    <n v="13"/>
    <s v="Budget"/>
  </r>
  <r>
    <s v="Hyundai i20 1.4 Sportz"/>
    <x v="2"/>
    <n v="700000"/>
    <n v="35000"/>
    <x v="1"/>
    <x v="0"/>
    <x v="0"/>
    <s v="First Owner"/>
    <n v="9"/>
    <s v="Mid Range"/>
  </r>
  <r>
    <s v="Hyundai Grand i10 CRDi Asta Option"/>
    <x v="5"/>
    <n v="450000"/>
    <n v="50000"/>
    <x v="1"/>
    <x v="0"/>
    <x v="0"/>
    <s v="First Owner"/>
    <n v="11"/>
    <s v="Budget"/>
  </r>
  <r>
    <s v="Maruti Alto 800 Std Optional"/>
    <x v="7"/>
    <n v="240000"/>
    <n v="5000"/>
    <x v="0"/>
    <x v="0"/>
    <x v="0"/>
    <s v="First Owner"/>
    <n v="7"/>
    <s v="Budget"/>
  </r>
  <r>
    <s v="Ford EcoSport 1.5 TDCi Titanium BSIV"/>
    <x v="4"/>
    <n v="650000"/>
    <n v="81595"/>
    <x v="1"/>
    <x v="1"/>
    <x v="0"/>
    <s v="First Owner"/>
    <n v="10"/>
    <s v="Mid Range"/>
  </r>
  <r>
    <s v="Hyundai Getz GLS ABS"/>
    <x v="14"/>
    <n v="71000"/>
    <n v="22000"/>
    <x v="0"/>
    <x v="0"/>
    <x v="0"/>
    <s v="First Owner"/>
    <n v="21"/>
    <s v="Budget"/>
  </r>
  <r>
    <s v="Maruti Swift VXI Optional"/>
    <x v="5"/>
    <n v="400000"/>
    <n v="40000"/>
    <x v="0"/>
    <x v="0"/>
    <x v="0"/>
    <s v="First Owner"/>
    <n v="11"/>
    <s v="Budget"/>
  </r>
  <r>
    <s v="Maruti Alto LXi BSIII"/>
    <x v="15"/>
    <n v="130000"/>
    <n v="40000"/>
    <x v="0"/>
    <x v="0"/>
    <x v="0"/>
    <s v="Second Owner"/>
    <n v="18"/>
    <s v="Budget"/>
  </r>
  <r>
    <s v="Mahindra Scorpio 2.6 CRDe SLE"/>
    <x v="8"/>
    <n v="300000"/>
    <n v="70000"/>
    <x v="1"/>
    <x v="0"/>
    <x v="0"/>
    <s v="Second Owner"/>
    <n v="13"/>
    <s v="Budget"/>
  </r>
  <r>
    <s v="Nissan Kicks XL D BSIV"/>
    <x v="7"/>
    <n v="1100000"/>
    <n v="4000"/>
    <x v="1"/>
    <x v="0"/>
    <x v="0"/>
    <s v="First Owner"/>
    <n v="7"/>
    <s v="Premium"/>
  </r>
  <r>
    <s v="BMW 3 Series 320d Luxury Line"/>
    <x v="5"/>
    <n v="2200000"/>
    <n v="24000"/>
    <x v="1"/>
    <x v="0"/>
    <x v="1"/>
    <s v="First Owner"/>
    <n v="11"/>
    <s v="Premium"/>
  </r>
  <r>
    <s v="Honda Amaze VX i-VTEC"/>
    <x v="6"/>
    <n v="800000"/>
    <n v="13500"/>
    <x v="0"/>
    <x v="1"/>
    <x v="0"/>
    <s v="First Owner"/>
    <n v="8"/>
    <s v="Mid Range"/>
  </r>
  <r>
    <s v="Maruti Ritz VDI (ABS) BS IV"/>
    <x v="8"/>
    <n v="490000"/>
    <n v="40000"/>
    <x v="1"/>
    <x v="0"/>
    <x v="0"/>
    <s v="First Owner"/>
    <n v="13"/>
    <s v="Budget"/>
  </r>
  <r>
    <s v="Honda Jazz 1.2 VX i VTEC"/>
    <x v="6"/>
    <n v="836000"/>
    <n v="9700"/>
    <x v="0"/>
    <x v="1"/>
    <x v="0"/>
    <s v="First Owner"/>
    <n v="8"/>
    <s v="Mid Range"/>
  </r>
  <r>
    <s v="Volkswagen Polo Petrol Comfortline 1.2L"/>
    <x v="1"/>
    <n v="375000"/>
    <n v="62000"/>
    <x v="0"/>
    <x v="0"/>
    <x v="0"/>
    <s v="Second Owner"/>
    <n v="14"/>
    <s v="Budget"/>
  </r>
  <r>
    <s v="Honda BR-V i-DTEC VX MT"/>
    <x v="4"/>
    <n v="1249000"/>
    <n v="24000"/>
    <x v="1"/>
    <x v="1"/>
    <x v="0"/>
    <s v="First Owner"/>
    <n v="10"/>
    <s v="Premium"/>
  </r>
  <r>
    <s v="Honda WR-V i-DTEC VX"/>
    <x v="7"/>
    <n v="1240000"/>
    <n v="13000"/>
    <x v="1"/>
    <x v="1"/>
    <x v="0"/>
    <s v="First Owner"/>
    <n v="7"/>
    <s v="Premium"/>
  </r>
  <r>
    <s v="Tata Nano Std BSII"/>
    <x v="11"/>
    <n v="35000"/>
    <n v="50000"/>
    <x v="0"/>
    <x v="0"/>
    <x v="0"/>
    <s v="Third Owner"/>
    <n v="17"/>
    <s v="Budget"/>
  </r>
  <r>
    <s v="Honda BR-V i-VTEC VX MT"/>
    <x v="2"/>
    <n v="1068000"/>
    <n v="36000"/>
    <x v="0"/>
    <x v="1"/>
    <x v="0"/>
    <s v="First Owner"/>
    <n v="9"/>
    <s v="Premium"/>
  </r>
  <r>
    <s v="Honda BR-V i-DTEC VX MT"/>
    <x v="2"/>
    <n v="1189000"/>
    <n v="40000"/>
    <x v="1"/>
    <x v="1"/>
    <x v="0"/>
    <s v="First Owner"/>
    <n v="9"/>
    <s v="Premium"/>
  </r>
  <r>
    <s v="Hyundai Elite i20 Petrol Asta Option"/>
    <x v="6"/>
    <n v="700000"/>
    <n v="27000"/>
    <x v="0"/>
    <x v="0"/>
    <x v="0"/>
    <s v="First Owner"/>
    <n v="8"/>
    <s v="Mid Range"/>
  </r>
  <r>
    <s v="Maruti Alto K10 VXI"/>
    <x v="4"/>
    <n v="350000"/>
    <n v="40000"/>
    <x v="0"/>
    <x v="0"/>
    <x v="0"/>
    <s v="First Owner"/>
    <n v="10"/>
    <s v="Budget"/>
  </r>
  <r>
    <s v="Hyundai i10 Magna 1.2"/>
    <x v="11"/>
    <n v="254999"/>
    <n v="80000"/>
    <x v="0"/>
    <x v="0"/>
    <x v="0"/>
    <s v="Second Owner"/>
    <n v="17"/>
    <s v="Budget"/>
  </r>
  <r>
    <s v="Mahindra Scorpio 2.6 CRDe"/>
    <x v="14"/>
    <n v="229999"/>
    <n v="221000"/>
    <x v="1"/>
    <x v="0"/>
    <x v="0"/>
    <s v="Third Owner"/>
    <n v="21"/>
    <s v="Budget"/>
  </r>
  <r>
    <s v="Hyundai i20 Asta Option 1.4 CRDi"/>
    <x v="4"/>
    <n v="750000"/>
    <n v="80000"/>
    <x v="1"/>
    <x v="0"/>
    <x v="0"/>
    <s v="First Owner"/>
    <n v="10"/>
    <s v="Mid Range"/>
  </r>
  <r>
    <s v="Maruti Ritz VDi"/>
    <x v="1"/>
    <n v="325000"/>
    <n v="119000"/>
    <x v="1"/>
    <x v="0"/>
    <x v="0"/>
    <s v="Second Owner"/>
    <n v="14"/>
    <s v="Budget"/>
  </r>
  <r>
    <s v="Toyota Innova 2.5 G4 Diesel 7-seater"/>
    <x v="11"/>
    <n v="760000"/>
    <n v="190000"/>
    <x v="1"/>
    <x v="0"/>
    <x v="0"/>
    <s v="Second Owner"/>
    <n v="17"/>
    <s v="Mid Range"/>
  </r>
  <r>
    <s v="Maruti Celerio ZXI AT"/>
    <x v="2"/>
    <n v="509999"/>
    <n v="25000"/>
    <x v="0"/>
    <x v="0"/>
    <x v="1"/>
    <s v="First Owner"/>
    <n v="9"/>
    <s v="Mid Range"/>
  </r>
  <r>
    <s v="Nissan Micra XL"/>
    <x v="8"/>
    <n v="363000"/>
    <n v="28740"/>
    <x v="0"/>
    <x v="0"/>
    <x v="0"/>
    <s v="First Owner"/>
    <n v="13"/>
    <s v="Budget"/>
  </r>
  <r>
    <s v="Maruti Alto K10 LXI"/>
    <x v="10"/>
    <n v="229999"/>
    <n v="48500"/>
    <x v="0"/>
    <x v="0"/>
    <x v="0"/>
    <s v="First Owner"/>
    <n v="16"/>
    <s v="Budget"/>
  </r>
  <r>
    <s v="Nissan Sunny XL"/>
    <x v="1"/>
    <n v="290000"/>
    <n v="110000"/>
    <x v="0"/>
    <x v="0"/>
    <x v="0"/>
    <s v="Second Owner"/>
    <n v="14"/>
    <s v="Budget"/>
  </r>
  <r>
    <s v="Maruti Swift VXI"/>
    <x v="6"/>
    <n v="550000"/>
    <n v="30000"/>
    <x v="0"/>
    <x v="0"/>
    <x v="0"/>
    <s v="First Owner"/>
    <n v="8"/>
    <s v="Mid Range"/>
  </r>
  <r>
    <s v="Tata Indica Vista TDI LX"/>
    <x v="9"/>
    <n v="125000"/>
    <n v="120000"/>
    <x v="1"/>
    <x v="0"/>
    <x v="0"/>
    <s v="Second Owner"/>
    <n v="15"/>
    <s v="Budget"/>
  </r>
  <r>
    <s v="Volvo XC60 D5 Inscription"/>
    <x v="3"/>
    <n v="2000000"/>
    <n v="130000"/>
    <x v="1"/>
    <x v="0"/>
    <x v="1"/>
    <s v="First Owner"/>
    <n v="12"/>
    <s v="Premium"/>
  </r>
  <r>
    <s v="Toyota Innova 2.5 G4 Diesel 7-seater"/>
    <x v="15"/>
    <n v="350000"/>
    <n v="140000"/>
    <x v="1"/>
    <x v="0"/>
    <x v="0"/>
    <s v="Second Owner"/>
    <n v="18"/>
    <s v="Budget"/>
  </r>
  <r>
    <s v="Hyundai Verna 1.6 SX CRDi (O)"/>
    <x v="9"/>
    <n v="390000"/>
    <n v="90000"/>
    <x v="1"/>
    <x v="0"/>
    <x v="0"/>
    <s v="First Owner"/>
    <n v="15"/>
    <s v="Budget"/>
  </r>
  <r>
    <s v="Maruti Celerio VXI"/>
    <x v="5"/>
    <n v="220000"/>
    <n v="45000"/>
    <x v="0"/>
    <x v="0"/>
    <x v="0"/>
    <s v="First Owner"/>
    <n v="11"/>
    <s v="Budget"/>
  </r>
  <r>
    <s v="Hyundai Santro Xing XG"/>
    <x v="14"/>
    <n v="140000"/>
    <n v="80000"/>
    <x v="0"/>
    <x v="0"/>
    <x v="0"/>
    <s v="Third Owner"/>
    <n v="21"/>
    <s v="Budget"/>
  </r>
  <r>
    <s v="Maruti Wagon R AMT VXI Option"/>
    <x v="6"/>
    <n v="370000"/>
    <n v="15000"/>
    <x v="0"/>
    <x v="0"/>
    <x v="1"/>
    <s v="First Owner"/>
    <n v="8"/>
    <s v="Budget"/>
  </r>
  <r>
    <s v="Maruti Swift Dzire VDI"/>
    <x v="7"/>
    <n v="650000"/>
    <n v="20000"/>
    <x v="1"/>
    <x v="0"/>
    <x v="0"/>
    <s v="First Owner"/>
    <n v="7"/>
    <s v="Mid Range"/>
  </r>
  <r>
    <s v="Maruti Alto 800 LX"/>
    <x v="2"/>
    <n v="280000"/>
    <n v="37000"/>
    <x v="0"/>
    <x v="0"/>
    <x v="0"/>
    <s v="First Owner"/>
    <n v="9"/>
    <s v="Budget"/>
  </r>
  <r>
    <s v="Maruti Swift Dzire VDI"/>
    <x v="4"/>
    <n v="540000"/>
    <n v="80000"/>
    <x v="1"/>
    <x v="0"/>
    <x v="0"/>
    <s v="First Owner"/>
    <n v="10"/>
    <s v="Mid Range"/>
  </r>
  <r>
    <s v="Ambassador Classic 2000 Dsz"/>
    <x v="19"/>
    <n v="50000"/>
    <n v="120000"/>
    <x v="1"/>
    <x v="0"/>
    <x v="0"/>
    <s v="Fourth &amp; Above Owner"/>
    <n v="24"/>
    <s v="Budget"/>
  </r>
  <r>
    <s v="Maruti Ciaz Sigma BSIV"/>
    <x v="6"/>
    <n v="800000"/>
    <n v="20000"/>
    <x v="0"/>
    <x v="0"/>
    <x v="0"/>
    <s v="First Owner"/>
    <n v="8"/>
    <s v="Mid Range"/>
  </r>
  <r>
    <s v="Ford Figo 1.5D Titanium MT"/>
    <x v="4"/>
    <n v="515000"/>
    <n v="25000"/>
    <x v="1"/>
    <x v="0"/>
    <x v="0"/>
    <s v="First Owner"/>
    <n v="10"/>
    <s v="Mid Range"/>
  </r>
  <r>
    <s v="Hyundai i20 1.2 Magna"/>
    <x v="10"/>
    <n v="220000"/>
    <n v="96000"/>
    <x v="0"/>
    <x v="0"/>
    <x v="0"/>
    <s v="Third Owner"/>
    <n v="16"/>
    <s v="Budget"/>
  </r>
  <r>
    <s v="Chevrolet Spark 1.0 LT Option Pack w/ Airbag"/>
    <x v="8"/>
    <n v="165000"/>
    <n v="53000"/>
    <x v="0"/>
    <x v="1"/>
    <x v="0"/>
    <s v="First Owner"/>
    <n v="13"/>
    <s v="Budget"/>
  </r>
  <r>
    <s v="Fiat Linea 1.3 Emotion"/>
    <x v="10"/>
    <n v="221000"/>
    <n v="65000"/>
    <x v="1"/>
    <x v="1"/>
    <x v="0"/>
    <s v="First Owner"/>
    <n v="16"/>
    <s v="Budget"/>
  </r>
  <r>
    <s v="Chevrolet Beat LT"/>
    <x v="5"/>
    <n v="245000"/>
    <n v="43000"/>
    <x v="0"/>
    <x v="1"/>
    <x v="0"/>
    <s v="First Owner"/>
    <n v="11"/>
    <s v="Budget"/>
  </r>
  <r>
    <s v="Ford Figo 1.2P Titanium Plus MT"/>
    <x v="1"/>
    <n v="260000"/>
    <n v="42000"/>
    <x v="0"/>
    <x v="1"/>
    <x v="0"/>
    <s v="First Owner"/>
    <n v="14"/>
    <s v="Budget"/>
  </r>
  <r>
    <s v="Skoda Superb Elegance 2.0 TDI CR AT"/>
    <x v="9"/>
    <n v="550000"/>
    <n v="73000"/>
    <x v="1"/>
    <x v="1"/>
    <x v="1"/>
    <s v="First Owner"/>
    <n v="15"/>
    <s v="Mid Range"/>
  </r>
  <r>
    <s v="Hyundai Grand i10 1.2 Kappa Era"/>
    <x v="5"/>
    <n v="434999"/>
    <n v="29000"/>
    <x v="0"/>
    <x v="1"/>
    <x v="0"/>
    <s v="First Owner"/>
    <n v="11"/>
    <s v="Budget"/>
  </r>
  <r>
    <s v="Tata Safari Storme EX"/>
    <x v="8"/>
    <n v="450000"/>
    <n v="95000"/>
    <x v="1"/>
    <x v="1"/>
    <x v="0"/>
    <s v="First Owner"/>
    <n v="13"/>
    <s v="Budget"/>
  </r>
  <r>
    <s v="Chevrolet Sail 1.2 Base"/>
    <x v="3"/>
    <n v="290000"/>
    <n v="25000"/>
    <x v="0"/>
    <x v="0"/>
    <x v="0"/>
    <s v="First Owner"/>
    <n v="12"/>
    <s v="Budget"/>
  </r>
  <r>
    <s v="Volkswagen Vento 1.0 TSI Highline Plus"/>
    <x v="9"/>
    <n v="305000"/>
    <n v="53000"/>
    <x v="0"/>
    <x v="1"/>
    <x v="0"/>
    <s v="Second Owner"/>
    <n v="15"/>
    <s v="Budget"/>
  </r>
  <r>
    <s v="Ford Classic 1.6 Duratec LXI"/>
    <x v="9"/>
    <n v="265000"/>
    <n v="20000"/>
    <x v="0"/>
    <x v="1"/>
    <x v="0"/>
    <s v="First Owner"/>
    <n v="15"/>
    <s v="Budget"/>
  </r>
  <r>
    <s v="Honda Brio 1.2 S MT"/>
    <x v="3"/>
    <n v="325000"/>
    <n v="57000"/>
    <x v="0"/>
    <x v="1"/>
    <x v="0"/>
    <s v="First Owner"/>
    <n v="12"/>
    <s v="Budget"/>
  </r>
  <r>
    <s v="Chevrolet Cruze LTZ"/>
    <x v="3"/>
    <n v="550000"/>
    <n v="52000"/>
    <x v="1"/>
    <x v="1"/>
    <x v="0"/>
    <s v="First Owner"/>
    <n v="12"/>
    <s v="Mid Range"/>
  </r>
  <r>
    <s v="Maruti Zen Estilo LXI BSIII"/>
    <x v="15"/>
    <n v="105000"/>
    <n v="40000"/>
    <x v="0"/>
    <x v="0"/>
    <x v="0"/>
    <s v="First Owner"/>
    <n v="18"/>
    <s v="Budget"/>
  </r>
  <r>
    <s v="Honda Brio 1.2 S MT"/>
    <x v="1"/>
    <n v="275000"/>
    <n v="47000"/>
    <x v="0"/>
    <x v="1"/>
    <x v="0"/>
    <s v="First Owner"/>
    <n v="14"/>
    <s v="Budget"/>
  </r>
  <r>
    <s v="Honda City 1.5 V MT"/>
    <x v="1"/>
    <n v="434999"/>
    <n v="47000"/>
    <x v="0"/>
    <x v="1"/>
    <x v="0"/>
    <s v="Second Owner"/>
    <n v="14"/>
    <s v="Budget"/>
  </r>
  <r>
    <s v="Hyundai Verna 1.6 CRDi SX"/>
    <x v="4"/>
    <n v="690000"/>
    <n v="73000"/>
    <x v="1"/>
    <x v="1"/>
    <x v="0"/>
    <s v="First Owner"/>
    <n v="10"/>
    <s v="Mid Range"/>
  </r>
  <r>
    <s v="Honda Brio V MT"/>
    <x v="1"/>
    <n v="249000"/>
    <n v="42000"/>
    <x v="0"/>
    <x v="1"/>
    <x v="0"/>
    <s v="Second Owner"/>
    <n v="14"/>
    <s v="Budget"/>
  </r>
  <r>
    <s v="Hyundai EON D Lite Plus"/>
    <x v="1"/>
    <n v="204999"/>
    <n v="60000"/>
    <x v="0"/>
    <x v="1"/>
    <x v="0"/>
    <s v="Third Owner"/>
    <n v="14"/>
    <s v="Budget"/>
  </r>
  <r>
    <s v="Maruti Wagon R VXI Optional"/>
    <x v="5"/>
    <n v="190000"/>
    <n v="120000"/>
    <x v="0"/>
    <x v="0"/>
    <x v="0"/>
    <s v="First Owner"/>
    <n v="11"/>
    <s v="Budget"/>
  </r>
  <r>
    <s v="Maruti Alto LXi"/>
    <x v="1"/>
    <n v="150000"/>
    <n v="50000"/>
    <x v="0"/>
    <x v="0"/>
    <x v="0"/>
    <s v="First Owner"/>
    <n v="14"/>
    <s v="Budget"/>
  </r>
  <r>
    <s v="Maruti Zen LX"/>
    <x v="22"/>
    <n v="70000"/>
    <n v="70000"/>
    <x v="0"/>
    <x v="0"/>
    <x v="0"/>
    <s v="Fourth &amp; Above Owner"/>
    <n v="27"/>
    <s v="Budget"/>
  </r>
  <r>
    <s v="Mahindra Bolero Power Plus SLX"/>
    <x v="6"/>
    <n v="900000"/>
    <n v="25000"/>
    <x v="1"/>
    <x v="0"/>
    <x v="0"/>
    <s v="First Owner"/>
    <n v="8"/>
    <s v="Mid Range"/>
  </r>
  <r>
    <s v="Maruti Ertiga ZXI AT Petrol"/>
    <x v="7"/>
    <n v="950000"/>
    <n v="11000"/>
    <x v="0"/>
    <x v="0"/>
    <x v="1"/>
    <s v="First Owner"/>
    <n v="7"/>
    <s v="Mid Range"/>
  </r>
  <r>
    <s v="Maruti Swift Dzire VXI"/>
    <x v="8"/>
    <n v="475000"/>
    <n v="80000"/>
    <x v="0"/>
    <x v="0"/>
    <x v="0"/>
    <s v="First Owner"/>
    <n v="13"/>
    <s v="Budget"/>
  </r>
  <r>
    <s v="Maruti 800 Std"/>
    <x v="17"/>
    <n v="55000"/>
    <n v="80000"/>
    <x v="0"/>
    <x v="0"/>
    <x v="0"/>
    <s v="Fourth &amp; Above Owner"/>
    <n v="28"/>
    <s v="Budget"/>
  </r>
  <r>
    <s v="Ford Fiesta Titanium 1.5 TDCi"/>
    <x v="8"/>
    <n v="450000"/>
    <n v="75000"/>
    <x v="1"/>
    <x v="0"/>
    <x v="0"/>
    <s v="Second Owner"/>
    <n v="13"/>
    <s v="Budget"/>
  </r>
  <r>
    <s v="BMW 5 Series 525d Sedan"/>
    <x v="11"/>
    <n v="1200000"/>
    <n v="45000"/>
    <x v="1"/>
    <x v="0"/>
    <x v="1"/>
    <s v="Third Owner"/>
    <n v="17"/>
    <s v="Premium"/>
  </r>
  <r>
    <s v="Mahindra Bolero SLX"/>
    <x v="0"/>
    <n v="300000"/>
    <n v="100000"/>
    <x v="1"/>
    <x v="0"/>
    <x v="0"/>
    <s v="Second Owner"/>
    <n v="19"/>
    <s v="Budget"/>
  </r>
  <r>
    <s v="Honda City i DTEC E"/>
    <x v="3"/>
    <n v="350000"/>
    <n v="60000"/>
    <x v="1"/>
    <x v="0"/>
    <x v="0"/>
    <s v="Second Owner"/>
    <n v="12"/>
    <s v="Budget"/>
  </r>
  <r>
    <s v="Tata Indica Vista Quadrajet LS"/>
    <x v="9"/>
    <n v="229999"/>
    <n v="160000"/>
    <x v="1"/>
    <x v="0"/>
    <x v="0"/>
    <s v="Second Owner"/>
    <n v="15"/>
    <s v="Budget"/>
  </r>
  <r>
    <s v="Hyundai Creta 1.6 Gamma SX Plus"/>
    <x v="5"/>
    <n v="821000"/>
    <n v="50000"/>
    <x v="0"/>
    <x v="0"/>
    <x v="0"/>
    <s v="First Owner"/>
    <n v="11"/>
    <s v="Mid Range"/>
  </r>
  <r>
    <s v="Maruti Alto K10 VXI"/>
    <x v="3"/>
    <n v="200000"/>
    <n v="80000"/>
    <x v="0"/>
    <x v="0"/>
    <x v="0"/>
    <s v="Second Owner"/>
    <n v="12"/>
    <s v="Budget"/>
  </r>
  <r>
    <s v="Mahindra Scorpio 1.99 S10"/>
    <x v="2"/>
    <n v="1000000"/>
    <n v="60000"/>
    <x v="1"/>
    <x v="0"/>
    <x v="0"/>
    <s v="Second Owner"/>
    <n v="9"/>
    <s v="Mid Range"/>
  </r>
  <r>
    <s v="Maruti Alto 800 VXI"/>
    <x v="4"/>
    <n v="220000"/>
    <n v="60000"/>
    <x v="0"/>
    <x v="0"/>
    <x v="0"/>
    <s v="Second Owner"/>
    <n v="10"/>
    <s v="Budget"/>
  </r>
  <r>
    <s v="Ford Figo Aspire 1.5 TDCi Trend"/>
    <x v="5"/>
    <n v="459999"/>
    <n v="148620"/>
    <x v="1"/>
    <x v="1"/>
    <x v="0"/>
    <s v="First Owner"/>
    <n v="11"/>
    <s v="Budget"/>
  </r>
  <r>
    <s v="Maruti SX4 ZDI"/>
    <x v="1"/>
    <n v="310000"/>
    <n v="70000"/>
    <x v="1"/>
    <x v="0"/>
    <x v="0"/>
    <s v="Second Owner"/>
    <n v="14"/>
    <s v="Budget"/>
  </r>
  <r>
    <s v="Hyundai Elite i20 Diesel Asta Option"/>
    <x v="6"/>
    <n v="815000"/>
    <n v="42000"/>
    <x v="1"/>
    <x v="0"/>
    <x v="0"/>
    <s v="First Owner"/>
    <n v="8"/>
    <s v="Mid Range"/>
  </r>
  <r>
    <s v="Hyundai Verna 1.6 CRDI SX Option"/>
    <x v="2"/>
    <n v="1200000"/>
    <n v="40000"/>
    <x v="1"/>
    <x v="0"/>
    <x v="0"/>
    <s v="First Owner"/>
    <n v="9"/>
    <s v="Premium"/>
  </r>
  <r>
    <s v="Chevrolet Optra Magnum 2.0 LT"/>
    <x v="9"/>
    <n v="170000"/>
    <n v="150000"/>
    <x v="1"/>
    <x v="0"/>
    <x v="0"/>
    <s v="Second Owner"/>
    <n v="15"/>
    <s v="Budget"/>
  </r>
  <r>
    <s v="Maruti S-Cross Alpha DDiS 200 SH"/>
    <x v="2"/>
    <n v="1000000"/>
    <n v="30000"/>
    <x v="1"/>
    <x v="0"/>
    <x v="0"/>
    <s v="First Owner"/>
    <n v="9"/>
    <s v="Mid Range"/>
  </r>
  <r>
    <s v="Hyundai Santro Xing GLS"/>
    <x v="10"/>
    <n v="155000"/>
    <n v="90000"/>
    <x v="0"/>
    <x v="0"/>
    <x v="0"/>
    <s v="Fourth &amp; Above Owner"/>
    <n v="16"/>
    <s v="Budget"/>
  </r>
  <r>
    <s v="Mahindra TUV 300 T6 Plus"/>
    <x v="2"/>
    <n v="400000"/>
    <n v="120000"/>
    <x v="1"/>
    <x v="0"/>
    <x v="0"/>
    <s v="First Owner"/>
    <n v="9"/>
    <s v="Budget"/>
  </r>
  <r>
    <s v="Mahindra Quanto C4"/>
    <x v="4"/>
    <n v="400000"/>
    <n v="80000"/>
    <x v="1"/>
    <x v="0"/>
    <x v="0"/>
    <s v="Second Owner"/>
    <n v="10"/>
    <s v="Budget"/>
  </r>
  <r>
    <s v="Tata Indica Vista Aura 1.3 Quadrajet BSIV"/>
    <x v="10"/>
    <n v="250000"/>
    <n v="80000"/>
    <x v="1"/>
    <x v="0"/>
    <x v="0"/>
    <s v="Second Owner"/>
    <n v="16"/>
    <s v="Budget"/>
  </r>
  <r>
    <s v="Tata Indigo GLX"/>
    <x v="15"/>
    <n v="150000"/>
    <n v="50000"/>
    <x v="0"/>
    <x v="0"/>
    <x v="0"/>
    <s v="Third Owner"/>
    <n v="18"/>
    <s v="Budget"/>
  </r>
  <r>
    <s v="Hyundai Santro LP zipPlus"/>
    <x v="19"/>
    <n v="80000"/>
    <n v="70000"/>
    <x v="0"/>
    <x v="0"/>
    <x v="0"/>
    <s v="Second Owner"/>
    <n v="24"/>
    <s v="Budget"/>
  </r>
  <r>
    <s v="Volkswagen Vento 1.5 TDI Comfortline AT"/>
    <x v="3"/>
    <n v="325000"/>
    <n v="70000"/>
    <x v="1"/>
    <x v="0"/>
    <x v="1"/>
    <s v="First Owner"/>
    <n v="12"/>
    <s v="Budget"/>
  </r>
  <r>
    <s v="Hyundai Elite i20 Sportz Plus CVT BSIV"/>
    <x v="7"/>
    <n v="738000"/>
    <n v="8000"/>
    <x v="0"/>
    <x v="0"/>
    <x v="1"/>
    <s v="First Owner"/>
    <n v="7"/>
    <s v="Mid Range"/>
  </r>
  <r>
    <s v="Maruti Alto K10 VXI"/>
    <x v="4"/>
    <n v="300000"/>
    <n v="30000"/>
    <x v="0"/>
    <x v="0"/>
    <x v="0"/>
    <s v="First Owner"/>
    <n v="10"/>
    <s v="Budget"/>
  </r>
  <r>
    <s v="Tata Indica Vista Quadrajet LX"/>
    <x v="1"/>
    <n v="150000"/>
    <n v="110000"/>
    <x v="1"/>
    <x v="0"/>
    <x v="0"/>
    <s v="First Owner"/>
    <n v="14"/>
    <s v="Budget"/>
  </r>
  <r>
    <s v="Toyota Innova 2.5 G4 Diesel 7-seater"/>
    <x v="0"/>
    <n v="440000"/>
    <n v="223000"/>
    <x v="1"/>
    <x v="0"/>
    <x v="0"/>
    <s v="Fourth &amp; Above Owner"/>
    <n v="19"/>
    <s v="Budget"/>
  </r>
  <r>
    <s v="Volkswagen Vento IPL II Diesel Trendline"/>
    <x v="9"/>
    <n v="280000"/>
    <n v="110000"/>
    <x v="1"/>
    <x v="0"/>
    <x v="0"/>
    <s v="First Owner"/>
    <n v="15"/>
    <s v="Budget"/>
  </r>
  <r>
    <s v="Hyundai Santro GS"/>
    <x v="12"/>
    <n v="100000"/>
    <n v="120000"/>
    <x v="0"/>
    <x v="0"/>
    <x v="0"/>
    <s v="Second Owner"/>
    <n v="20"/>
    <s v="Budget"/>
  </r>
  <r>
    <s v="Maruti Swift VXi BSIV"/>
    <x v="15"/>
    <n v="150000"/>
    <n v="100000"/>
    <x v="0"/>
    <x v="0"/>
    <x v="0"/>
    <s v="Second Owner"/>
    <n v="18"/>
    <s v="Budget"/>
  </r>
  <r>
    <s v="Maruti Swift Dzire VDI"/>
    <x v="3"/>
    <n v="380000"/>
    <n v="100000"/>
    <x v="1"/>
    <x v="0"/>
    <x v="0"/>
    <s v="Second Owner"/>
    <n v="12"/>
    <s v="Budget"/>
  </r>
  <r>
    <s v="Maruti Alto LX"/>
    <x v="12"/>
    <n v="90000"/>
    <n v="60000"/>
    <x v="0"/>
    <x v="0"/>
    <x v="0"/>
    <s v="Second Owner"/>
    <n v="20"/>
    <s v="Budget"/>
  </r>
  <r>
    <s v="Mahindra Scorpio VLS 2.2 mHawk"/>
    <x v="15"/>
    <n v="300000"/>
    <n v="270000"/>
    <x v="1"/>
    <x v="0"/>
    <x v="0"/>
    <s v="Third Owner"/>
    <n v="18"/>
    <s v="Budget"/>
  </r>
  <r>
    <s v="Skoda Fabia 1.2 TDI Active"/>
    <x v="9"/>
    <n v="275000"/>
    <n v="60000"/>
    <x v="1"/>
    <x v="0"/>
    <x v="0"/>
    <s v="Second Owner"/>
    <n v="15"/>
    <s v="Budget"/>
  </r>
  <r>
    <s v="Maruti Zen Estilo Sports"/>
    <x v="11"/>
    <n v="180000"/>
    <n v="41090"/>
    <x v="0"/>
    <x v="0"/>
    <x v="0"/>
    <s v="First Owner"/>
    <n v="17"/>
    <s v="Budget"/>
  </r>
  <r>
    <s v="Maruti Swift VDI"/>
    <x v="1"/>
    <n v="225000"/>
    <n v="296823"/>
    <x v="1"/>
    <x v="0"/>
    <x v="0"/>
    <s v="First Owner"/>
    <n v="14"/>
    <s v="Budget"/>
  </r>
  <r>
    <s v="Maruti Alto 800 LXI"/>
    <x v="3"/>
    <n v="200000"/>
    <n v="40000"/>
    <x v="0"/>
    <x v="0"/>
    <x v="0"/>
    <s v="First Owner"/>
    <n v="12"/>
    <s v="Budget"/>
  </r>
  <r>
    <s v="Toyota Corolla Altis G"/>
    <x v="9"/>
    <n v="500000"/>
    <n v="40000"/>
    <x v="0"/>
    <x v="0"/>
    <x v="0"/>
    <s v="Second Owner"/>
    <n v="15"/>
    <s v="Mid Range"/>
  </r>
  <r>
    <s v="Ford Fiesta 1.6 Duratec S"/>
    <x v="10"/>
    <n v="300000"/>
    <n v="70000"/>
    <x v="0"/>
    <x v="0"/>
    <x v="0"/>
    <s v="Second Owner"/>
    <n v="16"/>
    <s v="Budget"/>
  </r>
  <r>
    <s v="Hyundai Verna 1.6 CRDi SX"/>
    <x v="5"/>
    <n v="765000"/>
    <n v="80000"/>
    <x v="1"/>
    <x v="0"/>
    <x v="0"/>
    <s v="Second Owner"/>
    <n v="11"/>
    <s v="Mid Range"/>
  </r>
  <r>
    <s v="Maruti Swift Dzire VDI"/>
    <x v="2"/>
    <n v="650000"/>
    <n v="90000"/>
    <x v="1"/>
    <x v="0"/>
    <x v="0"/>
    <s v="First Owner"/>
    <n v="9"/>
    <s v="Mid Range"/>
  </r>
  <r>
    <s v="Maruti Wagon R VXI Plus Optional"/>
    <x v="2"/>
    <n v="380000"/>
    <n v="19000"/>
    <x v="0"/>
    <x v="0"/>
    <x v="0"/>
    <s v="First Owner"/>
    <n v="9"/>
    <s v="Budget"/>
  </r>
  <r>
    <s v="Maruti Swift Dzire VDI"/>
    <x v="3"/>
    <n v="480000"/>
    <n v="110000"/>
    <x v="1"/>
    <x v="0"/>
    <x v="0"/>
    <s v="Second Owner"/>
    <n v="12"/>
    <s v="Budget"/>
  </r>
  <r>
    <s v="Mahindra Jeep MM 540"/>
    <x v="13"/>
    <n v="200000"/>
    <n v="60000"/>
    <x v="1"/>
    <x v="0"/>
    <x v="0"/>
    <s v="First Owner"/>
    <n v="30"/>
    <s v="Budget"/>
  </r>
  <r>
    <s v="Maruti Zen Estilo LXI Green (CNG)"/>
    <x v="10"/>
    <n v="145000"/>
    <n v="68000"/>
    <x v="2"/>
    <x v="0"/>
    <x v="0"/>
    <s v="Second Owner"/>
    <n v="16"/>
    <s v="Budget"/>
  </r>
  <r>
    <s v="Maruti Ritz VDi"/>
    <x v="9"/>
    <n v="280000"/>
    <n v="120000"/>
    <x v="1"/>
    <x v="0"/>
    <x v="0"/>
    <s v="Second Owner"/>
    <n v="15"/>
    <s v="Budget"/>
  </r>
  <r>
    <s v="Maruti Swift Dzire VDI"/>
    <x v="3"/>
    <n v="254999"/>
    <n v="30000"/>
    <x v="1"/>
    <x v="0"/>
    <x v="0"/>
    <s v="First Owner"/>
    <n v="12"/>
    <s v="Budget"/>
  </r>
  <r>
    <s v="Tata Bolt Revotron XE"/>
    <x v="4"/>
    <n v="300000"/>
    <n v="90000"/>
    <x v="0"/>
    <x v="0"/>
    <x v="0"/>
    <s v="Second Owner"/>
    <n v="10"/>
    <s v="Budget"/>
  </r>
  <r>
    <s v="Maruti Swift VDI BSIV"/>
    <x v="5"/>
    <n v="480000"/>
    <n v="140000"/>
    <x v="1"/>
    <x v="0"/>
    <x v="0"/>
    <s v="Third Owner"/>
    <n v="11"/>
    <s v="Budget"/>
  </r>
  <r>
    <s v="Skoda Rapid Monte Carlo 1.6 MPI AT BSIV"/>
    <x v="2"/>
    <n v="850000"/>
    <n v="44500"/>
    <x v="0"/>
    <x v="0"/>
    <x v="1"/>
    <s v="First Owner"/>
    <n v="9"/>
    <s v="Mid Range"/>
  </r>
  <r>
    <s v="Hyundai i20 Asta 1.4 CRDi"/>
    <x v="3"/>
    <n v="350000"/>
    <n v="52000"/>
    <x v="1"/>
    <x v="0"/>
    <x v="0"/>
    <s v="Second Owner"/>
    <n v="12"/>
    <s v="Budget"/>
  </r>
  <r>
    <s v="Hyundai i20 Active 1.2 SX"/>
    <x v="4"/>
    <n v="650000"/>
    <n v="26000"/>
    <x v="0"/>
    <x v="0"/>
    <x v="0"/>
    <s v="First Owner"/>
    <n v="10"/>
    <s v="Mid Range"/>
  </r>
  <r>
    <s v="Tata New Safari 4X2"/>
    <x v="0"/>
    <n v="550000"/>
    <n v="80000"/>
    <x v="0"/>
    <x v="0"/>
    <x v="0"/>
    <s v="Second Owner"/>
    <n v="19"/>
    <s v="Mid Range"/>
  </r>
  <r>
    <s v="Maruti Celerio VXI"/>
    <x v="5"/>
    <n v="300000"/>
    <n v="35000"/>
    <x v="0"/>
    <x v="0"/>
    <x v="0"/>
    <s v="First Owner"/>
    <n v="11"/>
    <s v="Budget"/>
  </r>
  <r>
    <s v="Maruti Swift 1.3 VXi"/>
    <x v="15"/>
    <n v="150000"/>
    <n v="60000"/>
    <x v="0"/>
    <x v="0"/>
    <x v="0"/>
    <s v="Second Owner"/>
    <n v="18"/>
    <s v="Budget"/>
  </r>
  <r>
    <s v="Hyundai Grand i10 Sportz"/>
    <x v="3"/>
    <n v="300000"/>
    <n v="120000"/>
    <x v="0"/>
    <x v="0"/>
    <x v="0"/>
    <s v="First Owner"/>
    <n v="12"/>
    <s v="Budget"/>
  </r>
  <r>
    <s v="Hyundai Santro Xing XG"/>
    <x v="16"/>
    <n v="80000"/>
    <n v="58000"/>
    <x v="0"/>
    <x v="0"/>
    <x v="0"/>
    <s v="First Owner"/>
    <n v="22"/>
    <s v="Budget"/>
  </r>
  <r>
    <s v="Tata Manza ELAN Quadrajet BS IV"/>
    <x v="9"/>
    <n v="180000"/>
    <n v="80000"/>
    <x v="1"/>
    <x v="0"/>
    <x v="0"/>
    <s v="Third Owner"/>
    <n v="15"/>
    <s v="Budget"/>
  </r>
  <r>
    <s v="Ford Fiesta 1.4 ZXi TDCi ABS"/>
    <x v="11"/>
    <n v="110000"/>
    <n v="100000"/>
    <x v="1"/>
    <x v="0"/>
    <x v="0"/>
    <s v="Fourth &amp; Above Owner"/>
    <n v="17"/>
    <s v="Budget"/>
  </r>
  <r>
    <s v="Hyundai Grand i10 Sportz"/>
    <x v="5"/>
    <n v="425000"/>
    <n v="12000"/>
    <x v="0"/>
    <x v="0"/>
    <x v="0"/>
    <s v="First Owner"/>
    <n v="11"/>
    <s v="Budget"/>
  </r>
  <r>
    <s v="Honda Amaze VX i-DTEC"/>
    <x v="4"/>
    <n v="700000"/>
    <n v="35000"/>
    <x v="1"/>
    <x v="0"/>
    <x v="0"/>
    <s v="First Owner"/>
    <n v="10"/>
    <s v="Mid Range"/>
  </r>
  <r>
    <s v="Maruti Zen Estilo VXI BSIV"/>
    <x v="10"/>
    <n v="130000"/>
    <n v="50000"/>
    <x v="0"/>
    <x v="0"/>
    <x v="0"/>
    <s v="Second Owner"/>
    <n v="16"/>
    <s v="Budget"/>
  </r>
  <r>
    <s v="Maruti Swift Dzire ZDI"/>
    <x v="2"/>
    <n v="650000"/>
    <n v="67000"/>
    <x v="1"/>
    <x v="0"/>
    <x v="0"/>
    <s v="First Owner"/>
    <n v="9"/>
    <s v="Mid Range"/>
  </r>
  <r>
    <s v="Renault Duster Petrol RxL"/>
    <x v="8"/>
    <n v="400000"/>
    <n v="100000"/>
    <x v="0"/>
    <x v="0"/>
    <x v="0"/>
    <s v="Second Owner"/>
    <n v="13"/>
    <s v="Budget"/>
  </r>
  <r>
    <s v="Mahindra TUV 300 mHAWK100 T8"/>
    <x v="2"/>
    <n v="800000"/>
    <n v="60000"/>
    <x v="1"/>
    <x v="0"/>
    <x v="0"/>
    <s v="First Owner"/>
    <n v="9"/>
    <s v="Mid Range"/>
  </r>
  <r>
    <s v="Mahindra Bolero Power Plus SLX"/>
    <x v="2"/>
    <n v="675000"/>
    <n v="70000"/>
    <x v="1"/>
    <x v="0"/>
    <x v="0"/>
    <s v="First Owner"/>
    <n v="9"/>
    <s v="Mid Range"/>
  </r>
  <r>
    <s v="Maruti Omni E MPI STD BS IV"/>
    <x v="2"/>
    <n v="210000"/>
    <n v="50000"/>
    <x v="0"/>
    <x v="0"/>
    <x v="0"/>
    <s v="Fourth &amp; Above Owner"/>
    <n v="9"/>
    <s v="Budget"/>
  </r>
  <r>
    <s v="Tata New Safari DICOR 2.2 EX 4x2"/>
    <x v="11"/>
    <n v="150000"/>
    <n v="120000"/>
    <x v="1"/>
    <x v="0"/>
    <x v="0"/>
    <s v="Third Owner"/>
    <n v="17"/>
    <s v="Budget"/>
  </r>
  <r>
    <s v="Maruti Omni CNG"/>
    <x v="0"/>
    <n v="45000"/>
    <n v="100000"/>
    <x v="2"/>
    <x v="0"/>
    <x v="0"/>
    <s v="Fourth &amp; Above Owner"/>
    <n v="19"/>
    <s v="Budget"/>
  </r>
  <r>
    <s v="Hyundai i20 Sportz 1.2"/>
    <x v="5"/>
    <n v="516000"/>
    <n v="90000"/>
    <x v="0"/>
    <x v="0"/>
    <x v="0"/>
    <s v="First Owner"/>
    <n v="11"/>
    <s v="Mid Range"/>
  </r>
  <r>
    <s v="Hyundai i20 Sportz 1.2"/>
    <x v="3"/>
    <n v="450000"/>
    <n v="80000"/>
    <x v="0"/>
    <x v="0"/>
    <x v="0"/>
    <s v="First Owner"/>
    <n v="12"/>
    <s v="Budget"/>
  </r>
  <r>
    <s v="Chevrolet Spark 1.0 LS"/>
    <x v="1"/>
    <n v="134000"/>
    <n v="90000"/>
    <x v="0"/>
    <x v="0"/>
    <x v="0"/>
    <s v="Second Owner"/>
    <n v="14"/>
    <s v="Budget"/>
  </r>
  <r>
    <s v="Toyota Etios VD"/>
    <x v="3"/>
    <n v="509999"/>
    <n v="157000"/>
    <x v="1"/>
    <x v="0"/>
    <x v="0"/>
    <s v="Second Owner"/>
    <n v="12"/>
    <s v="Mid Range"/>
  </r>
  <r>
    <s v="Volkswagen Polo 1.2 MPI Comfortline"/>
    <x v="4"/>
    <n v="500000"/>
    <n v="20000"/>
    <x v="0"/>
    <x v="0"/>
    <x v="0"/>
    <s v="First Owner"/>
    <n v="10"/>
    <s v="Mid Range"/>
  </r>
  <r>
    <s v="Maruti Zen Estilo 1.1 LXI BSIII"/>
    <x v="15"/>
    <n v="130000"/>
    <n v="80000"/>
    <x v="0"/>
    <x v="0"/>
    <x v="0"/>
    <s v="Fourth &amp; Above Owner"/>
    <n v="18"/>
    <s v="Budget"/>
  </r>
  <r>
    <s v="Maruti Swift ZDi BSIV"/>
    <x v="5"/>
    <n v="575000"/>
    <n v="60000"/>
    <x v="1"/>
    <x v="0"/>
    <x v="0"/>
    <s v="First Owner"/>
    <n v="11"/>
    <s v="Mid Range"/>
  </r>
  <r>
    <s v="Hyundai Elite i20 Sportz Plus BSIV"/>
    <x v="5"/>
    <n v="550000"/>
    <n v="49000"/>
    <x v="0"/>
    <x v="0"/>
    <x v="0"/>
    <s v="First Owner"/>
    <n v="11"/>
    <s v="Mid Range"/>
  </r>
  <r>
    <s v="Tata Indica Vista Terra TDI BSIII"/>
    <x v="11"/>
    <n v="145000"/>
    <n v="89255"/>
    <x v="1"/>
    <x v="0"/>
    <x v="0"/>
    <s v="First Owner"/>
    <n v="17"/>
    <s v="Budget"/>
  </r>
  <r>
    <s v="Maruti Alto 800 LXI"/>
    <x v="20"/>
    <n v="347000"/>
    <n v="5000"/>
    <x v="0"/>
    <x v="0"/>
    <x v="0"/>
    <s v="First Owner"/>
    <n v="6"/>
    <s v="Budget"/>
  </r>
  <r>
    <s v="Tata Indica Vista Quadrajet VX"/>
    <x v="8"/>
    <n v="275000"/>
    <n v="110000"/>
    <x v="1"/>
    <x v="0"/>
    <x v="0"/>
    <s v="First Owner"/>
    <n v="13"/>
    <s v="Budget"/>
  </r>
  <r>
    <s v="Toyota Innova 2.5 V Diesel 8-seater"/>
    <x v="10"/>
    <n v="630000"/>
    <n v="200000"/>
    <x v="1"/>
    <x v="0"/>
    <x v="0"/>
    <s v="Third Owner"/>
    <n v="16"/>
    <s v="Mid Range"/>
  </r>
  <r>
    <s v="Chevrolet Beat Diesel"/>
    <x v="1"/>
    <n v="160000"/>
    <n v="90000"/>
    <x v="1"/>
    <x v="0"/>
    <x v="0"/>
    <s v="Second Owner"/>
    <n v="14"/>
    <s v="Budget"/>
  </r>
  <r>
    <s v="Fiat Grande Punto 1.3 Dynamic (Diesel)"/>
    <x v="10"/>
    <n v="150000"/>
    <n v="63000"/>
    <x v="1"/>
    <x v="0"/>
    <x v="0"/>
    <s v="Third Owner"/>
    <n v="16"/>
    <s v="Budget"/>
  </r>
  <r>
    <s v="Honda Mobilio S i VTEC"/>
    <x v="5"/>
    <n v="550000"/>
    <n v="23000"/>
    <x v="0"/>
    <x v="0"/>
    <x v="0"/>
    <s v="First Owner"/>
    <n v="11"/>
    <s v="Mid Range"/>
  </r>
  <r>
    <s v="Mahindra Quanto C6"/>
    <x v="8"/>
    <n v="349000"/>
    <n v="100000"/>
    <x v="1"/>
    <x v="0"/>
    <x v="0"/>
    <s v="First Owner"/>
    <n v="13"/>
    <s v="Budget"/>
  </r>
  <r>
    <s v="Mahindra Bolero DI DX 8 Seater"/>
    <x v="16"/>
    <n v="229999"/>
    <n v="168000"/>
    <x v="1"/>
    <x v="0"/>
    <x v="0"/>
    <s v="Fourth &amp; Above Owner"/>
    <n v="22"/>
    <s v="Budget"/>
  </r>
  <r>
    <s v="Tata Indica Vista Aqua 1.4 TDI"/>
    <x v="15"/>
    <n v="110000"/>
    <n v="90000"/>
    <x v="1"/>
    <x v="0"/>
    <x v="0"/>
    <s v="Third Owner"/>
    <n v="18"/>
    <s v="Budget"/>
  </r>
  <r>
    <s v="Maruti Wagon R LXI Minor"/>
    <x v="15"/>
    <n v="110000"/>
    <n v="70000"/>
    <x v="0"/>
    <x v="0"/>
    <x v="0"/>
    <s v="Third Owner"/>
    <n v="18"/>
    <s v="Budget"/>
  </r>
  <r>
    <s v="Renault KWID RXE"/>
    <x v="6"/>
    <n v="245000"/>
    <n v="5550"/>
    <x v="0"/>
    <x v="0"/>
    <x v="0"/>
    <s v="Second Owner"/>
    <n v="8"/>
    <s v="Budget"/>
  </r>
  <r>
    <s v="Maruti Alto K10 VXI"/>
    <x v="3"/>
    <n v="180000"/>
    <n v="100000"/>
    <x v="0"/>
    <x v="0"/>
    <x v="0"/>
    <s v="Second Owner"/>
    <n v="12"/>
    <s v="Budget"/>
  </r>
  <r>
    <s v="Maruti Wagon R VXI BS IV"/>
    <x v="3"/>
    <n v="290000"/>
    <n v="80000"/>
    <x v="0"/>
    <x v="0"/>
    <x v="0"/>
    <s v="Second Owner"/>
    <n v="12"/>
    <s v="Budget"/>
  </r>
  <r>
    <s v="Hyundai i20 Magna"/>
    <x v="10"/>
    <n v="250000"/>
    <n v="40000"/>
    <x v="0"/>
    <x v="0"/>
    <x v="0"/>
    <s v="First Owner"/>
    <n v="16"/>
    <s v="Budget"/>
  </r>
  <r>
    <s v="Tata Indigo TDI"/>
    <x v="10"/>
    <n v="150000"/>
    <n v="100000"/>
    <x v="1"/>
    <x v="0"/>
    <x v="0"/>
    <s v="First Owner"/>
    <n v="16"/>
    <s v="Budget"/>
  </r>
  <r>
    <s v="Maruti 800 AC BSII"/>
    <x v="16"/>
    <n v="55000"/>
    <n v="35000"/>
    <x v="0"/>
    <x v="0"/>
    <x v="0"/>
    <s v="Third Owner"/>
    <n v="22"/>
    <s v="Budget"/>
  </r>
  <r>
    <s v="Skoda Laura L n K 1.9 PD"/>
    <x v="12"/>
    <n v="500000"/>
    <n v="75000"/>
    <x v="1"/>
    <x v="0"/>
    <x v="0"/>
    <s v="Second Owner"/>
    <n v="20"/>
    <s v="Mid Range"/>
  </r>
  <r>
    <s v="Mahindra Quanto C4"/>
    <x v="8"/>
    <n v="290000"/>
    <n v="150000"/>
    <x v="1"/>
    <x v="0"/>
    <x v="0"/>
    <s v="Fourth &amp; Above Owner"/>
    <n v="13"/>
    <s v="Budget"/>
  </r>
  <r>
    <s v="Maruti Alto STD"/>
    <x v="11"/>
    <n v="72000"/>
    <n v="70000"/>
    <x v="0"/>
    <x v="0"/>
    <x v="0"/>
    <s v="First Owner"/>
    <n v="17"/>
    <s v="Budget"/>
  </r>
  <r>
    <s v="Maruti Ritz VDi"/>
    <x v="3"/>
    <n v="250000"/>
    <n v="115000"/>
    <x v="1"/>
    <x v="0"/>
    <x v="0"/>
    <s v="First Owner"/>
    <n v="12"/>
    <s v="Budget"/>
  </r>
  <r>
    <s v="Maruti Swift AMT VXI"/>
    <x v="7"/>
    <n v="575000"/>
    <n v="25000"/>
    <x v="0"/>
    <x v="0"/>
    <x v="1"/>
    <s v="First Owner"/>
    <n v="7"/>
    <s v="Mid Range"/>
  </r>
  <r>
    <s v="Kia Seltos HTK Plus AT D"/>
    <x v="7"/>
    <n v="1300000"/>
    <n v="10000"/>
    <x v="1"/>
    <x v="0"/>
    <x v="1"/>
    <s v="First Owner"/>
    <n v="7"/>
    <s v="Premium"/>
  </r>
  <r>
    <s v="Hyundai Santro Magna BSIV"/>
    <x v="7"/>
    <n v="425000"/>
    <n v="15000"/>
    <x v="0"/>
    <x v="0"/>
    <x v="0"/>
    <s v="First Owner"/>
    <n v="7"/>
    <s v="Budget"/>
  </r>
  <r>
    <s v="Maruti Eeco CNG 5 Seater AC BSIV"/>
    <x v="7"/>
    <n v="470000"/>
    <n v="10000"/>
    <x v="2"/>
    <x v="0"/>
    <x v="0"/>
    <s v="First Owner"/>
    <n v="7"/>
    <s v="Budget"/>
  </r>
  <r>
    <s v="Toyota Etios VX"/>
    <x v="1"/>
    <n v="220000"/>
    <n v="80000"/>
    <x v="0"/>
    <x v="0"/>
    <x v="0"/>
    <s v="Third Owner"/>
    <n v="14"/>
    <s v="Budget"/>
  </r>
  <r>
    <s v="Maruti Alto 800 LXI"/>
    <x v="20"/>
    <n v="310000"/>
    <n v="1700"/>
    <x v="0"/>
    <x v="0"/>
    <x v="0"/>
    <s v="First Owner"/>
    <n v="6"/>
    <s v="Budget"/>
  </r>
  <r>
    <s v="Ford Figo 1.5D Trend MT"/>
    <x v="4"/>
    <n v="400000"/>
    <n v="45217"/>
    <x v="1"/>
    <x v="1"/>
    <x v="0"/>
    <s v="First Owner"/>
    <n v="10"/>
    <s v="Budget"/>
  </r>
  <r>
    <s v="Hyundai EON Magna Plus"/>
    <x v="6"/>
    <n v="310000"/>
    <n v="20000"/>
    <x v="0"/>
    <x v="0"/>
    <x v="0"/>
    <s v="First Owner"/>
    <n v="8"/>
    <s v="Budget"/>
  </r>
  <r>
    <s v="Maruti Ciaz ZDi Plus SHVS"/>
    <x v="2"/>
    <n v="750000"/>
    <n v="50000"/>
    <x v="1"/>
    <x v="0"/>
    <x v="0"/>
    <s v="First Owner"/>
    <n v="9"/>
    <s v="Mid Range"/>
  </r>
  <r>
    <s v="Tata New Safari DICOR 2.2 EX 4x2"/>
    <x v="11"/>
    <n v="204999"/>
    <n v="120000"/>
    <x v="1"/>
    <x v="0"/>
    <x v="0"/>
    <s v="Second Owner"/>
    <n v="17"/>
    <s v="Budget"/>
  </r>
  <r>
    <s v="Maruti Swift 1.3 VXi"/>
    <x v="10"/>
    <n v="260000"/>
    <n v="50000"/>
    <x v="0"/>
    <x v="0"/>
    <x v="0"/>
    <s v="First Owner"/>
    <n v="16"/>
    <s v="Budget"/>
  </r>
  <r>
    <s v="Maruti Alto LXi"/>
    <x v="1"/>
    <n v="180000"/>
    <n v="40000"/>
    <x v="0"/>
    <x v="0"/>
    <x v="0"/>
    <s v="Second Owner"/>
    <n v="14"/>
    <s v="Budget"/>
  </r>
  <r>
    <s v="Mahindra Renault Logan 1.5 DLE Diesel"/>
    <x v="0"/>
    <n v="125000"/>
    <n v="110000"/>
    <x v="1"/>
    <x v="0"/>
    <x v="0"/>
    <s v="Second Owner"/>
    <n v="19"/>
    <s v="Budget"/>
  </r>
  <r>
    <s v="Maruti Swift VDI BSIV"/>
    <x v="3"/>
    <n v="420000"/>
    <n v="155000"/>
    <x v="1"/>
    <x v="0"/>
    <x v="0"/>
    <s v="First Owner"/>
    <n v="12"/>
    <s v="Budget"/>
  </r>
  <r>
    <s v="Maruti Alto K10 LXI"/>
    <x v="9"/>
    <n v="220000"/>
    <n v="70000"/>
    <x v="0"/>
    <x v="0"/>
    <x v="0"/>
    <s v="Second Owner"/>
    <n v="15"/>
    <s v="Budget"/>
  </r>
  <r>
    <s v="Maruti Alto K10 2010-2014 VXI"/>
    <x v="10"/>
    <n v="200000"/>
    <n v="70000"/>
    <x v="0"/>
    <x v="0"/>
    <x v="0"/>
    <s v="Third Owner"/>
    <n v="16"/>
    <s v="Budget"/>
  </r>
  <r>
    <s v="Ford Ikon 1.4 TDCi DuraTorq"/>
    <x v="11"/>
    <n v="130000"/>
    <n v="100000"/>
    <x v="1"/>
    <x v="0"/>
    <x v="0"/>
    <s v="Third Owner"/>
    <n v="17"/>
    <s v="Budget"/>
  </r>
  <r>
    <s v="Tata Tiago XT"/>
    <x v="4"/>
    <n v="335000"/>
    <n v="41000"/>
    <x v="0"/>
    <x v="1"/>
    <x v="0"/>
    <s v="First Owner"/>
    <n v="10"/>
    <s v="Budget"/>
  </r>
  <r>
    <s v="Ford Endeavour Titanium Plus 4X4"/>
    <x v="2"/>
    <n v="2650000"/>
    <n v="60000"/>
    <x v="1"/>
    <x v="1"/>
    <x v="1"/>
    <s v="First Owner"/>
    <n v="9"/>
    <s v="Premium"/>
  </r>
  <r>
    <s v="Ford Endeavour 3.2 Titanium AT 4X4"/>
    <x v="6"/>
    <n v="2675000"/>
    <n v="56000"/>
    <x v="1"/>
    <x v="1"/>
    <x v="1"/>
    <s v="First Owner"/>
    <n v="8"/>
    <s v="Premium"/>
  </r>
  <r>
    <s v="Ford Endeavour Titanium Plus 4X4"/>
    <x v="2"/>
    <n v="2675000"/>
    <n v="60000"/>
    <x v="1"/>
    <x v="1"/>
    <x v="1"/>
    <s v="First Owner"/>
    <n v="9"/>
    <s v="Premium"/>
  </r>
  <r>
    <s v="Honda City V AT"/>
    <x v="9"/>
    <n v="434999"/>
    <n v="97000"/>
    <x v="0"/>
    <x v="1"/>
    <x v="1"/>
    <s v="Second Owner"/>
    <n v="15"/>
    <s v="Budget"/>
  </r>
  <r>
    <s v="Honda City i VTEC S"/>
    <x v="3"/>
    <n v="500000"/>
    <n v="60000"/>
    <x v="0"/>
    <x v="0"/>
    <x v="0"/>
    <s v="First Owner"/>
    <n v="12"/>
    <s v="Mid Range"/>
  </r>
  <r>
    <s v="Maruti Alto K10 VXI Airbag"/>
    <x v="2"/>
    <n v="290000"/>
    <n v="60000"/>
    <x v="0"/>
    <x v="0"/>
    <x v="0"/>
    <s v="First Owner"/>
    <n v="9"/>
    <s v="Budget"/>
  </r>
  <r>
    <s v="Ford Ecosport 1.5 Ti VCT AT Titanium"/>
    <x v="3"/>
    <n v="475000"/>
    <n v="48000"/>
    <x v="0"/>
    <x v="1"/>
    <x v="1"/>
    <s v="Second Owner"/>
    <n v="12"/>
    <s v="Budget"/>
  </r>
  <r>
    <s v="Maruti Swift Dzire VDi"/>
    <x v="11"/>
    <n v="270000"/>
    <n v="190000"/>
    <x v="1"/>
    <x v="0"/>
    <x v="0"/>
    <s v="Third Owner"/>
    <n v="17"/>
    <s v="Budget"/>
  </r>
  <r>
    <s v="Hyundai Xcent 1.2 VTVT S"/>
    <x v="7"/>
    <n v="600000"/>
    <n v="80000"/>
    <x v="0"/>
    <x v="0"/>
    <x v="0"/>
    <s v="First Owner"/>
    <n v="7"/>
    <s v="Mid Range"/>
  </r>
  <r>
    <s v="Hyundai i20 Asta 1.4 CRDi"/>
    <x v="8"/>
    <n v="300000"/>
    <n v="70000"/>
    <x v="1"/>
    <x v="0"/>
    <x v="0"/>
    <s v="Second Owner"/>
    <n v="13"/>
    <s v="Budget"/>
  </r>
  <r>
    <s v="Volkswagen Jetta 2.0L TDI Comfortline"/>
    <x v="1"/>
    <n v="415000"/>
    <n v="80000"/>
    <x v="1"/>
    <x v="0"/>
    <x v="0"/>
    <s v="Second Owner"/>
    <n v="14"/>
    <s v="Budget"/>
  </r>
  <r>
    <s v="Maruti Vitara Brezza ZDi Plus AMT"/>
    <x v="6"/>
    <n v="800000"/>
    <n v="30000"/>
    <x v="1"/>
    <x v="0"/>
    <x v="1"/>
    <s v="Second Owner"/>
    <n v="8"/>
    <s v="Mid Range"/>
  </r>
  <r>
    <s v="Hyundai Grand i10 Sportz"/>
    <x v="4"/>
    <n v="420000"/>
    <n v="44440"/>
    <x v="0"/>
    <x v="0"/>
    <x v="0"/>
    <s v="Second Owner"/>
    <n v="10"/>
    <s v="Budget"/>
  </r>
  <r>
    <s v="Hyundai Creta 1.6 CRDi SX Plus"/>
    <x v="6"/>
    <n v="1250000"/>
    <n v="30000"/>
    <x v="1"/>
    <x v="0"/>
    <x v="0"/>
    <s v="First Owner"/>
    <n v="8"/>
    <s v="Premium"/>
  </r>
  <r>
    <s v="Maruti Swift VDI BSIV"/>
    <x v="9"/>
    <n v="270000"/>
    <n v="120000"/>
    <x v="1"/>
    <x v="0"/>
    <x v="0"/>
    <s v="First Owner"/>
    <n v="15"/>
    <s v="Budget"/>
  </r>
  <r>
    <s v="Hyundai Grand i10 CRDi Sportz"/>
    <x v="5"/>
    <n v="390000"/>
    <n v="80000"/>
    <x v="1"/>
    <x v="0"/>
    <x v="0"/>
    <s v="Second Owner"/>
    <n v="11"/>
    <s v="Budget"/>
  </r>
  <r>
    <s v="Skoda Laura Ambiente 2.0 TDI CR MT"/>
    <x v="1"/>
    <n v="400000"/>
    <n v="110000"/>
    <x v="1"/>
    <x v="0"/>
    <x v="0"/>
    <s v="First Owner"/>
    <n v="14"/>
    <s v="Budget"/>
  </r>
  <r>
    <s v="Ford Fiesta 1.4 ZXi Leather"/>
    <x v="0"/>
    <n v="100000"/>
    <n v="170000"/>
    <x v="0"/>
    <x v="0"/>
    <x v="0"/>
    <s v="First Owner"/>
    <n v="19"/>
    <s v="Budget"/>
  </r>
  <r>
    <s v="Audi A6 2.7 TDI"/>
    <x v="10"/>
    <n v="850000"/>
    <n v="46000"/>
    <x v="1"/>
    <x v="0"/>
    <x v="1"/>
    <s v="First Owner"/>
    <n v="16"/>
    <s v="Mid Range"/>
  </r>
  <r>
    <s v="Chevrolet Cruze LTZ AT"/>
    <x v="1"/>
    <n v="359000"/>
    <n v="120000"/>
    <x v="1"/>
    <x v="0"/>
    <x v="1"/>
    <s v="Third Owner"/>
    <n v="14"/>
    <s v="Budget"/>
  </r>
  <r>
    <s v="Maruti Swift Dzire ZDI"/>
    <x v="5"/>
    <n v="470000"/>
    <n v="91365"/>
    <x v="1"/>
    <x v="1"/>
    <x v="0"/>
    <s v="First Owner"/>
    <n v="11"/>
    <s v="Budget"/>
  </r>
  <r>
    <s v="Maruti Swift Dzire VDI"/>
    <x v="8"/>
    <n v="360000"/>
    <n v="90010"/>
    <x v="1"/>
    <x v="1"/>
    <x v="0"/>
    <s v="Second Owner"/>
    <n v="13"/>
    <s v="Budget"/>
  </r>
  <r>
    <s v="Maruti Ertiga VDI"/>
    <x v="8"/>
    <n v="250999"/>
    <n v="80000"/>
    <x v="1"/>
    <x v="0"/>
    <x v="0"/>
    <s v="First Owner"/>
    <n v="13"/>
    <s v="Budget"/>
  </r>
  <r>
    <s v="Tata Nano Lx BSIV"/>
    <x v="1"/>
    <n v="45000"/>
    <n v="35000"/>
    <x v="0"/>
    <x v="0"/>
    <x v="0"/>
    <s v="Second Owner"/>
    <n v="14"/>
    <s v="Budget"/>
  </r>
  <r>
    <s v="Maruti Wagon R VXI BSII"/>
    <x v="12"/>
    <n v="75000"/>
    <n v="80000"/>
    <x v="0"/>
    <x v="0"/>
    <x v="0"/>
    <s v="Second Owner"/>
    <n v="20"/>
    <s v="Budget"/>
  </r>
  <r>
    <s v="Maruti Swift Dzire VDI"/>
    <x v="8"/>
    <n v="495000"/>
    <n v="31800"/>
    <x v="1"/>
    <x v="1"/>
    <x v="0"/>
    <s v="First Owner"/>
    <n v="13"/>
    <s v="Budget"/>
  </r>
  <r>
    <s v="Maruti Wagon R CNG LXI"/>
    <x v="8"/>
    <n v="310000"/>
    <n v="59100"/>
    <x v="2"/>
    <x v="1"/>
    <x v="0"/>
    <s v="First Owner"/>
    <n v="13"/>
    <s v="Budget"/>
  </r>
  <r>
    <s v="Honda Jazz 1.2 V i VTEC"/>
    <x v="4"/>
    <n v="540000"/>
    <n v="31200"/>
    <x v="0"/>
    <x v="1"/>
    <x v="0"/>
    <s v="First Owner"/>
    <n v="10"/>
    <s v="Mid Range"/>
  </r>
  <r>
    <s v="Maruti Ciaz VDi Plus SHVS"/>
    <x v="4"/>
    <n v="665000"/>
    <n v="51000"/>
    <x v="1"/>
    <x v="1"/>
    <x v="0"/>
    <s v="First Owner"/>
    <n v="10"/>
    <s v="Mid Range"/>
  </r>
  <r>
    <s v="Hyundai i20 Magna 1.4 CRDi (Diesel)"/>
    <x v="8"/>
    <n v="425000"/>
    <n v="22700"/>
    <x v="1"/>
    <x v="1"/>
    <x v="0"/>
    <s v="Second Owner"/>
    <n v="13"/>
    <s v="Budget"/>
  </r>
  <r>
    <s v="Audi A4 2.0 TDI"/>
    <x v="9"/>
    <n v="1295000"/>
    <n v="58000"/>
    <x v="1"/>
    <x v="1"/>
    <x v="1"/>
    <s v="First Owner"/>
    <n v="15"/>
    <s v="Premium"/>
  </r>
  <r>
    <s v="Maruti Ciaz VDI SHVS"/>
    <x v="4"/>
    <n v="675000"/>
    <n v="50900"/>
    <x v="1"/>
    <x v="1"/>
    <x v="0"/>
    <s v="First Owner"/>
    <n v="10"/>
    <s v="Mid Range"/>
  </r>
  <r>
    <s v="Maruti Vitara Brezza ZDi Plus Dual Tone"/>
    <x v="6"/>
    <n v="980000"/>
    <n v="10000"/>
    <x v="1"/>
    <x v="0"/>
    <x v="0"/>
    <s v="First Owner"/>
    <n v="8"/>
    <s v="Mid Range"/>
  </r>
  <r>
    <s v="Chevrolet Beat Diesel LS"/>
    <x v="3"/>
    <n v="320000"/>
    <n v="60000"/>
    <x v="1"/>
    <x v="0"/>
    <x v="0"/>
    <s v="First Owner"/>
    <n v="12"/>
    <s v="Budget"/>
  </r>
  <r>
    <s v="Maruti Ritz VXI"/>
    <x v="9"/>
    <n v="250000"/>
    <n v="80000"/>
    <x v="0"/>
    <x v="0"/>
    <x v="0"/>
    <s v="Second Owner"/>
    <n v="15"/>
    <s v="Budget"/>
  </r>
  <r>
    <s v="Maruti Baleno Zeta 1.3"/>
    <x v="4"/>
    <n v="600000"/>
    <n v="72000"/>
    <x v="1"/>
    <x v="0"/>
    <x v="0"/>
    <s v="First Owner"/>
    <n v="10"/>
    <s v="Mid Range"/>
  </r>
  <r>
    <s v="Hyundai Xcent 1.2 Kappa S"/>
    <x v="4"/>
    <n v="300000"/>
    <n v="96000"/>
    <x v="0"/>
    <x v="0"/>
    <x v="0"/>
    <s v="First Owner"/>
    <n v="10"/>
    <s v="Budget"/>
  </r>
  <r>
    <s v="Chevrolet Beat Diesel LS"/>
    <x v="3"/>
    <n v="305000"/>
    <n v="66000"/>
    <x v="1"/>
    <x v="0"/>
    <x v="0"/>
    <s v="First Owner"/>
    <n v="12"/>
    <s v="Budget"/>
  </r>
  <r>
    <s v="Maruti Wagon R LXI Minor"/>
    <x v="11"/>
    <n v="106000"/>
    <n v="70000"/>
    <x v="0"/>
    <x v="0"/>
    <x v="0"/>
    <s v="First Owner"/>
    <n v="17"/>
    <s v="Budget"/>
  </r>
  <r>
    <s v="Hyundai Accent GLS 1.6 ABS"/>
    <x v="12"/>
    <n v="90000"/>
    <n v="75000"/>
    <x v="0"/>
    <x v="0"/>
    <x v="0"/>
    <s v="Third Owner"/>
    <n v="20"/>
    <s v="Budget"/>
  </r>
  <r>
    <s v="Tata Tiago 1.2 Revotron XZ"/>
    <x v="7"/>
    <n v="539000"/>
    <n v="2417"/>
    <x v="0"/>
    <x v="0"/>
    <x v="0"/>
    <s v="First Owner"/>
    <n v="7"/>
    <s v="Mid Range"/>
  </r>
  <r>
    <s v="Hyundai EON Era Plus Option"/>
    <x v="4"/>
    <n v="250000"/>
    <n v="30000"/>
    <x v="0"/>
    <x v="0"/>
    <x v="0"/>
    <s v="Second Owner"/>
    <n v="10"/>
    <s v="Budget"/>
  </r>
  <r>
    <s v="Mahindra Scorpio BSIV"/>
    <x v="6"/>
    <n v="707000"/>
    <n v="60000"/>
    <x v="1"/>
    <x v="0"/>
    <x v="0"/>
    <s v="First Owner"/>
    <n v="8"/>
    <s v="Mid Range"/>
  </r>
  <r>
    <s v="Hyundai Getz GLS"/>
    <x v="0"/>
    <n v="95000"/>
    <n v="120000"/>
    <x v="0"/>
    <x v="0"/>
    <x v="0"/>
    <s v="Fourth &amp; Above Owner"/>
    <n v="19"/>
    <s v="Budget"/>
  </r>
  <r>
    <s v="Maruti Eeco CNG 5 Seater AC BSIV"/>
    <x v="20"/>
    <n v="495000"/>
    <n v="7000"/>
    <x v="2"/>
    <x v="0"/>
    <x v="0"/>
    <s v="First Owner"/>
    <n v="6"/>
    <s v="Budget"/>
  </r>
  <r>
    <s v="Tata Indigo TDI"/>
    <x v="1"/>
    <n v="200000"/>
    <n v="35000"/>
    <x v="1"/>
    <x v="0"/>
    <x v="0"/>
    <s v="First Owner"/>
    <n v="14"/>
    <s v="Budget"/>
  </r>
  <r>
    <s v="Maruti A-Star Vxi"/>
    <x v="11"/>
    <n v="110000"/>
    <n v="110000"/>
    <x v="0"/>
    <x v="0"/>
    <x v="0"/>
    <s v="Fourth &amp; Above Owner"/>
    <n v="17"/>
    <s v="Budget"/>
  </r>
  <r>
    <s v="Maruti Alto LXi"/>
    <x v="15"/>
    <n v="100000"/>
    <n v="130000"/>
    <x v="0"/>
    <x v="0"/>
    <x v="0"/>
    <s v="Fourth &amp; Above Owner"/>
    <n v="18"/>
    <s v="Budget"/>
  </r>
  <r>
    <s v="Maruti Alto 800 LX"/>
    <x v="4"/>
    <n v="150000"/>
    <n v="25000"/>
    <x v="0"/>
    <x v="0"/>
    <x v="0"/>
    <s v="Second Owner"/>
    <n v="10"/>
    <s v="Budget"/>
  </r>
  <r>
    <s v="Ford Ikon 1.3 Flair"/>
    <x v="14"/>
    <n v="50000"/>
    <n v="80000"/>
    <x v="0"/>
    <x v="0"/>
    <x v="0"/>
    <s v="Third Owner"/>
    <n v="21"/>
    <s v="Budget"/>
  </r>
  <r>
    <s v="Chevrolet Aveo 1.4"/>
    <x v="0"/>
    <n v="85000"/>
    <n v="70000"/>
    <x v="0"/>
    <x v="0"/>
    <x v="0"/>
    <s v="Second Owner"/>
    <n v="19"/>
    <s v="Budget"/>
  </r>
  <r>
    <s v="Hyundai Grand i10 1.2 Kappa Magna BSIV"/>
    <x v="6"/>
    <n v="475000"/>
    <n v="23000"/>
    <x v="0"/>
    <x v="0"/>
    <x v="0"/>
    <s v="First Owner"/>
    <n v="8"/>
    <s v="Budget"/>
  </r>
  <r>
    <s v="Volkswagen Polo 1.2 MPI Highline"/>
    <x v="3"/>
    <n v="425000"/>
    <n v="40000"/>
    <x v="0"/>
    <x v="0"/>
    <x v="0"/>
    <s v="First Owner"/>
    <n v="12"/>
    <s v="Budget"/>
  </r>
  <r>
    <s v="BMW 5 Series 530i"/>
    <x v="12"/>
    <n v="480000"/>
    <n v="110000"/>
    <x v="0"/>
    <x v="0"/>
    <x v="1"/>
    <s v="Second Owner"/>
    <n v="20"/>
    <s v="Budget"/>
  </r>
  <r>
    <s v="Maruti S-Cross Delta DDiS 200 SH"/>
    <x v="7"/>
    <n v="950000"/>
    <n v="10000"/>
    <x v="1"/>
    <x v="0"/>
    <x v="0"/>
    <s v="First Owner"/>
    <n v="7"/>
    <s v="Mid Range"/>
  </r>
  <r>
    <s v="Maruti Swift Dzire VDI"/>
    <x v="5"/>
    <n v="535000"/>
    <n v="80000"/>
    <x v="1"/>
    <x v="0"/>
    <x v="0"/>
    <s v="First Owner"/>
    <n v="11"/>
    <s v="Mid Range"/>
  </r>
  <r>
    <s v="Hyundai Verna CRDi SX ABS"/>
    <x v="11"/>
    <n v="325000"/>
    <n v="25000"/>
    <x v="1"/>
    <x v="0"/>
    <x v="0"/>
    <s v="Third Owner"/>
    <n v="17"/>
    <s v="Budget"/>
  </r>
  <r>
    <s v="Maruti Wagon R Stingray VXI"/>
    <x v="8"/>
    <n v="270000"/>
    <n v="74000"/>
    <x v="0"/>
    <x v="0"/>
    <x v="0"/>
    <s v="Third Owner"/>
    <n v="13"/>
    <s v="Budget"/>
  </r>
  <r>
    <s v="Maruti Celerio VXI"/>
    <x v="5"/>
    <n v="300000"/>
    <n v="60000"/>
    <x v="0"/>
    <x v="0"/>
    <x v="0"/>
    <s v="Third Owner"/>
    <n v="11"/>
    <s v="Budget"/>
  </r>
  <r>
    <s v="Volkswagen Vento Diesel Trendline"/>
    <x v="9"/>
    <n v="325000"/>
    <n v="70000"/>
    <x v="1"/>
    <x v="0"/>
    <x v="0"/>
    <s v="First Owner"/>
    <n v="15"/>
    <s v="Budget"/>
  </r>
  <r>
    <s v="Tata New Safari DICOR 2.2 EX 4x2"/>
    <x v="10"/>
    <n v="350000"/>
    <n v="100000"/>
    <x v="1"/>
    <x v="0"/>
    <x v="0"/>
    <s v="First Owner"/>
    <n v="16"/>
    <s v="Budget"/>
  </r>
  <r>
    <s v="Hyundai Verna CRDi SX"/>
    <x v="15"/>
    <n v="229999"/>
    <n v="146000"/>
    <x v="1"/>
    <x v="0"/>
    <x v="0"/>
    <s v="Third Owner"/>
    <n v="18"/>
    <s v="Budget"/>
  </r>
  <r>
    <s v="Maruti Swift Dzire LDi"/>
    <x v="1"/>
    <n v="325000"/>
    <n v="120000"/>
    <x v="1"/>
    <x v="0"/>
    <x v="0"/>
    <s v="Second Owner"/>
    <n v="14"/>
    <s v="Budget"/>
  </r>
  <r>
    <s v="Maruti Wagon R LXI"/>
    <x v="14"/>
    <n v="70000"/>
    <n v="70000"/>
    <x v="0"/>
    <x v="0"/>
    <x v="0"/>
    <s v="Second Owner"/>
    <n v="21"/>
    <s v="Budget"/>
  </r>
  <r>
    <s v="Skoda Laura Ambiente"/>
    <x v="15"/>
    <n v="190000"/>
    <n v="120000"/>
    <x v="1"/>
    <x v="0"/>
    <x v="0"/>
    <s v="Third Owner"/>
    <n v="18"/>
    <s v="Budget"/>
  </r>
  <r>
    <s v="Chevrolet Cruze LTZ"/>
    <x v="9"/>
    <n v="345000"/>
    <n v="65500"/>
    <x v="1"/>
    <x v="0"/>
    <x v="0"/>
    <s v="First Owner"/>
    <n v="15"/>
    <s v="Budget"/>
  </r>
  <r>
    <s v="Mahindra Scorpio 1.99 S10"/>
    <x v="4"/>
    <n v="1025000"/>
    <n v="70000"/>
    <x v="1"/>
    <x v="0"/>
    <x v="0"/>
    <s v="First Owner"/>
    <n v="10"/>
    <s v="Premium"/>
  </r>
  <r>
    <s v="Maruti Alto 800 LXI"/>
    <x v="1"/>
    <n v="120000"/>
    <n v="50000"/>
    <x v="0"/>
    <x v="0"/>
    <x v="0"/>
    <s v="First Owner"/>
    <n v="14"/>
    <s v="Budget"/>
  </r>
  <r>
    <s v="Maruti Alto LXi BSIII"/>
    <x v="11"/>
    <n v="114999"/>
    <n v="90000"/>
    <x v="0"/>
    <x v="0"/>
    <x v="0"/>
    <s v="Second Owner"/>
    <n v="17"/>
    <s v="Budget"/>
  </r>
  <r>
    <s v="Honda City 1.5 S MT"/>
    <x v="11"/>
    <n v="300000"/>
    <n v="120000"/>
    <x v="0"/>
    <x v="0"/>
    <x v="0"/>
    <s v="Second Owner"/>
    <n v="17"/>
    <s v="Budget"/>
  </r>
  <r>
    <s v="Maruti Celerio VXI"/>
    <x v="4"/>
    <n v="340000"/>
    <n v="56000"/>
    <x v="0"/>
    <x v="1"/>
    <x v="0"/>
    <s v="First Owner"/>
    <n v="10"/>
    <s v="Budget"/>
  </r>
  <r>
    <s v="Maruti Wagon R LXI"/>
    <x v="14"/>
    <n v="90000"/>
    <n v="70000"/>
    <x v="0"/>
    <x v="0"/>
    <x v="0"/>
    <s v="Second Owner"/>
    <n v="21"/>
    <s v="Budget"/>
  </r>
  <r>
    <s v="Maruti Alto LX"/>
    <x v="12"/>
    <n v="150000"/>
    <n v="140300"/>
    <x v="0"/>
    <x v="0"/>
    <x v="0"/>
    <s v="First Owner"/>
    <n v="20"/>
    <s v="Budget"/>
  </r>
  <r>
    <s v="Maruti Alto K10 2010-2014 VXI"/>
    <x v="10"/>
    <n v="115999"/>
    <n v="70000"/>
    <x v="0"/>
    <x v="0"/>
    <x v="0"/>
    <s v="First Owner"/>
    <n v="16"/>
    <s v="Budget"/>
  </r>
  <r>
    <s v="Maruti Wagon R VXI"/>
    <x v="4"/>
    <n v="375000"/>
    <n v="23000"/>
    <x v="0"/>
    <x v="1"/>
    <x v="0"/>
    <s v="Second Owner"/>
    <n v="10"/>
    <s v="Budget"/>
  </r>
  <r>
    <s v="Maruti Zen Estilo LXI BSIII"/>
    <x v="0"/>
    <n v="275000"/>
    <n v="10211"/>
    <x v="0"/>
    <x v="0"/>
    <x v="0"/>
    <s v="First Owner"/>
    <n v="19"/>
    <s v="Budget"/>
  </r>
  <r>
    <s v="Mahindra Scorpio 2.6 SLX Turbo 7 Seater"/>
    <x v="14"/>
    <n v="120000"/>
    <n v="120000"/>
    <x v="1"/>
    <x v="0"/>
    <x v="0"/>
    <s v="Third Owner"/>
    <n v="21"/>
    <s v="Budget"/>
  </r>
  <r>
    <s v="Maruti Celerio ZDi"/>
    <x v="5"/>
    <n v="350000"/>
    <n v="120000"/>
    <x v="1"/>
    <x v="0"/>
    <x v="0"/>
    <s v="First Owner"/>
    <n v="11"/>
    <s v="Budget"/>
  </r>
  <r>
    <s v="Maruti Celerio ZXI"/>
    <x v="2"/>
    <n v="409999"/>
    <n v="35000"/>
    <x v="0"/>
    <x v="0"/>
    <x v="0"/>
    <s v="First Owner"/>
    <n v="9"/>
    <s v="Budget"/>
  </r>
  <r>
    <s v="Hyundai Verna 1.6 SX"/>
    <x v="1"/>
    <n v="500000"/>
    <n v="130000"/>
    <x v="1"/>
    <x v="0"/>
    <x v="0"/>
    <s v="First Owner"/>
    <n v="14"/>
    <s v="Mid Range"/>
  </r>
  <r>
    <s v="Nissan Sunny Diesel XL"/>
    <x v="8"/>
    <n v="220000"/>
    <n v="90000"/>
    <x v="1"/>
    <x v="0"/>
    <x v="0"/>
    <s v="Second Owner"/>
    <n v="13"/>
    <s v="Budget"/>
  </r>
  <r>
    <s v="Ford Fiesta 1.6 Duratec EXI Ltd"/>
    <x v="15"/>
    <n v="120000"/>
    <n v="80000"/>
    <x v="0"/>
    <x v="0"/>
    <x v="0"/>
    <s v="Second Owner"/>
    <n v="18"/>
    <s v="Budget"/>
  </r>
  <r>
    <s v="Hyundai Santro Xing XK"/>
    <x v="0"/>
    <n v="70000"/>
    <n v="55000"/>
    <x v="0"/>
    <x v="0"/>
    <x v="0"/>
    <s v="Second Owner"/>
    <n v="19"/>
    <s v="Budget"/>
  </r>
  <r>
    <s v="Maruti Swift Dzire ZXI Plus"/>
    <x v="2"/>
    <n v="800000"/>
    <n v="15000"/>
    <x v="0"/>
    <x v="0"/>
    <x v="0"/>
    <s v="First Owner"/>
    <n v="9"/>
    <s v="Mid Range"/>
  </r>
  <r>
    <s v="Maruti Swift Dzire VDI"/>
    <x v="3"/>
    <n v="450000"/>
    <n v="260000"/>
    <x v="1"/>
    <x v="0"/>
    <x v="0"/>
    <s v="Second Owner"/>
    <n v="12"/>
    <s v="Budget"/>
  </r>
  <r>
    <s v="Mahindra Scorpio SLE BSIV"/>
    <x v="1"/>
    <n v="525000"/>
    <n v="145000"/>
    <x v="1"/>
    <x v="0"/>
    <x v="0"/>
    <s v="First Owner"/>
    <n v="14"/>
    <s v="Mid Range"/>
  </r>
  <r>
    <s v="Datsun GO Plus Remix Limited Edition"/>
    <x v="4"/>
    <n v="300000"/>
    <n v="35000"/>
    <x v="0"/>
    <x v="0"/>
    <x v="0"/>
    <s v="First Owner"/>
    <n v="10"/>
    <s v="Budget"/>
  </r>
  <r>
    <s v="Hyundai i10 Magna"/>
    <x v="15"/>
    <n v="195000"/>
    <n v="56000"/>
    <x v="0"/>
    <x v="0"/>
    <x v="0"/>
    <s v="Second Owner"/>
    <n v="18"/>
    <s v="Budget"/>
  </r>
  <r>
    <s v="Ford Fiesta Classic 1.4 SXI Duratorq"/>
    <x v="0"/>
    <n v="130000"/>
    <n v="98000"/>
    <x v="1"/>
    <x v="0"/>
    <x v="0"/>
    <s v="Second Owner"/>
    <n v="19"/>
    <s v="Budget"/>
  </r>
  <r>
    <s v="Toyota Etios VD"/>
    <x v="9"/>
    <n v="300000"/>
    <n v="135000"/>
    <x v="1"/>
    <x v="0"/>
    <x v="0"/>
    <s v="Second Owner"/>
    <n v="15"/>
    <s v="Budget"/>
  </r>
  <r>
    <s v="Maruti Alto VXi"/>
    <x v="19"/>
    <n v="120000"/>
    <n v="60000"/>
    <x v="0"/>
    <x v="0"/>
    <x v="0"/>
    <s v="Third Owner"/>
    <n v="24"/>
    <s v="Budget"/>
  </r>
  <r>
    <s v="Toyota Innova 2.5 G3"/>
    <x v="10"/>
    <n v="450000"/>
    <n v="120000"/>
    <x v="1"/>
    <x v="0"/>
    <x v="0"/>
    <s v="Third Owner"/>
    <n v="16"/>
    <s v="Budget"/>
  </r>
  <r>
    <s v="Tata Indigo LS"/>
    <x v="10"/>
    <n v="160000"/>
    <n v="102000"/>
    <x v="1"/>
    <x v="0"/>
    <x v="0"/>
    <s v="Second Owner"/>
    <n v="16"/>
    <s v="Budget"/>
  </r>
  <r>
    <s v="Mahindra Bolero Power Plus Plus AC BSIV PS"/>
    <x v="6"/>
    <n v="800000"/>
    <n v="35000"/>
    <x v="1"/>
    <x v="0"/>
    <x v="0"/>
    <s v="First Owner"/>
    <n v="8"/>
    <s v="Mid Range"/>
  </r>
  <r>
    <s v="Maruti 800 AC"/>
    <x v="8"/>
    <n v="100000"/>
    <n v="80000"/>
    <x v="0"/>
    <x v="0"/>
    <x v="0"/>
    <s v="First Owner"/>
    <n v="13"/>
    <s v="Budget"/>
  </r>
  <r>
    <s v="Maruti Alto 800 LXI"/>
    <x v="5"/>
    <n v="265000"/>
    <n v="32933"/>
    <x v="0"/>
    <x v="1"/>
    <x v="0"/>
    <s v="First Owner"/>
    <n v="11"/>
    <s v="Budget"/>
  </r>
  <r>
    <s v="Maruti Wagon R LXI"/>
    <x v="15"/>
    <n v="175000"/>
    <n v="54551"/>
    <x v="0"/>
    <x v="1"/>
    <x v="0"/>
    <s v="First Owner"/>
    <n v="18"/>
    <s v="Budget"/>
  </r>
  <r>
    <s v="Maruti Omni 8 Seater BSIV"/>
    <x v="3"/>
    <n v="250999"/>
    <n v="57112"/>
    <x v="0"/>
    <x v="1"/>
    <x v="0"/>
    <s v="First Owner"/>
    <n v="12"/>
    <s v="Budget"/>
  </r>
  <r>
    <s v="Hyundai Xcent 1.2 VTVT S AT"/>
    <x v="5"/>
    <n v="471000"/>
    <n v="41025"/>
    <x v="0"/>
    <x v="1"/>
    <x v="1"/>
    <s v="First Owner"/>
    <n v="11"/>
    <s v="Budget"/>
  </r>
  <r>
    <s v="Maruti Swift Dzire LDI"/>
    <x v="7"/>
    <n v="650000"/>
    <n v="5000"/>
    <x v="1"/>
    <x v="0"/>
    <x v="0"/>
    <s v="First Owner"/>
    <n v="7"/>
    <s v="Mid Range"/>
  </r>
  <r>
    <s v="Hyundai EON Magna"/>
    <x v="1"/>
    <n v="225000"/>
    <n v="53122"/>
    <x v="0"/>
    <x v="1"/>
    <x v="0"/>
    <s v="Second Owner"/>
    <n v="14"/>
    <s v="Budget"/>
  </r>
  <r>
    <s v="Maruti Alto 800 LXI CNG"/>
    <x v="8"/>
    <n v="245000"/>
    <n v="64111"/>
    <x v="2"/>
    <x v="1"/>
    <x v="0"/>
    <s v="First Owner"/>
    <n v="13"/>
    <s v="Budget"/>
  </r>
  <r>
    <s v="Maruti Ritz LXi"/>
    <x v="9"/>
    <n v="221000"/>
    <n v="78892"/>
    <x v="0"/>
    <x v="1"/>
    <x v="0"/>
    <s v="First Owner"/>
    <n v="15"/>
    <s v="Budget"/>
  </r>
  <r>
    <s v="Hyundai i20 1.2 Asta"/>
    <x v="9"/>
    <n v="271000"/>
    <n v="74113"/>
    <x v="0"/>
    <x v="1"/>
    <x v="0"/>
    <s v="First Owner"/>
    <n v="15"/>
    <s v="Budget"/>
  </r>
  <r>
    <s v="Maruti Wagon R VXI"/>
    <x v="1"/>
    <n v="290000"/>
    <n v="80000"/>
    <x v="0"/>
    <x v="1"/>
    <x v="0"/>
    <s v="First Owner"/>
    <n v="14"/>
    <s v="Budget"/>
  </r>
  <r>
    <s v="Maruti Swift VXi BSIV"/>
    <x v="2"/>
    <n v="525000"/>
    <n v="39000"/>
    <x v="0"/>
    <x v="1"/>
    <x v="0"/>
    <s v="First Owner"/>
    <n v="9"/>
    <s v="Mid Range"/>
  </r>
  <r>
    <s v="Volkswagen Vento 1.6 Highline"/>
    <x v="1"/>
    <n v="377000"/>
    <n v="84775"/>
    <x v="0"/>
    <x v="1"/>
    <x v="0"/>
    <s v="First Owner"/>
    <n v="14"/>
    <s v="Budget"/>
  </r>
  <r>
    <s v="Tata Nano LX SE"/>
    <x v="1"/>
    <n v="95000"/>
    <n v="20778"/>
    <x v="0"/>
    <x v="1"/>
    <x v="0"/>
    <s v="First Owner"/>
    <n v="14"/>
    <s v="Budget"/>
  </r>
  <r>
    <s v="Maruti Ertiga VDI"/>
    <x v="5"/>
    <n v="763000"/>
    <n v="64441"/>
    <x v="1"/>
    <x v="1"/>
    <x v="0"/>
    <s v="First Owner"/>
    <n v="11"/>
    <s v="Mid Range"/>
  </r>
  <r>
    <s v="Honda Amaze S i-Vtech"/>
    <x v="5"/>
    <n v="450000"/>
    <n v="43192"/>
    <x v="0"/>
    <x v="1"/>
    <x v="0"/>
    <s v="First Owner"/>
    <n v="11"/>
    <s v="Budget"/>
  </r>
  <r>
    <s v="Tata Nano Twist XE"/>
    <x v="3"/>
    <n v="140000"/>
    <n v="44416"/>
    <x v="0"/>
    <x v="1"/>
    <x v="0"/>
    <s v="First Owner"/>
    <n v="12"/>
    <s v="Budget"/>
  </r>
  <r>
    <s v="Maruti Ciaz VDi Plus SHVS"/>
    <x v="4"/>
    <n v="701000"/>
    <n v="79991"/>
    <x v="1"/>
    <x v="1"/>
    <x v="0"/>
    <s v="First Owner"/>
    <n v="10"/>
    <s v="Mid Range"/>
  </r>
  <r>
    <s v="Nissan Micra Diesel XV"/>
    <x v="9"/>
    <n v="277000"/>
    <n v="62601"/>
    <x v="1"/>
    <x v="1"/>
    <x v="0"/>
    <s v="Second Owner"/>
    <n v="15"/>
    <s v="Budget"/>
  </r>
  <r>
    <s v="Maruti Baleno Delta Automatic"/>
    <x v="6"/>
    <n v="520000"/>
    <n v="50000"/>
    <x v="0"/>
    <x v="0"/>
    <x v="1"/>
    <s v="First Owner"/>
    <n v="8"/>
    <s v="Mid Range"/>
  </r>
  <r>
    <s v="Ford Figo Aspire 1.5 TDCi Ambiente ABS"/>
    <x v="2"/>
    <n v="550000"/>
    <n v="100000"/>
    <x v="1"/>
    <x v="0"/>
    <x v="0"/>
    <s v="First Owner"/>
    <n v="9"/>
    <s v="Mid Range"/>
  </r>
  <r>
    <s v="Volkswagen Vento Diesel Highline"/>
    <x v="9"/>
    <n v="260000"/>
    <n v="97000"/>
    <x v="1"/>
    <x v="0"/>
    <x v="0"/>
    <s v="Third Owner"/>
    <n v="15"/>
    <s v="Budget"/>
  </r>
  <r>
    <s v="Renault Pulse RxZ"/>
    <x v="5"/>
    <n v="420000"/>
    <n v="100000"/>
    <x v="1"/>
    <x v="0"/>
    <x v="0"/>
    <s v="First Owner"/>
    <n v="11"/>
    <s v="Budget"/>
  </r>
  <r>
    <s v="OpelCorsa 1.4 GL"/>
    <x v="19"/>
    <n v="35000"/>
    <n v="100000"/>
    <x v="0"/>
    <x v="0"/>
    <x v="0"/>
    <s v="Third Owner"/>
    <n v="24"/>
    <s v="Budget"/>
  </r>
  <r>
    <s v="Mahindra XUV500 W7 BSIV"/>
    <x v="6"/>
    <n v="1150000"/>
    <n v="20000"/>
    <x v="1"/>
    <x v="0"/>
    <x v="0"/>
    <s v="First Owner"/>
    <n v="8"/>
    <s v="Premium"/>
  </r>
  <r>
    <s v="Maruti Ciaz 1.4 Zeta"/>
    <x v="2"/>
    <n v="680000"/>
    <n v="46000"/>
    <x v="0"/>
    <x v="0"/>
    <x v="0"/>
    <s v="First Owner"/>
    <n v="9"/>
    <s v="Mid Range"/>
  </r>
  <r>
    <s v="Maruti Swift VDI"/>
    <x v="1"/>
    <n v="425000"/>
    <n v="40000"/>
    <x v="1"/>
    <x v="0"/>
    <x v="0"/>
    <s v="First Owner"/>
    <n v="14"/>
    <s v="Budget"/>
  </r>
  <r>
    <s v="Maruti Swift Dzire LDI"/>
    <x v="3"/>
    <n v="450000"/>
    <n v="70000"/>
    <x v="1"/>
    <x v="0"/>
    <x v="0"/>
    <s v="Second Owner"/>
    <n v="12"/>
    <s v="Budget"/>
  </r>
  <r>
    <s v="Toyota Innova 2.5 GX (Diesel) 8 Seater BS IV"/>
    <x v="15"/>
    <n v="590000"/>
    <n v="89600"/>
    <x v="1"/>
    <x v="0"/>
    <x v="0"/>
    <s v="Third Owner"/>
    <n v="18"/>
    <s v="Mid Range"/>
  </r>
  <r>
    <s v="Volkswagen Jetta 1.4 TSI Comfortline"/>
    <x v="2"/>
    <n v="936999"/>
    <n v="60800"/>
    <x v="0"/>
    <x v="0"/>
    <x v="0"/>
    <s v="First Owner"/>
    <n v="9"/>
    <s v="Mid Range"/>
  </r>
  <r>
    <s v="Honda Mobilio S i DTEC"/>
    <x v="5"/>
    <n v="420000"/>
    <n v="104000"/>
    <x v="1"/>
    <x v="0"/>
    <x v="0"/>
    <s v="Second Owner"/>
    <n v="11"/>
    <s v="Budget"/>
  </r>
  <r>
    <s v="Volkswagen Polo 1.5 TDI Highline"/>
    <x v="3"/>
    <n v="450000"/>
    <n v="80000"/>
    <x v="1"/>
    <x v="0"/>
    <x v="0"/>
    <s v="Second Owner"/>
    <n v="12"/>
    <s v="Budget"/>
  </r>
  <r>
    <s v="Maruti 800 AC"/>
    <x v="16"/>
    <n v="40000"/>
    <n v="69111"/>
    <x v="0"/>
    <x v="0"/>
    <x v="0"/>
    <s v="Third Owner"/>
    <n v="22"/>
    <s v="Budget"/>
  </r>
  <r>
    <s v="Toyota Innova 2.5 G (Diesel) 8 Seater"/>
    <x v="3"/>
    <n v="520000"/>
    <n v="70000"/>
    <x v="1"/>
    <x v="0"/>
    <x v="0"/>
    <s v="Second Owner"/>
    <n v="12"/>
    <s v="Mid Range"/>
  </r>
  <r>
    <s v="Maruti 800 AC"/>
    <x v="0"/>
    <n v="80000"/>
    <n v="120000"/>
    <x v="0"/>
    <x v="0"/>
    <x v="0"/>
    <s v="First Owner"/>
    <n v="19"/>
    <s v="Budget"/>
  </r>
  <r>
    <s v="Tata Nano CX"/>
    <x v="3"/>
    <n v="55000"/>
    <n v="40000"/>
    <x v="0"/>
    <x v="0"/>
    <x v="0"/>
    <s v="First Owner"/>
    <n v="12"/>
    <s v="Budget"/>
  </r>
  <r>
    <s v="Mahindra Bolero DI DX 7 Seater"/>
    <x v="23"/>
    <n v="80000"/>
    <n v="100000"/>
    <x v="1"/>
    <x v="0"/>
    <x v="0"/>
    <s v="Third Owner"/>
    <n v="25"/>
    <s v="Budget"/>
  </r>
  <r>
    <s v="Maruti Alto 800 LXI"/>
    <x v="7"/>
    <n v="210000"/>
    <n v="20000"/>
    <x v="0"/>
    <x v="0"/>
    <x v="0"/>
    <s v="First Owner"/>
    <n v="7"/>
    <s v="Budget"/>
  </r>
  <r>
    <s v="Tata Tiago 1.05 Revotorq XM"/>
    <x v="2"/>
    <n v="260000"/>
    <n v="50000"/>
    <x v="1"/>
    <x v="0"/>
    <x v="0"/>
    <s v="First Owner"/>
    <n v="9"/>
    <s v="Budget"/>
  </r>
  <r>
    <s v="Tata Zest Quadrajet 1.3"/>
    <x v="4"/>
    <n v="250000"/>
    <n v="70000"/>
    <x v="1"/>
    <x v="0"/>
    <x v="0"/>
    <s v="First Owner"/>
    <n v="10"/>
    <s v="Budget"/>
  </r>
  <r>
    <s v="Tata Indica Vista Aqua TDI BSIII"/>
    <x v="15"/>
    <n v="80000"/>
    <n v="90000"/>
    <x v="1"/>
    <x v="0"/>
    <x v="0"/>
    <s v="First Owner"/>
    <n v="18"/>
    <s v="Budget"/>
  </r>
  <r>
    <s v="Toyota Innova 2.5 GX (Diesel) 7 Seater BS IV"/>
    <x v="10"/>
    <n v="450000"/>
    <n v="150000"/>
    <x v="1"/>
    <x v="0"/>
    <x v="0"/>
    <s v="Second Owner"/>
    <n v="16"/>
    <s v="Budget"/>
  </r>
  <r>
    <s v="Toyota Innova 2.5 G (Diesel) 8 Seater BS IV"/>
    <x v="14"/>
    <n v="310000"/>
    <n v="120000"/>
    <x v="1"/>
    <x v="0"/>
    <x v="0"/>
    <s v="Second Owner"/>
    <n v="21"/>
    <s v="Budget"/>
  </r>
  <r>
    <s v="Ford Figo Petrol EXI"/>
    <x v="3"/>
    <n v="350000"/>
    <n v="90000"/>
    <x v="0"/>
    <x v="0"/>
    <x v="0"/>
    <s v="Second Owner"/>
    <n v="12"/>
    <s v="Budget"/>
  </r>
  <r>
    <s v="Maruti SX4 VDI"/>
    <x v="9"/>
    <n v="320000"/>
    <n v="100000"/>
    <x v="1"/>
    <x v="0"/>
    <x v="0"/>
    <s v="First Owner"/>
    <n v="15"/>
    <s v="Budget"/>
  </r>
  <r>
    <s v="Honda Amaze S i-DTEC"/>
    <x v="4"/>
    <n v="475000"/>
    <n v="90000"/>
    <x v="1"/>
    <x v="0"/>
    <x v="0"/>
    <s v="First Owner"/>
    <n v="10"/>
    <s v="Budget"/>
  </r>
  <r>
    <s v="Tata Manza Aura (ABS) Quadrajet BS IV"/>
    <x v="9"/>
    <n v="220000"/>
    <n v="140000"/>
    <x v="1"/>
    <x v="0"/>
    <x v="0"/>
    <s v="Second Owner"/>
    <n v="15"/>
    <s v="Budget"/>
  </r>
  <r>
    <s v="Tata Indica GLS BS IV"/>
    <x v="15"/>
    <n v="70000"/>
    <n v="60000"/>
    <x v="0"/>
    <x v="0"/>
    <x v="0"/>
    <s v="First Owner"/>
    <n v="18"/>
    <s v="Budget"/>
  </r>
  <r>
    <s v="Chevrolet Sail Hatchback 1.3 TCDi"/>
    <x v="5"/>
    <n v="281000"/>
    <n v="40000"/>
    <x v="1"/>
    <x v="0"/>
    <x v="0"/>
    <s v="First Owner"/>
    <n v="11"/>
    <s v="Budget"/>
  </r>
  <r>
    <s v="Tata Indigo Grand Dicor"/>
    <x v="8"/>
    <n v="211000"/>
    <n v="80000"/>
    <x v="1"/>
    <x v="0"/>
    <x v="0"/>
    <s v="First Owner"/>
    <n v="13"/>
    <s v="Budget"/>
  </r>
  <r>
    <s v="Hyundai Elite i20 Petrol Magna Exective"/>
    <x v="6"/>
    <n v="550000"/>
    <n v="11000"/>
    <x v="0"/>
    <x v="0"/>
    <x v="0"/>
    <s v="First Owner"/>
    <n v="8"/>
    <s v="Mid Range"/>
  </r>
  <r>
    <s v="Chevrolet Enjoy TCDi LT 8 Seater"/>
    <x v="3"/>
    <n v="350000"/>
    <n v="110000"/>
    <x v="1"/>
    <x v="0"/>
    <x v="0"/>
    <s v="First Owner"/>
    <n v="12"/>
    <s v="Budget"/>
  </r>
  <r>
    <s v="Maruti Wagon R VXI AMT"/>
    <x v="2"/>
    <n v="420000"/>
    <n v="19890"/>
    <x v="0"/>
    <x v="1"/>
    <x v="1"/>
    <s v="First Owner"/>
    <n v="9"/>
    <s v="Budget"/>
  </r>
  <r>
    <s v="Renault KWID RXT"/>
    <x v="5"/>
    <n v="270000"/>
    <n v="20969"/>
    <x v="0"/>
    <x v="1"/>
    <x v="0"/>
    <s v="First Owner"/>
    <n v="11"/>
    <s v="Budget"/>
  </r>
  <r>
    <s v="Maruti Celerio VXI"/>
    <x v="4"/>
    <n v="399000"/>
    <n v="20194"/>
    <x v="0"/>
    <x v="1"/>
    <x v="0"/>
    <s v="First Owner"/>
    <n v="10"/>
    <s v="Budget"/>
  </r>
  <r>
    <s v="Ford Figo Trend"/>
    <x v="4"/>
    <n v="440000"/>
    <n v="34982"/>
    <x v="0"/>
    <x v="1"/>
    <x v="0"/>
    <s v="First Owner"/>
    <n v="10"/>
    <s v="Budget"/>
  </r>
  <r>
    <s v="Hyundai EON Magna"/>
    <x v="1"/>
    <n v="250000"/>
    <n v="44588"/>
    <x v="0"/>
    <x v="1"/>
    <x v="0"/>
    <s v="First Owner"/>
    <n v="14"/>
    <s v="Budget"/>
  </r>
  <r>
    <s v="Ford Ecosport 1.5 Diesel Titanium"/>
    <x v="4"/>
    <n v="650000"/>
    <n v="57904"/>
    <x v="1"/>
    <x v="1"/>
    <x v="0"/>
    <s v="First Owner"/>
    <n v="10"/>
    <s v="Mid Range"/>
  </r>
  <r>
    <s v="Maruti Alto K10 VXI"/>
    <x v="5"/>
    <n v="270000"/>
    <n v="59258"/>
    <x v="0"/>
    <x v="1"/>
    <x v="0"/>
    <s v="First Owner"/>
    <n v="11"/>
    <s v="Budget"/>
  </r>
  <r>
    <s v="Ford Figo Trend"/>
    <x v="4"/>
    <n v="390000"/>
    <n v="60826"/>
    <x v="0"/>
    <x v="1"/>
    <x v="0"/>
    <s v="First Owner"/>
    <n v="10"/>
    <s v="Budget"/>
  </r>
  <r>
    <s v="Mahindra XUV500 W10 2WD"/>
    <x v="6"/>
    <n v="1500000"/>
    <n v="50000"/>
    <x v="1"/>
    <x v="0"/>
    <x v="0"/>
    <s v="First Owner"/>
    <n v="8"/>
    <s v="Premium"/>
  </r>
  <r>
    <s v="Maruti 800 AC"/>
    <x v="3"/>
    <n v="225000"/>
    <n v="35000"/>
    <x v="0"/>
    <x v="0"/>
    <x v="0"/>
    <s v="First Owner"/>
    <n v="12"/>
    <s v="Budget"/>
  </r>
  <r>
    <s v="Mahindra XUV500 W8 2WD"/>
    <x v="5"/>
    <n v="900000"/>
    <n v="110000"/>
    <x v="1"/>
    <x v="0"/>
    <x v="0"/>
    <s v="Second Owner"/>
    <n v="11"/>
    <s v="Mid Range"/>
  </r>
  <r>
    <s v="Hyundai Tucson 2.0 e-VGT 2WD AT GL"/>
    <x v="6"/>
    <n v="1600000"/>
    <n v="40000"/>
    <x v="1"/>
    <x v="0"/>
    <x v="1"/>
    <s v="First Owner"/>
    <n v="8"/>
    <s v="Premium"/>
  </r>
  <r>
    <s v="Tata Nexon 1.2 Revotron XZ Plus Dual Tone"/>
    <x v="7"/>
    <n v="800000"/>
    <n v="10000"/>
    <x v="0"/>
    <x v="0"/>
    <x v="0"/>
    <s v="First Owner"/>
    <n v="7"/>
    <s v="Mid Range"/>
  </r>
  <r>
    <s v="Honda Amaze E i-Dtech"/>
    <x v="8"/>
    <n v="320000"/>
    <n v="50000"/>
    <x v="1"/>
    <x v="0"/>
    <x v="0"/>
    <s v="First Owner"/>
    <n v="13"/>
    <s v="Budget"/>
  </r>
  <r>
    <s v="Maruti Alto 800 LXI"/>
    <x v="4"/>
    <n v="300000"/>
    <n v="25000"/>
    <x v="0"/>
    <x v="0"/>
    <x v="0"/>
    <s v="First Owner"/>
    <n v="10"/>
    <s v="Budget"/>
  </r>
  <r>
    <s v="Hyundai i20 1.2 Asta Dual Tone"/>
    <x v="6"/>
    <n v="740000"/>
    <n v="25000"/>
    <x v="0"/>
    <x v="0"/>
    <x v="0"/>
    <s v="First Owner"/>
    <n v="8"/>
    <s v="Mid Range"/>
  </r>
  <r>
    <s v="Datsun RediGO SV 1.0"/>
    <x v="7"/>
    <n v="350000"/>
    <n v="1300"/>
    <x v="0"/>
    <x v="0"/>
    <x v="0"/>
    <s v="First Owner"/>
    <n v="7"/>
    <s v="Budget"/>
  </r>
  <r>
    <s v="Datsun GO T BSIV"/>
    <x v="3"/>
    <n v="280000"/>
    <n v="40000"/>
    <x v="0"/>
    <x v="0"/>
    <x v="0"/>
    <s v="First Owner"/>
    <n v="12"/>
    <s v="Budget"/>
  </r>
  <r>
    <s v="Maruti Swift Dzire AMT VDI"/>
    <x v="6"/>
    <n v="675000"/>
    <n v="50000"/>
    <x v="1"/>
    <x v="0"/>
    <x v="1"/>
    <s v="First Owner"/>
    <n v="8"/>
    <s v="Mid Range"/>
  </r>
  <r>
    <s v="Hyundai i10 Era 1.1 iTech SE"/>
    <x v="9"/>
    <n v="300000"/>
    <n v="20000"/>
    <x v="0"/>
    <x v="0"/>
    <x v="0"/>
    <s v="First Owner"/>
    <n v="15"/>
    <s v="Budget"/>
  </r>
  <r>
    <s v="Chevrolet Captiva 2.0L VCDi"/>
    <x v="9"/>
    <n v="400000"/>
    <n v="76000"/>
    <x v="1"/>
    <x v="0"/>
    <x v="0"/>
    <s v="Third Owner"/>
    <n v="15"/>
    <s v="Budget"/>
  </r>
  <r>
    <s v="Mahindra Scorpio VLX 2WD BSIV"/>
    <x v="10"/>
    <n v="420000"/>
    <n v="100000"/>
    <x v="1"/>
    <x v="0"/>
    <x v="0"/>
    <s v="Third Owner"/>
    <n v="16"/>
    <s v="Budget"/>
  </r>
  <r>
    <s v="Tata New Safari 3L Dicor LX 4x2"/>
    <x v="15"/>
    <n v="300000"/>
    <n v="120000"/>
    <x v="1"/>
    <x v="0"/>
    <x v="0"/>
    <s v="First Owner"/>
    <n v="18"/>
    <s v="Budget"/>
  </r>
  <r>
    <s v="Maruti Wagon R VXI Minor"/>
    <x v="10"/>
    <n v="170000"/>
    <n v="70000"/>
    <x v="0"/>
    <x v="0"/>
    <x v="0"/>
    <s v="First Owner"/>
    <n v="16"/>
    <s v="Budget"/>
  </r>
  <r>
    <s v="Hyundai EON Era Plus"/>
    <x v="3"/>
    <n v="210000"/>
    <n v="70000"/>
    <x v="0"/>
    <x v="0"/>
    <x v="0"/>
    <s v="Third Owner"/>
    <n v="12"/>
    <s v="Budget"/>
  </r>
  <r>
    <s v="Maruti Ertiga VDI"/>
    <x v="5"/>
    <n v="600000"/>
    <n v="60000"/>
    <x v="1"/>
    <x v="0"/>
    <x v="0"/>
    <s v="Second Owner"/>
    <n v="11"/>
    <s v="Mid Range"/>
  </r>
  <r>
    <s v="Maruti Wagon R VXI BS IV"/>
    <x v="3"/>
    <n v="260000"/>
    <n v="38000"/>
    <x v="0"/>
    <x v="0"/>
    <x v="0"/>
    <s v="Second Owner"/>
    <n v="12"/>
    <s v="Budget"/>
  </r>
  <r>
    <s v="Tata Nano Twist XT"/>
    <x v="5"/>
    <n v="82000"/>
    <n v="19000"/>
    <x v="0"/>
    <x v="0"/>
    <x v="0"/>
    <s v="First Owner"/>
    <n v="11"/>
    <s v="Budget"/>
  </r>
  <r>
    <s v="Mahindra TUV 300 T8"/>
    <x v="4"/>
    <n v="690000"/>
    <n v="75000"/>
    <x v="1"/>
    <x v="0"/>
    <x v="0"/>
    <s v="First Owner"/>
    <n v="10"/>
    <s v="Mid Range"/>
  </r>
  <r>
    <s v="Hyundai Grand i10 CRDi Asta"/>
    <x v="5"/>
    <n v="300000"/>
    <n v="70000"/>
    <x v="1"/>
    <x v="0"/>
    <x v="0"/>
    <s v="First Owner"/>
    <n v="11"/>
    <s v="Budget"/>
  </r>
  <r>
    <s v="Honda BRV i-DTEC V MT"/>
    <x v="2"/>
    <n v="1250000"/>
    <n v="30000"/>
    <x v="1"/>
    <x v="0"/>
    <x v="0"/>
    <s v="First Owner"/>
    <n v="9"/>
    <s v="Premium"/>
  </r>
  <r>
    <s v="Hyundai Verna CRDi 1.6 EX"/>
    <x v="2"/>
    <n v="799000"/>
    <n v="31707"/>
    <x v="1"/>
    <x v="0"/>
    <x v="0"/>
    <s v="First Owner"/>
    <n v="9"/>
    <s v="Mid Range"/>
  </r>
  <r>
    <s v="Toyota Fortuner 3.0 Diesel"/>
    <x v="10"/>
    <n v="1000000"/>
    <n v="180000"/>
    <x v="1"/>
    <x v="0"/>
    <x v="0"/>
    <s v="First Owner"/>
    <n v="16"/>
    <s v="Mid Range"/>
  </r>
  <r>
    <s v="Maruti Alto 800 LXI"/>
    <x v="3"/>
    <n v="190000"/>
    <n v="90000"/>
    <x v="0"/>
    <x v="0"/>
    <x v="0"/>
    <s v="Second Owner"/>
    <n v="12"/>
    <s v="Budget"/>
  </r>
  <r>
    <s v="Mahindra Verito 1.5 D2 BSIII"/>
    <x v="3"/>
    <n v="250000"/>
    <n v="30000"/>
    <x v="1"/>
    <x v="0"/>
    <x v="0"/>
    <s v="First Owner"/>
    <n v="12"/>
    <s v="Budget"/>
  </r>
  <r>
    <s v="Hyundai Verna 1.6 i ABS"/>
    <x v="11"/>
    <n v="200000"/>
    <n v="60000"/>
    <x v="0"/>
    <x v="0"/>
    <x v="0"/>
    <s v="First Owner"/>
    <n v="17"/>
    <s v="Budget"/>
  </r>
  <r>
    <s v="Mahindra Bolero DI"/>
    <x v="14"/>
    <n v="300000"/>
    <n v="90000"/>
    <x v="1"/>
    <x v="0"/>
    <x v="0"/>
    <s v="Second Owner"/>
    <n v="21"/>
    <s v="Budget"/>
  </r>
  <r>
    <s v="Tata Zest Revotron 1.2T XMS"/>
    <x v="5"/>
    <n v="250000"/>
    <n v="120000"/>
    <x v="0"/>
    <x v="0"/>
    <x v="0"/>
    <s v="Second Owner"/>
    <n v="11"/>
    <s v="Budget"/>
  </r>
  <r>
    <s v="Maruti 800 AC"/>
    <x v="15"/>
    <n v="90000"/>
    <n v="70000"/>
    <x v="0"/>
    <x v="0"/>
    <x v="0"/>
    <s v="Third Owner"/>
    <n v="18"/>
    <s v="Budget"/>
  </r>
  <r>
    <s v="Renault Duster 85PS Diesel RxL"/>
    <x v="4"/>
    <n v="700000"/>
    <n v="160000"/>
    <x v="1"/>
    <x v="0"/>
    <x v="0"/>
    <s v="First Owner"/>
    <n v="10"/>
    <s v="Mid Range"/>
  </r>
  <r>
    <s v="Volvo XC60 D3 Kinetic"/>
    <x v="1"/>
    <n v="1750000"/>
    <n v="115992"/>
    <x v="1"/>
    <x v="1"/>
    <x v="1"/>
    <s v="Third Owner"/>
    <n v="14"/>
    <s v="Premium"/>
  </r>
  <r>
    <s v="Maruti Wagon R VXI Optional"/>
    <x v="2"/>
    <n v="290000"/>
    <n v="110000"/>
    <x v="0"/>
    <x v="0"/>
    <x v="0"/>
    <s v="Second Owner"/>
    <n v="9"/>
    <s v="Budget"/>
  </r>
  <r>
    <s v="Toyota Innova 2.5 Z Diesel 7 Seater BS IV"/>
    <x v="3"/>
    <n v="1050000"/>
    <n v="97000"/>
    <x v="1"/>
    <x v="0"/>
    <x v="0"/>
    <s v="Second Owner"/>
    <n v="12"/>
    <s v="Premium"/>
  </r>
  <r>
    <s v="Tata Indigo LX Dicor"/>
    <x v="15"/>
    <n v="70000"/>
    <n v="100000"/>
    <x v="1"/>
    <x v="0"/>
    <x v="0"/>
    <s v="Third Owner"/>
    <n v="18"/>
    <s v="Budget"/>
  </r>
  <r>
    <s v="Maruti Swift ZDi BSIV"/>
    <x v="4"/>
    <n v="520000"/>
    <n v="41000"/>
    <x v="1"/>
    <x v="0"/>
    <x v="0"/>
    <s v="First Owner"/>
    <n v="10"/>
    <s v="Mid Range"/>
  </r>
  <r>
    <s v="Tata Indigo LS"/>
    <x v="1"/>
    <n v="150000"/>
    <n v="90000"/>
    <x v="1"/>
    <x v="0"/>
    <x v="0"/>
    <s v="First Owner"/>
    <n v="14"/>
    <s v="Budget"/>
  </r>
  <r>
    <s v="Hyundai i10 Magna 1.1"/>
    <x v="15"/>
    <n v="120000"/>
    <n v="90000"/>
    <x v="0"/>
    <x v="0"/>
    <x v="0"/>
    <s v="First Owner"/>
    <n v="18"/>
    <s v="Budget"/>
  </r>
  <r>
    <s v="Hyundai i20 Asta Option 1.2"/>
    <x v="4"/>
    <n v="600000"/>
    <n v="25000"/>
    <x v="0"/>
    <x v="0"/>
    <x v="0"/>
    <s v="First Owner"/>
    <n v="10"/>
    <s v="Mid Range"/>
  </r>
  <r>
    <s v="Tata Xenon XT EX 4X4"/>
    <x v="10"/>
    <n v="150000"/>
    <n v="70000"/>
    <x v="1"/>
    <x v="0"/>
    <x v="0"/>
    <s v="Second Owner"/>
    <n v="16"/>
    <s v="Budget"/>
  </r>
  <r>
    <s v="Volkswagen Vento Petrol Highline"/>
    <x v="9"/>
    <n v="400000"/>
    <n v="60000"/>
    <x v="0"/>
    <x v="0"/>
    <x v="0"/>
    <s v="First Owner"/>
    <n v="15"/>
    <s v="Budget"/>
  </r>
  <r>
    <s v="Maruti Alto 800 LXI"/>
    <x v="5"/>
    <n v="310000"/>
    <n v="30000"/>
    <x v="0"/>
    <x v="0"/>
    <x v="0"/>
    <s v="Second Owner"/>
    <n v="11"/>
    <s v="Budget"/>
  </r>
  <r>
    <s v="Maruti Baleno Alpha 1.2"/>
    <x v="5"/>
    <n v="550000"/>
    <n v="30000"/>
    <x v="0"/>
    <x v="0"/>
    <x v="0"/>
    <s v="First Owner"/>
    <n v="11"/>
    <s v="Mid Range"/>
  </r>
  <r>
    <s v="Hyundai i20 Asta Option 1.4 CRDi"/>
    <x v="4"/>
    <n v="550000"/>
    <n v="60000"/>
    <x v="1"/>
    <x v="0"/>
    <x v="0"/>
    <s v="First Owner"/>
    <n v="10"/>
    <s v="Mid Range"/>
  </r>
  <r>
    <s v="Hyundai Grand i10 CRDi Magna"/>
    <x v="8"/>
    <n v="320000"/>
    <n v="73000"/>
    <x v="1"/>
    <x v="0"/>
    <x v="0"/>
    <s v="First Owner"/>
    <n v="13"/>
    <s v="Budget"/>
  </r>
  <r>
    <s v="Maruti 800 AC BSII"/>
    <x v="26"/>
    <n v="50000"/>
    <n v="100000"/>
    <x v="0"/>
    <x v="0"/>
    <x v="0"/>
    <s v="Fourth &amp; Above Owner"/>
    <n v="34"/>
    <s v="Budget"/>
  </r>
  <r>
    <s v="Maruti Vitara Brezza VDi Option"/>
    <x v="2"/>
    <n v="700000"/>
    <n v="50000"/>
    <x v="1"/>
    <x v="0"/>
    <x v="0"/>
    <s v="Second Owner"/>
    <n v="9"/>
    <s v="Mid Range"/>
  </r>
  <r>
    <s v="Maruti Ertiga VDI"/>
    <x v="1"/>
    <n v="700000"/>
    <n v="110000"/>
    <x v="1"/>
    <x v="0"/>
    <x v="0"/>
    <s v="Second Owner"/>
    <n v="14"/>
    <s v="Mid Range"/>
  </r>
  <r>
    <s v="Hyundai i20 1.4 Sportz"/>
    <x v="2"/>
    <n v="655000"/>
    <n v="84000"/>
    <x v="1"/>
    <x v="1"/>
    <x v="0"/>
    <s v="First Owner"/>
    <n v="9"/>
    <s v="Mid Range"/>
  </r>
  <r>
    <s v="Chevrolet Beat LT LPG"/>
    <x v="9"/>
    <n v="200000"/>
    <n v="110000"/>
    <x v="3"/>
    <x v="0"/>
    <x v="0"/>
    <s v="First Owner"/>
    <n v="15"/>
    <s v="Budget"/>
  </r>
  <r>
    <s v="Renault Duster 85PS Diesel RxL Optional"/>
    <x v="1"/>
    <n v="375000"/>
    <n v="150000"/>
    <x v="1"/>
    <x v="0"/>
    <x v="0"/>
    <s v="First Owner"/>
    <n v="14"/>
    <s v="Budget"/>
  </r>
  <r>
    <s v="Hyundai Verna 1.6 SX"/>
    <x v="1"/>
    <n v="470000"/>
    <n v="109052"/>
    <x v="1"/>
    <x v="1"/>
    <x v="0"/>
    <s v="First Owner"/>
    <n v="14"/>
    <s v="Budget"/>
  </r>
  <r>
    <s v="Maruti Ciaz VDi"/>
    <x v="5"/>
    <n v="550000"/>
    <n v="90658"/>
    <x v="1"/>
    <x v="1"/>
    <x v="0"/>
    <s v="First Owner"/>
    <n v="11"/>
    <s v="Mid Range"/>
  </r>
  <r>
    <s v="Honda Amaze VX i-DTEC"/>
    <x v="3"/>
    <n v="500000"/>
    <n v="110000"/>
    <x v="1"/>
    <x v="0"/>
    <x v="0"/>
    <s v="Second Owner"/>
    <n v="12"/>
    <s v="Mid Range"/>
  </r>
  <r>
    <s v="Datsun GO T Option BSIV"/>
    <x v="5"/>
    <n v="210000"/>
    <n v="25000"/>
    <x v="0"/>
    <x v="0"/>
    <x v="0"/>
    <s v="First Owner"/>
    <n v="11"/>
    <s v="Budget"/>
  </r>
  <r>
    <s v="Mercedes-Benz E-Class E250 Edition E"/>
    <x v="8"/>
    <n v="1451000"/>
    <n v="81000"/>
    <x v="1"/>
    <x v="1"/>
    <x v="1"/>
    <s v="First Owner"/>
    <n v="13"/>
    <s v="Premium"/>
  </r>
  <r>
    <s v="Hyundai Verna SX AT Diesel"/>
    <x v="11"/>
    <n v="245000"/>
    <n v="75000"/>
    <x v="1"/>
    <x v="1"/>
    <x v="1"/>
    <s v="First Owner"/>
    <n v="17"/>
    <s v="Budget"/>
  </r>
  <r>
    <s v="Honda WR-V i-VTEC VX"/>
    <x v="2"/>
    <n v="700000"/>
    <n v="25552"/>
    <x v="0"/>
    <x v="1"/>
    <x v="0"/>
    <s v="Second Owner"/>
    <n v="9"/>
    <s v="Mid Range"/>
  </r>
  <r>
    <s v="Hyundai EON Magna Plus"/>
    <x v="6"/>
    <n v="300000"/>
    <n v="20000"/>
    <x v="0"/>
    <x v="0"/>
    <x v="0"/>
    <s v="First Owner"/>
    <n v="8"/>
    <s v="Budget"/>
  </r>
  <r>
    <s v="Hyundai Xcent 1.2 CRDi E"/>
    <x v="2"/>
    <n v="350000"/>
    <n v="80000"/>
    <x v="1"/>
    <x v="0"/>
    <x v="0"/>
    <s v="First Owner"/>
    <n v="9"/>
    <s v="Budget"/>
  </r>
  <r>
    <s v="Hyundai Elite i20 Asta Option CVT BSIV"/>
    <x v="2"/>
    <n v="635000"/>
    <n v="25000"/>
    <x v="0"/>
    <x v="1"/>
    <x v="1"/>
    <s v="First Owner"/>
    <n v="9"/>
    <s v="Mid Range"/>
  </r>
  <r>
    <s v="Honda City S"/>
    <x v="1"/>
    <n v="325000"/>
    <n v="40700"/>
    <x v="0"/>
    <x v="0"/>
    <x v="0"/>
    <s v="First Owner"/>
    <n v="14"/>
    <s v="Budget"/>
  </r>
  <r>
    <s v="Mahindra XUV500 AT W10 1.99 mHawk"/>
    <x v="2"/>
    <n v="1150000"/>
    <n v="65500"/>
    <x v="1"/>
    <x v="1"/>
    <x v="1"/>
    <s v="First Owner"/>
    <n v="9"/>
    <s v="Premium"/>
  </r>
  <r>
    <s v="Tata Indigo GLE BSIII"/>
    <x v="15"/>
    <n v="110000"/>
    <n v="42000"/>
    <x v="0"/>
    <x v="1"/>
    <x v="0"/>
    <s v="First Owner"/>
    <n v="18"/>
    <s v="Budget"/>
  </r>
  <r>
    <s v="Honda City 1.5 V MT"/>
    <x v="6"/>
    <n v="890000"/>
    <n v="8000"/>
    <x v="0"/>
    <x v="1"/>
    <x v="0"/>
    <s v="First Owner"/>
    <n v="8"/>
    <s v="Mid Range"/>
  </r>
  <r>
    <s v="Maruti Swift 1.3 LXI"/>
    <x v="0"/>
    <n v="73000"/>
    <n v="80000"/>
    <x v="0"/>
    <x v="0"/>
    <x v="0"/>
    <s v="Second Owner"/>
    <n v="19"/>
    <s v="Budget"/>
  </r>
  <r>
    <s v="Maruti Ciaz ZXi Plus"/>
    <x v="4"/>
    <n v="750000"/>
    <n v="6000"/>
    <x v="0"/>
    <x v="1"/>
    <x v="0"/>
    <s v="First Owner"/>
    <n v="10"/>
    <s v="Mid Range"/>
  </r>
  <r>
    <s v="Maruti Baleno Alpha 1.2"/>
    <x v="6"/>
    <n v="690000"/>
    <n v="11174"/>
    <x v="0"/>
    <x v="1"/>
    <x v="0"/>
    <s v="First Owner"/>
    <n v="8"/>
    <s v="Mid Range"/>
  </r>
  <r>
    <s v="Tata Indigo GLS"/>
    <x v="15"/>
    <n v="130000"/>
    <n v="120000"/>
    <x v="0"/>
    <x v="0"/>
    <x v="0"/>
    <s v="First Owner"/>
    <n v="18"/>
    <s v="Budget"/>
  </r>
  <r>
    <s v="Hyundai Santro Xing GLS"/>
    <x v="0"/>
    <n v="85000"/>
    <n v="85000"/>
    <x v="0"/>
    <x v="0"/>
    <x v="0"/>
    <s v="Second Owner"/>
    <n v="19"/>
    <s v="Budget"/>
  </r>
  <r>
    <s v="Hyundai Elantra 2.0 SX AT"/>
    <x v="6"/>
    <n v="1575000"/>
    <n v="10000"/>
    <x v="0"/>
    <x v="0"/>
    <x v="1"/>
    <s v="First Owner"/>
    <n v="8"/>
    <s v="Premium"/>
  </r>
  <r>
    <s v="Nissan Sunny Diesel XV"/>
    <x v="8"/>
    <n v="325000"/>
    <n v="105000"/>
    <x v="1"/>
    <x v="0"/>
    <x v="0"/>
    <s v="First Owner"/>
    <n v="13"/>
    <s v="Budget"/>
  </r>
  <r>
    <s v="Honda City 1.3 EXI"/>
    <x v="17"/>
    <n v="85000"/>
    <n v="120000"/>
    <x v="0"/>
    <x v="0"/>
    <x v="0"/>
    <s v="Second Owner"/>
    <n v="28"/>
    <s v="Budget"/>
  </r>
  <r>
    <s v="Hyundai Verna 1.6 CRDI SX Option"/>
    <x v="6"/>
    <n v="860000"/>
    <n v="30000"/>
    <x v="1"/>
    <x v="1"/>
    <x v="0"/>
    <s v="Second Owner"/>
    <n v="8"/>
    <s v="Mid Range"/>
  </r>
  <r>
    <s v="Maruti S-Cross Sigma DDiS 200 SH"/>
    <x v="2"/>
    <n v="690000"/>
    <n v="41000"/>
    <x v="1"/>
    <x v="0"/>
    <x v="0"/>
    <s v="First Owner"/>
    <n v="9"/>
    <s v="Mid Range"/>
  </r>
  <r>
    <s v="Hyundai Elantra CRDi S"/>
    <x v="8"/>
    <n v="650000"/>
    <n v="54000"/>
    <x v="1"/>
    <x v="1"/>
    <x v="0"/>
    <s v="First Owner"/>
    <n v="13"/>
    <s v="Mid Range"/>
  </r>
  <r>
    <s v="Chevrolet Sail LS ABS"/>
    <x v="3"/>
    <n v="375000"/>
    <n v="40000"/>
    <x v="1"/>
    <x v="0"/>
    <x v="0"/>
    <s v="First Owner"/>
    <n v="12"/>
    <s v="Budget"/>
  </r>
  <r>
    <s v="Hyundai Verna 1.6 SX CRDi (O)"/>
    <x v="8"/>
    <n v="525000"/>
    <n v="71000"/>
    <x v="1"/>
    <x v="1"/>
    <x v="0"/>
    <s v="First Owner"/>
    <n v="13"/>
    <s v="Mid Range"/>
  </r>
  <r>
    <s v="Maruti Eeco Smiles 5 Seater AC"/>
    <x v="4"/>
    <n v="330000"/>
    <n v="72500"/>
    <x v="0"/>
    <x v="1"/>
    <x v="0"/>
    <s v="First Owner"/>
    <n v="10"/>
    <s v="Budget"/>
  </r>
  <r>
    <s v="Maruti Eeco Smiles 5 Seater AC"/>
    <x v="8"/>
    <n v="280000"/>
    <n v="76600"/>
    <x v="0"/>
    <x v="1"/>
    <x v="0"/>
    <s v="First Owner"/>
    <n v="13"/>
    <s v="Budget"/>
  </r>
  <r>
    <s v="Maruti Swift ZXI"/>
    <x v="3"/>
    <n v="470000"/>
    <n v="40000"/>
    <x v="0"/>
    <x v="0"/>
    <x v="0"/>
    <s v="First Owner"/>
    <n v="12"/>
    <s v="Budget"/>
  </r>
  <r>
    <s v="Volkswagen Polo Diesel Trendline 1.2L"/>
    <x v="9"/>
    <n v="350000"/>
    <n v="110000"/>
    <x v="1"/>
    <x v="0"/>
    <x v="0"/>
    <s v="First Owner"/>
    <n v="15"/>
    <s v="Budget"/>
  </r>
  <r>
    <s v="Honda City 1.5 V Elegance"/>
    <x v="1"/>
    <n v="480000"/>
    <n v="63000"/>
    <x v="0"/>
    <x v="1"/>
    <x v="0"/>
    <s v="First Owner"/>
    <n v="14"/>
    <s v="Budget"/>
  </r>
  <r>
    <s v="Hyundai Verna 1.6 CRDi SX"/>
    <x v="4"/>
    <n v="620000"/>
    <n v="60000"/>
    <x v="1"/>
    <x v="0"/>
    <x v="0"/>
    <s v="First Owner"/>
    <n v="10"/>
    <s v="Mid Range"/>
  </r>
  <r>
    <s v="Datsun GO T BSIV"/>
    <x v="3"/>
    <n v="250000"/>
    <n v="58000"/>
    <x v="0"/>
    <x v="0"/>
    <x v="0"/>
    <s v="First Owner"/>
    <n v="12"/>
    <s v="Budget"/>
  </r>
  <r>
    <s v="Chevrolet Spark 1.0"/>
    <x v="10"/>
    <n v="78692"/>
    <n v="80000"/>
    <x v="0"/>
    <x v="0"/>
    <x v="0"/>
    <s v="Second Owner"/>
    <n v="16"/>
    <s v="Budget"/>
  </r>
  <r>
    <s v="Hyundai i20 Magna Optional 1.4 CRDi"/>
    <x v="1"/>
    <n v="350000"/>
    <n v="80000"/>
    <x v="1"/>
    <x v="0"/>
    <x v="0"/>
    <s v="First Owner"/>
    <n v="14"/>
    <s v="Budget"/>
  </r>
  <r>
    <s v="Maruti Wagon R LX Minor"/>
    <x v="8"/>
    <n v="250000"/>
    <n v="70000"/>
    <x v="0"/>
    <x v="0"/>
    <x v="0"/>
    <s v="Second Owner"/>
    <n v="13"/>
    <s v="Budget"/>
  </r>
  <r>
    <s v="Hyundai i20 1.2 Sportz"/>
    <x v="9"/>
    <n v="260000"/>
    <n v="97700"/>
    <x v="0"/>
    <x v="0"/>
    <x v="0"/>
    <s v="Fourth &amp; Above Owner"/>
    <n v="15"/>
    <s v="Budget"/>
  </r>
  <r>
    <s v="Honda Mobilio S i DTEC"/>
    <x v="4"/>
    <n v="640000"/>
    <n v="36000"/>
    <x v="1"/>
    <x v="0"/>
    <x v="0"/>
    <s v="Second Owner"/>
    <n v="10"/>
    <s v="Mid Range"/>
  </r>
  <r>
    <s v="Tata New Safari DICOR 2.2 EX 4x2"/>
    <x v="15"/>
    <n v="220000"/>
    <n v="90000"/>
    <x v="1"/>
    <x v="0"/>
    <x v="0"/>
    <s v="Second Owner"/>
    <n v="18"/>
    <s v="Budget"/>
  </r>
  <r>
    <s v="Volkswagen Vento 1.5 TDI Highline"/>
    <x v="5"/>
    <n v="465000"/>
    <n v="130000"/>
    <x v="1"/>
    <x v="0"/>
    <x v="0"/>
    <s v="First Owner"/>
    <n v="11"/>
    <s v="Budget"/>
  </r>
  <r>
    <s v="Maruti Swift Vdi BSIII"/>
    <x v="10"/>
    <n v="229999"/>
    <n v="120000"/>
    <x v="1"/>
    <x v="0"/>
    <x v="0"/>
    <s v="Second Owner"/>
    <n v="16"/>
    <s v="Budget"/>
  </r>
  <r>
    <s v="Maruti Wagon R VXI BS IV"/>
    <x v="6"/>
    <n v="425000"/>
    <n v="15000"/>
    <x v="0"/>
    <x v="0"/>
    <x v="0"/>
    <s v="First Owner"/>
    <n v="8"/>
    <s v="Budget"/>
  </r>
  <r>
    <s v="Tata Indica GLS BS IV"/>
    <x v="15"/>
    <n v="95000"/>
    <n v="120000"/>
    <x v="0"/>
    <x v="0"/>
    <x v="0"/>
    <s v="Third Owner"/>
    <n v="18"/>
    <s v="Budget"/>
  </r>
  <r>
    <s v="Hyundai EON LPG Magna Plus"/>
    <x v="1"/>
    <n v="170000"/>
    <n v="170000"/>
    <x v="3"/>
    <x v="0"/>
    <x v="0"/>
    <s v="Third Owner"/>
    <n v="14"/>
    <s v="Budget"/>
  </r>
  <r>
    <s v="Datsun RediGO T Option"/>
    <x v="4"/>
    <n v="229999"/>
    <n v="37500"/>
    <x v="0"/>
    <x v="0"/>
    <x v="0"/>
    <s v="Second Owner"/>
    <n v="10"/>
    <s v="Budget"/>
  </r>
  <r>
    <s v="Maruti 800 Std"/>
    <x v="22"/>
    <n v="45000"/>
    <n v="50000"/>
    <x v="0"/>
    <x v="0"/>
    <x v="0"/>
    <s v="Third Owner"/>
    <n v="27"/>
    <s v="Budget"/>
  </r>
  <r>
    <s v="Maruti Grand Vitara MT"/>
    <x v="0"/>
    <n v="479000"/>
    <n v="145000"/>
    <x v="0"/>
    <x v="0"/>
    <x v="0"/>
    <s v="Third Owner"/>
    <n v="19"/>
    <s v="Budget"/>
  </r>
  <r>
    <s v="Hyundai EON Sportz"/>
    <x v="4"/>
    <n v="340000"/>
    <n v="30000"/>
    <x v="0"/>
    <x v="0"/>
    <x v="0"/>
    <s v="First Owner"/>
    <n v="10"/>
    <s v="Budget"/>
  </r>
  <r>
    <s v="Maruti Swift Dzire ZXI"/>
    <x v="4"/>
    <n v="620000"/>
    <n v="35000"/>
    <x v="0"/>
    <x v="0"/>
    <x v="0"/>
    <s v="First Owner"/>
    <n v="10"/>
    <s v="Mid Range"/>
  </r>
  <r>
    <s v="Tata Manza Club Class Quadrajet90 EX"/>
    <x v="1"/>
    <n v="270000"/>
    <n v="60000"/>
    <x v="1"/>
    <x v="0"/>
    <x v="0"/>
    <s v="First Owner"/>
    <n v="14"/>
    <s v="Budget"/>
  </r>
  <r>
    <s v="Tata Tiago 1.05 Revotorq XZ Plus"/>
    <x v="6"/>
    <n v="400000"/>
    <n v="35000"/>
    <x v="1"/>
    <x v="0"/>
    <x v="0"/>
    <s v="First Owner"/>
    <n v="8"/>
    <s v="Budget"/>
  </r>
  <r>
    <s v="Maruti Wagon R VXI Optional"/>
    <x v="5"/>
    <n v="260000"/>
    <n v="40000"/>
    <x v="0"/>
    <x v="0"/>
    <x v="0"/>
    <s v="First Owner"/>
    <n v="11"/>
    <s v="Budget"/>
  </r>
  <r>
    <s v="Hyundai Santro LE zipPlus"/>
    <x v="18"/>
    <n v="48000"/>
    <n v="50000"/>
    <x v="0"/>
    <x v="0"/>
    <x v="0"/>
    <s v="Fourth &amp; Above Owner"/>
    <n v="23"/>
    <s v="Budget"/>
  </r>
  <r>
    <s v="Tata Nano Twist XE"/>
    <x v="5"/>
    <n v="100000"/>
    <n v="23800"/>
    <x v="0"/>
    <x v="0"/>
    <x v="0"/>
    <s v="Second Owner"/>
    <n v="11"/>
    <s v="Budget"/>
  </r>
  <r>
    <s v="Nissan Terrano XL Plus 85 PS"/>
    <x v="5"/>
    <n v="490000"/>
    <n v="70000"/>
    <x v="1"/>
    <x v="0"/>
    <x v="0"/>
    <s v="First Owner"/>
    <n v="11"/>
    <s v="Budget"/>
  </r>
  <r>
    <s v="Maruti Wagon R Duo Lxi"/>
    <x v="10"/>
    <n v="120000"/>
    <n v="90000"/>
    <x v="3"/>
    <x v="0"/>
    <x v="0"/>
    <s v="Second Owner"/>
    <n v="16"/>
    <s v="Budget"/>
  </r>
  <r>
    <s v="Hyundai i10 Era"/>
    <x v="15"/>
    <n v="125000"/>
    <n v="102000"/>
    <x v="0"/>
    <x v="0"/>
    <x v="0"/>
    <s v="Second Owner"/>
    <n v="18"/>
    <s v="Budget"/>
  </r>
  <r>
    <s v="Maruti Alto 800 LXI"/>
    <x v="7"/>
    <n v="190000"/>
    <n v="5000"/>
    <x v="0"/>
    <x v="0"/>
    <x v="0"/>
    <s v="First Owner"/>
    <n v="7"/>
    <s v="Budget"/>
  </r>
  <r>
    <s v="Fiat Linea T Jet Plus"/>
    <x v="9"/>
    <n v="500000"/>
    <n v="20000"/>
    <x v="0"/>
    <x v="0"/>
    <x v="0"/>
    <s v="First Owner"/>
    <n v="15"/>
    <s v="Mid Range"/>
  </r>
  <r>
    <s v="Toyota Fortuner 4x2 AT"/>
    <x v="3"/>
    <n v="1800000"/>
    <n v="99000"/>
    <x v="1"/>
    <x v="0"/>
    <x v="1"/>
    <s v="First Owner"/>
    <n v="12"/>
    <s v="Premium"/>
  </r>
  <r>
    <s v="Honda Civic 1.8 V MT"/>
    <x v="15"/>
    <n v="320000"/>
    <n v="90000"/>
    <x v="0"/>
    <x v="0"/>
    <x v="0"/>
    <s v="First Owner"/>
    <n v="18"/>
    <s v="Budget"/>
  </r>
  <r>
    <s v="Honda Civic 1.8 S AT"/>
    <x v="0"/>
    <n v="250000"/>
    <n v="47000"/>
    <x v="0"/>
    <x v="1"/>
    <x v="1"/>
    <s v="First Owner"/>
    <n v="19"/>
    <s v="Budget"/>
  </r>
  <r>
    <s v="Ford Figo Diesel Titanium"/>
    <x v="10"/>
    <n v="105000"/>
    <n v="90000"/>
    <x v="1"/>
    <x v="0"/>
    <x v="0"/>
    <s v="Third Owner"/>
    <n v="16"/>
    <s v="Budget"/>
  </r>
  <r>
    <s v="Hyundai i20 Active 1.2 SX"/>
    <x v="6"/>
    <n v="550000"/>
    <n v="20000"/>
    <x v="0"/>
    <x v="0"/>
    <x v="0"/>
    <s v="First Owner"/>
    <n v="8"/>
    <s v="Mid Range"/>
  </r>
  <r>
    <s v="Hyundai Grand i10 1.2 Kappa Sportz AT"/>
    <x v="7"/>
    <n v="600000"/>
    <n v="1100"/>
    <x v="0"/>
    <x v="0"/>
    <x v="1"/>
    <s v="First Owner"/>
    <n v="7"/>
    <s v="Mid Range"/>
  </r>
  <r>
    <s v="Maruti Alto 800 VXI"/>
    <x v="20"/>
    <n v="210000"/>
    <n v="40000"/>
    <x v="0"/>
    <x v="0"/>
    <x v="0"/>
    <s v="First Owner"/>
    <n v="6"/>
    <s v="Budget"/>
  </r>
  <r>
    <s v="Maruti Alto 800 LXI Airbag"/>
    <x v="1"/>
    <n v="210000"/>
    <n v="15000"/>
    <x v="0"/>
    <x v="0"/>
    <x v="0"/>
    <s v="First Owner"/>
    <n v="14"/>
    <s v="Budget"/>
  </r>
  <r>
    <s v="Maruti Alto LXi"/>
    <x v="11"/>
    <n v="150000"/>
    <n v="40000"/>
    <x v="0"/>
    <x v="0"/>
    <x v="0"/>
    <s v="First Owner"/>
    <n v="17"/>
    <s v="Budget"/>
  </r>
  <r>
    <s v="Hyundai i10 Era 1.1"/>
    <x v="15"/>
    <n v="125000"/>
    <n v="60000"/>
    <x v="0"/>
    <x v="0"/>
    <x v="0"/>
    <s v="First Owner"/>
    <n v="18"/>
    <s v="Budget"/>
  </r>
  <r>
    <s v="Maruti Celerio VXI"/>
    <x v="4"/>
    <n v="380000"/>
    <n v="20000"/>
    <x v="0"/>
    <x v="0"/>
    <x v="0"/>
    <s v="First Owner"/>
    <n v="10"/>
    <s v="Budget"/>
  </r>
  <r>
    <s v="Maruti Baleno Delta 1.2"/>
    <x v="7"/>
    <n v="600000"/>
    <n v="5000"/>
    <x v="0"/>
    <x v="0"/>
    <x v="0"/>
    <s v="First Owner"/>
    <n v="7"/>
    <s v="Mid Range"/>
  </r>
  <r>
    <s v="Maruti Swift VXI Deca"/>
    <x v="4"/>
    <n v="490000"/>
    <n v="27000"/>
    <x v="0"/>
    <x v="0"/>
    <x v="0"/>
    <s v="First Owner"/>
    <n v="10"/>
    <s v="Budget"/>
  </r>
  <r>
    <s v="Maruti Swift Dzire LDI"/>
    <x v="6"/>
    <n v="545000"/>
    <n v="38000"/>
    <x v="1"/>
    <x v="0"/>
    <x v="0"/>
    <s v="Second Owner"/>
    <n v="8"/>
    <s v="Mid Range"/>
  </r>
  <r>
    <s v="Maruti Wagon R VXI BS IV"/>
    <x v="5"/>
    <n v="250000"/>
    <n v="25000"/>
    <x v="0"/>
    <x v="0"/>
    <x v="0"/>
    <s v="First Owner"/>
    <n v="11"/>
    <s v="Budget"/>
  </r>
  <r>
    <s v="Hyundai Venue SX Opt Turbo BSIV"/>
    <x v="20"/>
    <n v="1050000"/>
    <n v="1100"/>
    <x v="0"/>
    <x v="0"/>
    <x v="0"/>
    <s v="First Owner"/>
    <n v="6"/>
    <s v="Premium"/>
  </r>
  <r>
    <s v="Maruti Wagon R LX Minor"/>
    <x v="0"/>
    <n v="100000"/>
    <n v="100000"/>
    <x v="0"/>
    <x v="0"/>
    <x v="0"/>
    <s v="First Owner"/>
    <n v="19"/>
    <s v="Budget"/>
  </r>
  <r>
    <s v="Ford Figo Diesel ZXI"/>
    <x v="3"/>
    <n v="250000"/>
    <n v="100000"/>
    <x v="1"/>
    <x v="0"/>
    <x v="0"/>
    <s v="Second Owner"/>
    <n v="12"/>
    <s v="Budget"/>
  </r>
  <r>
    <s v="Maruti Wagon R LX BSIII"/>
    <x v="0"/>
    <n v="100000"/>
    <n v="110000"/>
    <x v="0"/>
    <x v="0"/>
    <x v="0"/>
    <s v="First Owner"/>
    <n v="19"/>
    <s v="Budget"/>
  </r>
  <r>
    <s v="Ford Figo 1.5D Ambiente ABS MT"/>
    <x v="4"/>
    <n v="350000"/>
    <n v="60000"/>
    <x v="1"/>
    <x v="0"/>
    <x v="0"/>
    <s v="Second Owner"/>
    <n v="10"/>
    <s v="Budget"/>
  </r>
  <r>
    <s v="Renault Duster 110PS Diesel RxZ Plus"/>
    <x v="1"/>
    <n v="370000"/>
    <n v="70000"/>
    <x v="1"/>
    <x v="0"/>
    <x v="0"/>
    <s v="Second Owner"/>
    <n v="14"/>
    <s v="Budget"/>
  </r>
  <r>
    <s v="Maruti Zen VXi - BS III"/>
    <x v="16"/>
    <n v="121000"/>
    <n v="110000"/>
    <x v="0"/>
    <x v="0"/>
    <x v="0"/>
    <s v="Second Owner"/>
    <n v="22"/>
    <s v="Budget"/>
  </r>
  <r>
    <s v="Ford Figo Aspire 1.5 Ti-VCT Titanium"/>
    <x v="2"/>
    <n v="570000"/>
    <n v="44077"/>
    <x v="0"/>
    <x v="1"/>
    <x v="1"/>
    <s v="First Owner"/>
    <n v="9"/>
    <s v="Mid Range"/>
  </r>
  <r>
    <s v="Maruti Ertiga SHVS VDI"/>
    <x v="2"/>
    <n v="785000"/>
    <n v="24000"/>
    <x v="1"/>
    <x v="0"/>
    <x v="0"/>
    <s v="First Owner"/>
    <n v="9"/>
    <s v="Mid Range"/>
  </r>
  <r>
    <s v="Maruti Ciaz S 1.3"/>
    <x v="6"/>
    <n v="850000"/>
    <n v="30000"/>
    <x v="1"/>
    <x v="0"/>
    <x v="0"/>
    <s v="First Owner"/>
    <n v="8"/>
    <s v="Mid Range"/>
  </r>
  <r>
    <s v="Maruti Wagon R VXI BS IV"/>
    <x v="4"/>
    <n v="375000"/>
    <n v="30000"/>
    <x v="0"/>
    <x v="0"/>
    <x v="0"/>
    <s v="Second Owner"/>
    <n v="10"/>
    <s v="Budget"/>
  </r>
  <r>
    <s v="Maruti Baleno Alpha 1.2"/>
    <x v="2"/>
    <n v="619000"/>
    <n v="40000"/>
    <x v="0"/>
    <x v="0"/>
    <x v="0"/>
    <s v="First Owner"/>
    <n v="9"/>
    <s v="Mid Range"/>
  </r>
  <r>
    <s v="Chevrolet Cruze LTZ"/>
    <x v="9"/>
    <n v="335000"/>
    <n v="90000"/>
    <x v="1"/>
    <x v="0"/>
    <x v="0"/>
    <s v="Second Owner"/>
    <n v="15"/>
    <s v="Budget"/>
  </r>
  <r>
    <s v="Toyota Innova 2.5 G (Diesel) 8 Seater BS IV"/>
    <x v="12"/>
    <n v="500000"/>
    <n v="50000"/>
    <x v="1"/>
    <x v="0"/>
    <x v="0"/>
    <s v="First Owner"/>
    <n v="20"/>
    <s v="Mid Range"/>
  </r>
  <r>
    <s v="Maruti Wagon R LX"/>
    <x v="18"/>
    <n v="60000"/>
    <n v="100000"/>
    <x v="0"/>
    <x v="0"/>
    <x v="0"/>
    <s v="Second Owner"/>
    <n v="23"/>
    <s v="Budget"/>
  </r>
  <r>
    <s v="Mahindra Ingenio CRDe"/>
    <x v="5"/>
    <n v="210000"/>
    <n v="210000"/>
    <x v="1"/>
    <x v="0"/>
    <x v="0"/>
    <s v="First Owner"/>
    <n v="11"/>
    <s v="Budget"/>
  </r>
  <r>
    <s v="Toyota Innova Crysta 2.4 VX MT 8S BSIV"/>
    <x v="7"/>
    <n v="1900000"/>
    <n v="20000"/>
    <x v="1"/>
    <x v="0"/>
    <x v="0"/>
    <s v="First Owner"/>
    <n v="7"/>
    <s v="Premium"/>
  </r>
  <r>
    <s v="Tata Indigo TDI"/>
    <x v="8"/>
    <n v="270000"/>
    <n v="70000"/>
    <x v="1"/>
    <x v="0"/>
    <x v="0"/>
    <s v="Second Owner"/>
    <n v="13"/>
    <s v="Budget"/>
  </r>
  <r>
    <s v="Maruti Wagon R LXI Minor"/>
    <x v="10"/>
    <n v="225000"/>
    <n v="100000"/>
    <x v="0"/>
    <x v="0"/>
    <x v="0"/>
    <s v="Second Owner"/>
    <n v="16"/>
    <s v="Budget"/>
  </r>
  <r>
    <s v="Maruti SX4 ZXI MT BSIV"/>
    <x v="9"/>
    <n v="150000"/>
    <n v="160000"/>
    <x v="0"/>
    <x v="0"/>
    <x v="0"/>
    <s v="Second Owner"/>
    <n v="15"/>
    <s v="Budget"/>
  </r>
  <r>
    <s v="Chevrolet Beat Diesel LT"/>
    <x v="8"/>
    <n v="173000"/>
    <n v="70000"/>
    <x v="1"/>
    <x v="0"/>
    <x v="0"/>
    <s v="First Owner"/>
    <n v="13"/>
    <s v="Budget"/>
  </r>
  <r>
    <s v="BMW 5 Series 520d Luxury Line"/>
    <x v="6"/>
    <n v="4800000"/>
    <n v="9422"/>
    <x v="1"/>
    <x v="0"/>
    <x v="1"/>
    <s v="First Owner"/>
    <n v="8"/>
    <s v="Premium"/>
  </r>
  <r>
    <s v="Volkswagen Vento 1.5 Highline Plus AT 16 Alloy"/>
    <x v="2"/>
    <n v="710000"/>
    <n v="110000"/>
    <x v="1"/>
    <x v="0"/>
    <x v="1"/>
    <s v="First Owner"/>
    <n v="9"/>
    <s v="Mid Range"/>
  </r>
  <r>
    <s v="Toyota Corolla Altis 1.8 GL"/>
    <x v="7"/>
    <n v="1500000"/>
    <n v="20000"/>
    <x v="0"/>
    <x v="0"/>
    <x v="0"/>
    <s v="First Owner"/>
    <n v="7"/>
    <s v="Premium"/>
  </r>
  <r>
    <s v="Maruti Baleno Zeta 1.2"/>
    <x v="2"/>
    <n v="550000"/>
    <n v="20000"/>
    <x v="0"/>
    <x v="0"/>
    <x v="0"/>
    <s v="First Owner"/>
    <n v="9"/>
    <s v="Mid Range"/>
  </r>
  <r>
    <s v="Maruti 800 AC BSIII"/>
    <x v="15"/>
    <n v="58000"/>
    <n v="70000"/>
    <x v="0"/>
    <x v="0"/>
    <x v="0"/>
    <s v="Second Owner"/>
    <n v="18"/>
    <s v="Budget"/>
  </r>
  <r>
    <s v="Audi A4 1.8 TFSI"/>
    <x v="1"/>
    <n v="1200000"/>
    <n v="60000"/>
    <x v="0"/>
    <x v="0"/>
    <x v="1"/>
    <s v="Third Owner"/>
    <n v="14"/>
    <s v="Premium"/>
  </r>
  <r>
    <s v="Mahindra Scorpio M2DI"/>
    <x v="8"/>
    <n v="500000"/>
    <n v="150000"/>
    <x v="1"/>
    <x v="0"/>
    <x v="0"/>
    <s v="First Owner"/>
    <n v="13"/>
    <s v="Mid Range"/>
  </r>
  <r>
    <s v="Maruti Swift LXi BSIV"/>
    <x v="11"/>
    <n v="120000"/>
    <n v="83000"/>
    <x v="0"/>
    <x v="0"/>
    <x v="0"/>
    <s v="Second Owner"/>
    <n v="17"/>
    <s v="Budget"/>
  </r>
  <r>
    <s v="Toyota Innova 2.5 EV Diesel PS 7 Seater BSIII"/>
    <x v="1"/>
    <n v="300000"/>
    <n v="250000"/>
    <x v="1"/>
    <x v="0"/>
    <x v="0"/>
    <s v="First Owner"/>
    <n v="14"/>
    <s v="Budget"/>
  </r>
  <r>
    <s v="Hyundai EON Era Plus"/>
    <x v="6"/>
    <n v="300000"/>
    <n v="30000"/>
    <x v="0"/>
    <x v="0"/>
    <x v="0"/>
    <s v="First Owner"/>
    <n v="8"/>
    <s v="Budget"/>
  </r>
  <r>
    <s v="Datsun GO Plus T Option BSIV"/>
    <x v="5"/>
    <n v="295000"/>
    <n v="21000"/>
    <x v="0"/>
    <x v="0"/>
    <x v="0"/>
    <s v="First Owner"/>
    <n v="11"/>
    <s v="Budget"/>
  </r>
  <r>
    <s v="Maruti Ertiga VXI CNG"/>
    <x v="6"/>
    <n v="587000"/>
    <n v="80000"/>
    <x v="2"/>
    <x v="0"/>
    <x v="0"/>
    <s v="First Owner"/>
    <n v="8"/>
    <s v="Mid Range"/>
  </r>
  <r>
    <s v="Ambassador Grand 1800 ISZ MPFI PW CL"/>
    <x v="1"/>
    <n v="430000"/>
    <n v="50000"/>
    <x v="0"/>
    <x v="0"/>
    <x v="0"/>
    <s v="Second Owner"/>
    <n v="14"/>
    <s v="Budget"/>
  </r>
  <r>
    <s v="Hyundai Verna i (Petrol)"/>
    <x v="0"/>
    <n v="123000"/>
    <n v="50000"/>
    <x v="0"/>
    <x v="0"/>
    <x v="0"/>
    <s v="Second Owner"/>
    <n v="19"/>
    <s v="Budget"/>
  </r>
  <r>
    <s v="Skoda Laura Ambiente 2.0 TDI CR AT"/>
    <x v="1"/>
    <n v="450000"/>
    <n v="48500"/>
    <x v="1"/>
    <x v="0"/>
    <x v="1"/>
    <s v="Second Owner"/>
    <n v="14"/>
    <s v="Budget"/>
  </r>
  <r>
    <s v="Maruti Wagon R LXI Minor"/>
    <x v="0"/>
    <n v="130000"/>
    <n v="60000"/>
    <x v="0"/>
    <x v="0"/>
    <x v="0"/>
    <s v="Third Owner"/>
    <n v="19"/>
    <s v="Budget"/>
  </r>
  <r>
    <s v="Tata Indica Vista Aqua 1.4 TDI"/>
    <x v="10"/>
    <n v="110000"/>
    <n v="90000"/>
    <x v="1"/>
    <x v="0"/>
    <x v="0"/>
    <s v="Second Owner"/>
    <n v="16"/>
    <s v="Budget"/>
  </r>
  <r>
    <s v="Mahindra Xylo Celebration Edition BSIV"/>
    <x v="10"/>
    <n v="200000"/>
    <n v="240000"/>
    <x v="1"/>
    <x v="0"/>
    <x v="0"/>
    <s v="Third Owner"/>
    <n v="16"/>
    <s v="Budget"/>
  </r>
  <r>
    <s v="Hyundai Grand i10 Magna"/>
    <x v="5"/>
    <n v="320000"/>
    <n v="70000"/>
    <x v="0"/>
    <x v="0"/>
    <x v="0"/>
    <s v="Second Owner"/>
    <n v="11"/>
    <s v="Budget"/>
  </r>
  <r>
    <s v="Maruti Wagon R LXI BS IV"/>
    <x v="3"/>
    <n v="300000"/>
    <n v="50000"/>
    <x v="0"/>
    <x v="0"/>
    <x v="0"/>
    <s v="First Owner"/>
    <n v="12"/>
    <s v="Budget"/>
  </r>
  <r>
    <s v="Volkswagen CrossPolo 1.2 MPI"/>
    <x v="4"/>
    <n v="350000"/>
    <n v="110000"/>
    <x v="0"/>
    <x v="0"/>
    <x v="0"/>
    <s v="First Owner"/>
    <n v="10"/>
    <s v="Budget"/>
  </r>
  <r>
    <s v="Maruti Ertiga VXI Petrol"/>
    <x v="6"/>
    <n v="800000"/>
    <n v="50000"/>
    <x v="0"/>
    <x v="0"/>
    <x v="0"/>
    <s v="First Owner"/>
    <n v="8"/>
    <s v="Mid Range"/>
  </r>
  <r>
    <s v="Hyundai Xcent 1.1 CRDi S"/>
    <x v="4"/>
    <n v="270000"/>
    <n v="175000"/>
    <x v="1"/>
    <x v="0"/>
    <x v="0"/>
    <s v="First Owner"/>
    <n v="10"/>
    <s v="Budget"/>
  </r>
  <r>
    <s v="Hyundai i20 1.2 Magna Executive"/>
    <x v="2"/>
    <n v="540000"/>
    <n v="60000"/>
    <x v="0"/>
    <x v="0"/>
    <x v="0"/>
    <s v="First Owner"/>
    <n v="9"/>
    <s v="Mid Range"/>
  </r>
  <r>
    <s v="Maruti Wagon R LXI CNG"/>
    <x v="9"/>
    <n v="160000"/>
    <n v="60000"/>
    <x v="2"/>
    <x v="0"/>
    <x v="0"/>
    <s v="Second Owner"/>
    <n v="15"/>
    <s v="Budget"/>
  </r>
  <r>
    <s v="Maruti SX4 VDI"/>
    <x v="8"/>
    <n v="340000"/>
    <n v="100000"/>
    <x v="1"/>
    <x v="0"/>
    <x v="0"/>
    <s v="Second Owner"/>
    <n v="13"/>
    <s v="Budget"/>
  </r>
  <r>
    <s v="Maruti Eeco 5 Seater AC BSIV"/>
    <x v="2"/>
    <n v="350000"/>
    <n v="40000"/>
    <x v="0"/>
    <x v="0"/>
    <x v="0"/>
    <s v="Second Owner"/>
    <n v="9"/>
    <s v="Budget"/>
  </r>
  <r>
    <s v="Volkswagen Vento Diesel Style Limited Edition"/>
    <x v="9"/>
    <n v="300000"/>
    <n v="100000"/>
    <x v="1"/>
    <x v="0"/>
    <x v="0"/>
    <s v="First Owner"/>
    <n v="15"/>
    <s v="Budget"/>
  </r>
  <r>
    <s v="Maruti Ritz VDi"/>
    <x v="8"/>
    <n v="330000"/>
    <n v="63000"/>
    <x v="1"/>
    <x v="0"/>
    <x v="0"/>
    <s v="First Owner"/>
    <n v="13"/>
    <s v="Budget"/>
  </r>
  <r>
    <s v="Maruti Wagon R LXI CNG"/>
    <x v="4"/>
    <n v="325000"/>
    <n v="80000"/>
    <x v="2"/>
    <x v="0"/>
    <x v="0"/>
    <s v="Second Owner"/>
    <n v="10"/>
    <s v="Budget"/>
  </r>
  <r>
    <s v="Maruti Swift Dzire VDI"/>
    <x v="8"/>
    <n v="250000"/>
    <n v="55000"/>
    <x v="1"/>
    <x v="0"/>
    <x v="0"/>
    <s v="First Owner"/>
    <n v="13"/>
    <s v="Budget"/>
  </r>
  <r>
    <s v="Maruti Swift Star VDI"/>
    <x v="8"/>
    <n v="250000"/>
    <n v="55000"/>
    <x v="1"/>
    <x v="0"/>
    <x v="0"/>
    <s v="First Owner"/>
    <n v="13"/>
    <s v="Budget"/>
  </r>
  <r>
    <s v="Chevrolet Beat LT Option"/>
    <x v="5"/>
    <n v="240000"/>
    <n v="60000"/>
    <x v="0"/>
    <x v="0"/>
    <x v="0"/>
    <s v="First Owner"/>
    <n v="11"/>
    <s v="Budget"/>
  </r>
  <r>
    <s v="Hyundai Grand i10 1.2 Kappa Magna BSIV"/>
    <x v="20"/>
    <n v="545000"/>
    <n v="5000"/>
    <x v="0"/>
    <x v="0"/>
    <x v="0"/>
    <s v="First Owner"/>
    <n v="6"/>
    <s v="Mid Range"/>
  </r>
  <r>
    <s v="Hyundai i10 Magna 1.1 iTech SE"/>
    <x v="5"/>
    <n v="300000"/>
    <n v="48000"/>
    <x v="0"/>
    <x v="1"/>
    <x v="0"/>
    <s v="First Owner"/>
    <n v="11"/>
    <s v="Budget"/>
  </r>
  <r>
    <s v="Renault KWID RXT"/>
    <x v="2"/>
    <n v="240000"/>
    <n v="50000"/>
    <x v="0"/>
    <x v="0"/>
    <x v="0"/>
    <s v="First Owner"/>
    <n v="9"/>
    <s v="Budget"/>
  </r>
  <r>
    <s v="Renault KWID 1.0 RXT Optional"/>
    <x v="6"/>
    <n v="360000"/>
    <n v="15000"/>
    <x v="0"/>
    <x v="0"/>
    <x v="0"/>
    <s v="First Owner"/>
    <n v="8"/>
    <s v="Budget"/>
  </r>
  <r>
    <s v="Hyundai i20 1.4 CRDi Magna"/>
    <x v="1"/>
    <n v="250000"/>
    <n v="70000"/>
    <x v="1"/>
    <x v="0"/>
    <x v="0"/>
    <s v="First Owner"/>
    <n v="14"/>
    <s v="Budget"/>
  </r>
  <r>
    <s v="Skoda Laura Elegance 2.0 TDI CR AT"/>
    <x v="7"/>
    <n v="475000"/>
    <n v="105000"/>
    <x v="1"/>
    <x v="1"/>
    <x v="1"/>
    <s v="First Owner"/>
    <n v="7"/>
    <s v="Budget"/>
  </r>
  <r>
    <s v="Hyundai i20 Asta Option 1.4 CRDi"/>
    <x v="4"/>
    <n v="600000"/>
    <n v="50000"/>
    <x v="1"/>
    <x v="0"/>
    <x v="0"/>
    <s v="Second Owner"/>
    <n v="10"/>
    <s v="Mid Range"/>
  </r>
  <r>
    <s v="Tata Indigo CR4"/>
    <x v="10"/>
    <n v="150000"/>
    <n v="80000"/>
    <x v="1"/>
    <x v="0"/>
    <x v="0"/>
    <s v="Second Owner"/>
    <n v="16"/>
    <s v="Budget"/>
  </r>
  <r>
    <s v="Ford EcoSport 1.5 Diesel Trend BSIV"/>
    <x v="2"/>
    <n v="700000"/>
    <n v="50000"/>
    <x v="1"/>
    <x v="0"/>
    <x v="0"/>
    <s v="First Owner"/>
    <n v="9"/>
    <s v="Mid Range"/>
  </r>
  <r>
    <s v="Mahindra XUV500 W6 2WD"/>
    <x v="4"/>
    <n v="1290000"/>
    <n v="5000"/>
    <x v="1"/>
    <x v="0"/>
    <x v="0"/>
    <s v="First Owner"/>
    <n v="10"/>
    <s v="Premium"/>
  </r>
  <r>
    <s v="Maruti Celerio ZXI AMT BSIV"/>
    <x v="6"/>
    <n v="500000"/>
    <n v="10000"/>
    <x v="0"/>
    <x v="0"/>
    <x v="1"/>
    <s v="First Owner"/>
    <n v="8"/>
    <s v="Mid Range"/>
  </r>
  <r>
    <s v="Hyundai Santro Xing GLS"/>
    <x v="1"/>
    <n v="193000"/>
    <n v="45000"/>
    <x v="0"/>
    <x v="0"/>
    <x v="0"/>
    <s v="Second Owner"/>
    <n v="14"/>
    <s v="Budget"/>
  </r>
  <r>
    <s v="Honda City i VTEC V"/>
    <x v="5"/>
    <n v="800000"/>
    <n v="10000"/>
    <x v="0"/>
    <x v="0"/>
    <x v="0"/>
    <s v="First Owner"/>
    <n v="11"/>
    <s v="Mid Range"/>
  </r>
  <r>
    <s v="Maruti Wagon R LXI Minor"/>
    <x v="15"/>
    <n v="150000"/>
    <n v="50000"/>
    <x v="0"/>
    <x v="0"/>
    <x v="0"/>
    <s v="First Owner"/>
    <n v="18"/>
    <s v="Budget"/>
  </r>
  <r>
    <s v="Maruti 800 AC"/>
    <x v="19"/>
    <n v="80000"/>
    <n v="40000"/>
    <x v="0"/>
    <x v="0"/>
    <x v="0"/>
    <s v="Fourth &amp; Above Owner"/>
    <n v="24"/>
    <s v="Budget"/>
  </r>
  <r>
    <s v="Ford Figo Diesel EXI"/>
    <x v="10"/>
    <n v="130000"/>
    <n v="100000"/>
    <x v="1"/>
    <x v="0"/>
    <x v="0"/>
    <s v="Third Owner"/>
    <n v="16"/>
    <s v="Budget"/>
  </r>
  <r>
    <s v="Ford Figo Diesel EXI"/>
    <x v="1"/>
    <n v="280000"/>
    <n v="80000"/>
    <x v="1"/>
    <x v="0"/>
    <x v="0"/>
    <s v="Second Owner"/>
    <n v="14"/>
    <s v="Budget"/>
  </r>
  <r>
    <s v="Mahindra Xylo D2 BS IV"/>
    <x v="9"/>
    <n v="229999"/>
    <n v="110000"/>
    <x v="1"/>
    <x v="0"/>
    <x v="0"/>
    <s v="Second Owner"/>
    <n v="15"/>
    <s v="Budget"/>
  </r>
  <r>
    <s v="Maruti Zen Estilo VXI BSIII"/>
    <x v="15"/>
    <n v="80000"/>
    <n v="120000"/>
    <x v="0"/>
    <x v="0"/>
    <x v="0"/>
    <s v="First Owner"/>
    <n v="18"/>
    <s v="Budget"/>
  </r>
  <r>
    <s v="Tata Nano Cx BSIII"/>
    <x v="10"/>
    <n v="70000"/>
    <n v="10000"/>
    <x v="0"/>
    <x v="0"/>
    <x v="0"/>
    <s v="First Owner"/>
    <n v="16"/>
    <s v="Budget"/>
  </r>
  <r>
    <s v="Maruti Ritz VDi"/>
    <x v="8"/>
    <n v="240000"/>
    <n v="60000"/>
    <x v="1"/>
    <x v="0"/>
    <x v="0"/>
    <s v="Second Owner"/>
    <n v="13"/>
    <s v="Budget"/>
  </r>
  <r>
    <s v="Mahindra Xylo E8"/>
    <x v="10"/>
    <n v="380000"/>
    <n v="72000"/>
    <x v="1"/>
    <x v="0"/>
    <x v="0"/>
    <s v="Second Owner"/>
    <n v="16"/>
    <s v="Budget"/>
  </r>
  <r>
    <s v="Hyundai Santro Xing XO"/>
    <x v="12"/>
    <n v="80000"/>
    <n v="110000"/>
    <x v="0"/>
    <x v="0"/>
    <x v="0"/>
    <s v="First Owner"/>
    <n v="20"/>
    <s v="Budget"/>
  </r>
  <r>
    <s v="Hyundai i10 Era"/>
    <x v="8"/>
    <n v="265000"/>
    <n v="50000"/>
    <x v="0"/>
    <x v="0"/>
    <x v="0"/>
    <s v="First Owner"/>
    <n v="13"/>
    <s v="Budget"/>
  </r>
  <r>
    <s v="Hyundai EON Magna Plus Option"/>
    <x v="6"/>
    <n v="320000"/>
    <n v="25000"/>
    <x v="0"/>
    <x v="0"/>
    <x v="0"/>
    <s v="First Owner"/>
    <n v="8"/>
    <s v="Budget"/>
  </r>
  <r>
    <s v="Nissan Terrano XL 110 PS"/>
    <x v="3"/>
    <n v="500000"/>
    <n v="120000"/>
    <x v="1"/>
    <x v="0"/>
    <x v="0"/>
    <s v="Third Owner"/>
    <n v="12"/>
    <s v="Mid Range"/>
  </r>
  <r>
    <s v="Hyundai Creta 1.6 CRDi SX Option"/>
    <x v="4"/>
    <n v="1300000"/>
    <n v="55000"/>
    <x v="1"/>
    <x v="0"/>
    <x v="0"/>
    <s v="First Owner"/>
    <n v="10"/>
    <s v="Premium"/>
  </r>
  <r>
    <s v="Mahindra Scorpio S11 BSIV"/>
    <x v="6"/>
    <n v="1500000"/>
    <n v="35000"/>
    <x v="1"/>
    <x v="0"/>
    <x v="0"/>
    <s v="First Owner"/>
    <n v="8"/>
    <s v="Premium"/>
  </r>
  <r>
    <s v="Toyota Innova Crysta 2.8 ZX AT BSIV"/>
    <x v="4"/>
    <n v="1800000"/>
    <n v="110000"/>
    <x v="1"/>
    <x v="0"/>
    <x v="1"/>
    <s v="First Owner"/>
    <n v="10"/>
    <s v="Premium"/>
  </r>
  <r>
    <s v="Mahindra XUV500 W6 2WD"/>
    <x v="3"/>
    <n v="600000"/>
    <n v="80000"/>
    <x v="1"/>
    <x v="0"/>
    <x v="0"/>
    <s v="Second Owner"/>
    <n v="12"/>
    <s v="Mid Range"/>
  </r>
  <r>
    <s v="Tata Tiago 1.2 Revotron XT"/>
    <x v="6"/>
    <n v="420000"/>
    <n v="80000"/>
    <x v="0"/>
    <x v="0"/>
    <x v="0"/>
    <s v="First Owner"/>
    <n v="8"/>
    <s v="Budget"/>
  </r>
  <r>
    <s v="Maruti Zen Estilo LXI BS IV"/>
    <x v="11"/>
    <n v="140000"/>
    <n v="120000"/>
    <x v="0"/>
    <x v="0"/>
    <x v="0"/>
    <s v="First Owner"/>
    <n v="17"/>
    <s v="Budget"/>
  </r>
  <r>
    <s v="Skoda Laura Ambiente 2.0 TDI CR MT"/>
    <x v="10"/>
    <n v="300000"/>
    <n v="100000"/>
    <x v="1"/>
    <x v="0"/>
    <x v="0"/>
    <s v="Second Owner"/>
    <n v="16"/>
    <s v="Budget"/>
  </r>
  <r>
    <s v="Hyundai Santro Xing XL eRLX Euro III"/>
    <x v="12"/>
    <n v="100000"/>
    <n v="60000"/>
    <x v="0"/>
    <x v="1"/>
    <x v="0"/>
    <s v="Second Owner"/>
    <n v="20"/>
    <s v="Budget"/>
  </r>
  <r>
    <s v="Maruti Alto K10 VXI"/>
    <x v="2"/>
    <n v="350000"/>
    <n v="25000"/>
    <x v="0"/>
    <x v="1"/>
    <x v="0"/>
    <s v="First Owner"/>
    <n v="9"/>
    <s v="Budget"/>
  </r>
  <r>
    <s v="Ford EcoSport 1.5 Ti VCT MT Titanium BE BSIV"/>
    <x v="6"/>
    <n v="850000"/>
    <n v="19000"/>
    <x v="0"/>
    <x v="1"/>
    <x v="0"/>
    <s v="First Owner"/>
    <n v="8"/>
    <s v="Mid Range"/>
  </r>
  <r>
    <s v="Maruti Alto LX"/>
    <x v="15"/>
    <n v="140000"/>
    <n v="54000"/>
    <x v="0"/>
    <x v="1"/>
    <x v="0"/>
    <s v="First Owner"/>
    <n v="18"/>
    <s v="Budget"/>
  </r>
  <r>
    <s v="Ford Aspire Titanium Plus BSIV"/>
    <x v="5"/>
    <n v="550000"/>
    <n v="17100"/>
    <x v="0"/>
    <x v="1"/>
    <x v="0"/>
    <s v="Second Owner"/>
    <n v="11"/>
    <s v="Mid Range"/>
  </r>
  <r>
    <s v="Hyundai Grand i10 Asta Option AT"/>
    <x v="2"/>
    <n v="525000"/>
    <n v="19000"/>
    <x v="0"/>
    <x v="1"/>
    <x v="1"/>
    <s v="First Owner"/>
    <n v="9"/>
    <s v="Mid Range"/>
  </r>
  <r>
    <s v="Ford Ecosport 1.5 DV5 MT Titanium"/>
    <x v="5"/>
    <n v="470000"/>
    <n v="146000"/>
    <x v="1"/>
    <x v="1"/>
    <x v="0"/>
    <s v="First Owner"/>
    <n v="11"/>
    <s v="Budget"/>
  </r>
  <r>
    <s v="Ford Endeavour 3.0L 4X4 AT"/>
    <x v="8"/>
    <n v="900000"/>
    <n v="98000"/>
    <x v="1"/>
    <x v="1"/>
    <x v="1"/>
    <s v="First Owner"/>
    <n v="13"/>
    <s v="Mid Range"/>
  </r>
  <r>
    <s v="Ford Endeavour 2.5L 4X2"/>
    <x v="9"/>
    <n v="500000"/>
    <n v="224642"/>
    <x v="1"/>
    <x v="1"/>
    <x v="0"/>
    <s v="Second Owner"/>
    <n v="15"/>
    <s v="Mid Range"/>
  </r>
  <r>
    <s v="Maruti Zen LXI"/>
    <x v="17"/>
    <n v="80000"/>
    <n v="120000"/>
    <x v="0"/>
    <x v="0"/>
    <x v="0"/>
    <s v="Second Owner"/>
    <n v="28"/>
    <s v="Budget"/>
  </r>
  <r>
    <s v="Mahindra Verito 1.5 D2 BSIII"/>
    <x v="9"/>
    <n v="175000"/>
    <n v="175000"/>
    <x v="1"/>
    <x v="0"/>
    <x v="0"/>
    <s v="First Owner"/>
    <n v="15"/>
    <s v="Budget"/>
  </r>
  <r>
    <s v="Mahindra XUV500 AT W10 AWD"/>
    <x v="2"/>
    <n v="1350000"/>
    <n v="15000"/>
    <x v="1"/>
    <x v="0"/>
    <x v="1"/>
    <s v="Second Owner"/>
    <n v="9"/>
    <s v="Premium"/>
  </r>
  <r>
    <s v="Renault Duster 110PS Diesel RxZ"/>
    <x v="2"/>
    <n v="800000"/>
    <n v="50000"/>
    <x v="1"/>
    <x v="0"/>
    <x v="0"/>
    <s v="First Owner"/>
    <n v="9"/>
    <s v="Mid Range"/>
  </r>
  <r>
    <s v="Datsun RediGO 1.0 S"/>
    <x v="2"/>
    <n v="250000"/>
    <n v="15000"/>
    <x v="0"/>
    <x v="0"/>
    <x v="0"/>
    <s v="First Owner"/>
    <n v="9"/>
    <s v="Budget"/>
  </r>
  <r>
    <s v="Maruti Ignis 1.2 AMT Alpha BSIV"/>
    <x v="6"/>
    <n v="700000"/>
    <n v="25000"/>
    <x v="0"/>
    <x v="0"/>
    <x v="1"/>
    <s v="First Owner"/>
    <n v="8"/>
    <s v="Mid Range"/>
  </r>
  <r>
    <s v="Tata Nexon 1.5 Revotorq XM"/>
    <x v="7"/>
    <n v="800000"/>
    <n v="25000"/>
    <x v="1"/>
    <x v="0"/>
    <x v="0"/>
    <s v="First Owner"/>
    <n v="7"/>
    <s v="Mid Range"/>
  </r>
  <r>
    <s v="Mahindra XUV500 W6 2WD"/>
    <x v="8"/>
    <n v="660000"/>
    <n v="69000"/>
    <x v="1"/>
    <x v="0"/>
    <x v="0"/>
    <s v="First Owner"/>
    <n v="13"/>
    <s v="Mid Range"/>
  </r>
  <r>
    <s v="Maruti Swift VDI BSIV"/>
    <x v="5"/>
    <n v="465000"/>
    <n v="60000"/>
    <x v="1"/>
    <x v="0"/>
    <x v="0"/>
    <s v="Third Owner"/>
    <n v="11"/>
    <s v="Budget"/>
  </r>
  <r>
    <s v="Mahindra Scorpio 2.6 CRDe"/>
    <x v="12"/>
    <n v="180000"/>
    <n v="222435"/>
    <x v="1"/>
    <x v="0"/>
    <x v="0"/>
    <s v="Second Owner"/>
    <n v="20"/>
    <s v="Budget"/>
  </r>
  <r>
    <s v="Maruti Swift Dzire VDI"/>
    <x v="2"/>
    <n v="600000"/>
    <n v="66000"/>
    <x v="1"/>
    <x v="0"/>
    <x v="0"/>
    <s v="Third Owner"/>
    <n v="9"/>
    <s v="Mid Range"/>
  </r>
  <r>
    <s v="Ford Fiesta 1.4 ZXi Duratec"/>
    <x v="10"/>
    <n v="150000"/>
    <n v="110000"/>
    <x v="0"/>
    <x v="0"/>
    <x v="0"/>
    <s v="First Owner"/>
    <n v="16"/>
    <s v="Budget"/>
  </r>
  <r>
    <s v="Hyundai Verna 1.6 SX"/>
    <x v="3"/>
    <n v="450000"/>
    <n v="78000"/>
    <x v="1"/>
    <x v="0"/>
    <x v="0"/>
    <s v="Second Owner"/>
    <n v="12"/>
    <s v="Budget"/>
  </r>
  <r>
    <s v="Hyundai Elite i20 Sportz Plus BSIV"/>
    <x v="7"/>
    <n v="721000"/>
    <n v="10000"/>
    <x v="0"/>
    <x v="0"/>
    <x v="0"/>
    <s v="First Owner"/>
    <n v="7"/>
    <s v="Mid Range"/>
  </r>
  <r>
    <s v="Maruti Swift 1.2 DLX"/>
    <x v="6"/>
    <n v="300000"/>
    <n v="35000"/>
    <x v="0"/>
    <x v="0"/>
    <x v="0"/>
    <s v="First Owner"/>
    <n v="8"/>
    <s v="Budget"/>
  </r>
  <r>
    <s v="Mahindra Scorpio BSIV"/>
    <x v="7"/>
    <n v="1000000"/>
    <n v="10000"/>
    <x v="1"/>
    <x v="0"/>
    <x v="0"/>
    <s v="First Owner"/>
    <n v="7"/>
    <s v="Mid Range"/>
  </r>
  <r>
    <s v="Renault KWID RXT"/>
    <x v="4"/>
    <n v="300000"/>
    <n v="40000"/>
    <x v="0"/>
    <x v="0"/>
    <x v="0"/>
    <s v="First Owner"/>
    <n v="10"/>
    <s v="Budget"/>
  </r>
  <r>
    <s v="Mahindra Scorpio LX"/>
    <x v="8"/>
    <n v="450000"/>
    <n v="120000"/>
    <x v="1"/>
    <x v="0"/>
    <x v="0"/>
    <s v="First Owner"/>
    <n v="13"/>
    <s v="Budget"/>
  </r>
  <r>
    <s v="Maruti Esteem AX"/>
    <x v="25"/>
    <n v="79000"/>
    <n v="70000"/>
    <x v="0"/>
    <x v="0"/>
    <x v="1"/>
    <s v="First Owner"/>
    <n v="29"/>
    <s v="Budget"/>
  </r>
  <r>
    <s v="Ford Figo 1.5D Trend MT"/>
    <x v="2"/>
    <n v="545000"/>
    <n v="40000"/>
    <x v="1"/>
    <x v="0"/>
    <x v="0"/>
    <s v="First Owner"/>
    <n v="9"/>
    <s v="Mid Range"/>
  </r>
  <r>
    <s v="Honda Amaze V Diesel BSIV"/>
    <x v="6"/>
    <n v="844999"/>
    <n v="20000"/>
    <x v="1"/>
    <x v="0"/>
    <x v="0"/>
    <s v="First Owner"/>
    <n v="8"/>
    <s v="Mid Range"/>
  </r>
  <r>
    <s v="Skoda Rapid 1.5 TDI Ambition"/>
    <x v="4"/>
    <n v="700000"/>
    <n v="93000"/>
    <x v="1"/>
    <x v="0"/>
    <x v="0"/>
    <s v="First Owner"/>
    <n v="10"/>
    <s v="Mid Range"/>
  </r>
  <r>
    <s v="Toyota Etios VD"/>
    <x v="4"/>
    <n v="650000"/>
    <n v="159000"/>
    <x v="1"/>
    <x v="0"/>
    <x v="0"/>
    <s v="First Owner"/>
    <n v="10"/>
    <s v="Mid Range"/>
  </r>
  <r>
    <s v="Ford Ecosport 1.5 DV5 MT Titanium"/>
    <x v="3"/>
    <n v="525000"/>
    <n v="75000"/>
    <x v="1"/>
    <x v="0"/>
    <x v="0"/>
    <s v="Second Owner"/>
    <n v="12"/>
    <s v="Mid Range"/>
  </r>
  <r>
    <s v="Ford Fiesta Classic 1.4 SXI Duratorq"/>
    <x v="12"/>
    <n v="110000"/>
    <n v="101100"/>
    <x v="1"/>
    <x v="0"/>
    <x v="0"/>
    <s v="Third Owner"/>
    <n v="20"/>
    <s v="Budget"/>
  </r>
  <r>
    <s v="Tata Indica Vista Aqua 1.3 Quadrajet BSIV"/>
    <x v="9"/>
    <n v="180000"/>
    <n v="66000"/>
    <x v="1"/>
    <x v="0"/>
    <x v="0"/>
    <s v="First Owner"/>
    <n v="15"/>
    <s v="Budget"/>
  </r>
  <r>
    <s v="Hyundai i10 Era"/>
    <x v="1"/>
    <n v="280000"/>
    <n v="30000"/>
    <x v="0"/>
    <x v="0"/>
    <x v="0"/>
    <s v="Second Owner"/>
    <n v="14"/>
    <s v="Budget"/>
  </r>
  <r>
    <s v="Renault KWID 1.0 RXT Optional"/>
    <x v="7"/>
    <n v="400000"/>
    <n v="10000"/>
    <x v="0"/>
    <x v="0"/>
    <x v="0"/>
    <s v="First Owner"/>
    <n v="7"/>
    <s v="Budget"/>
  </r>
  <r>
    <s v="Mahindra XUV500 W8 4WD"/>
    <x v="1"/>
    <n v="625000"/>
    <n v="126000"/>
    <x v="1"/>
    <x v="0"/>
    <x v="0"/>
    <s v="Second Owner"/>
    <n v="14"/>
    <s v="Mid Range"/>
  </r>
  <r>
    <s v="Volkswagen Vento 1.5 TDI Highline"/>
    <x v="5"/>
    <n v="535000"/>
    <n v="70000"/>
    <x v="1"/>
    <x v="0"/>
    <x v="0"/>
    <s v="First Owner"/>
    <n v="11"/>
    <s v="Mid Range"/>
  </r>
  <r>
    <s v="Maruti Swift VDI Optional"/>
    <x v="2"/>
    <n v="459999"/>
    <n v="50000"/>
    <x v="1"/>
    <x v="0"/>
    <x v="0"/>
    <s v="First Owner"/>
    <n v="9"/>
    <s v="Budget"/>
  </r>
  <r>
    <s v="Mahindra Bolero DI"/>
    <x v="10"/>
    <n v="300000"/>
    <n v="100000"/>
    <x v="1"/>
    <x v="0"/>
    <x v="0"/>
    <s v="First Owner"/>
    <n v="16"/>
    <s v="Budget"/>
  </r>
  <r>
    <s v="Honda Civic 1.8 V AT"/>
    <x v="0"/>
    <n v="280000"/>
    <n v="60000"/>
    <x v="0"/>
    <x v="0"/>
    <x v="1"/>
    <s v="First Owner"/>
    <n v="19"/>
    <s v="Budget"/>
  </r>
  <r>
    <s v="Honda Mobilio V i VTEC"/>
    <x v="3"/>
    <n v="500000"/>
    <n v="70000"/>
    <x v="0"/>
    <x v="0"/>
    <x v="0"/>
    <s v="First Owner"/>
    <n v="12"/>
    <s v="Mid Range"/>
  </r>
  <r>
    <s v="Hyundai Creta 1.6 SX"/>
    <x v="7"/>
    <n v="1200000"/>
    <n v="1200"/>
    <x v="0"/>
    <x v="0"/>
    <x v="0"/>
    <s v="First Owner"/>
    <n v="7"/>
    <s v="Premium"/>
  </r>
  <r>
    <s v="Hyundai i10 Sportz AT"/>
    <x v="9"/>
    <n v="180000"/>
    <n v="134444"/>
    <x v="0"/>
    <x v="0"/>
    <x v="1"/>
    <s v="Second Owner"/>
    <n v="15"/>
    <s v="Budget"/>
  </r>
  <r>
    <s v="Maruti Alto LXi"/>
    <x v="11"/>
    <n v="78000"/>
    <n v="120000"/>
    <x v="0"/>
    <x v="0"/>
    <x v="0"/>
    <s v="Second Owner"/>
    <n v="17"/>
    <s v="Budget"/>
  </r>
  <r>
    <s v="Nissan Micra Diesel XV Premium"/>
    <x v="9"/>
    <n v="160000"/>
    <n v="120000"/>
    <x v="1"/>
    <x v="0"/>
    <x v="0"/>
    <s v="First Owner"/>
    <n v="15"/>
    <s v="Budget"/>
  </r>
  <r>
    <s v="Mahindra Scorpio VLX 2WD AIRBAG BSIV"/>
    <x v="3"/>
    <n v="600000"/>
    <n v="238000"/>
    <x v="1"/>
    <x v="0"/>
    <x v="0"/>
    <s v="First Owner"/>
    <n v="12"/>
    <s v="Mid Range"/>
  </r>
  <r>
    <s v="Maruti Wagon R LXI Minor"/>
    <x v="15"/>
    <n v="110000"/>
    <n v="100000"/>
    <x v="0"/>
    <x v="0"/>
    <x v="0"/>
    <s v="Second Owner"/>
    <n v="18"/>
    <s v="Budget"/>
  </r>
  <r>
    <s v="Mahindra Bolero SLX 4WD BSIII"/>
    <x v="9"/>
    <n v="450000"/>
    <n v="110000"/>
    <x v="1"/>
    <x v="0"/>
    <x v="0"/>
    <s v="Second Owner"/>
    <n v="15"/>
    <s v="Budget"/>
  </r>
  <r>
    <s v="Mahindra Scorpio S9 BSIV"/>
    <x v="7"/>
    <n v="1350000"/>
    <n v="35000"/>
    <x v="1"/>
    <x v="0"/>
    <x v="0"/>
    <s v="First Owner"/>
    <n v="7"/>
    <s v="Premium"/>
  </r>
  <r>
    <s v="Honda City 1.3 DX"/>
    <x v="18"/>
    <n v="120000"/>
    <n v="165000"/>
    <x v="0"/>
    <x v="0"/>
    <x v="0"/>
    <s v="Second Owner"/>
    <n v="23"/>
    <s v="Budget"/>
  </r>
  <r>
    <s v="Honda BR-V i-DTEC VX MT"/>
    <x v="6"/>
    <n v="1040000"/>
    <n v="42000"/>
    <x v="1"/>
    <x v="0"/>
    <x v="0"/>
    <s v="First Owner"/>
    <n v="8"/>
    <s v="Premium"/>
  </r>
  <r>
    <s v="Hyundai Grand i10 CRDi Sportz"/>
    <x v="3"/>
    <n v="390000"/>
    <n v="70000"/>
    <x v="1"/>
    <x v="0"/>
    <x v="0"/>
    <s v="Second Owner"/>
    <n v="12"/>
    <s v="Budget"/>
  </r>
  <r>
    <s v="Tata Nano Lx BSIII"/>
    <x v="9"/>
    <n v="65000"/>
    <n v="60000"/>
    <x v="0"/>
    <x v="0"/>
    <x v="0"/>
    <s v="Second Owner"/>
    <n v="15"/>
    <s v="Budget"/>
  </r>
  <r>
    <s v="Volkswagen Polo Diesel Highline 1.2L"/>
    <x v="8"/>
    <n v="320000"/>
    <n v="115000"/>
    <x v="1"/>
    <x v="0"/>
    <x v="0"/>
    <s v="Third Owner"/>
    <n v="13"/>
    <s v="Budget"/>
  </r>
  <r>
    <s v="Volkswagen Ameo 1.5 TDI Highline"/>
    <x v="2"/>
    <n v="720000"/>
    <n v="70000"/>
    <x v="1"/>
    <x v="0"/>
    <x v="0"/>
    <s v="First Owner"/>
    <n v="9"/>
    <s v="Mid Range"/>
  </r>
  <r>
    <s v="Maruti Swift ZXI ABS"/>
    <x v="0"/>
    <n v="220000"/>
    <n v="80000"/>
    <x v="0"/>
    <x v="0"/>
    <x v="0"/>
    <s v="Second Owner"/>
    <n v="19"/>
    <s v="Budget"/>
  </r>
  <r>
    <s v="Maruti Wagon R LXI BS IV"/>
    <x v="9"/>
    <n v="225000"/>
    <n v="65000"/>
    <x v="0"/>
    <x v="1"/>
    <x v="0"/>
    <s v="First Owner"/>
    <n v="15"/>
    <s v="Budget"/>
  </r>
  <r>
    <s v="Tata Manza Aura (ABS) Quadrajet BS IV"/>
    <x v="10"/>
    <n v="200000"/>
    <n v="150000"/>
    <x v="1"/>
    <x v="0"/>
    <x v="0"/>
    <s v="Second Owner"/>
    <n v="16"/>
    <s v="Budget"/>
  </r>
  <r>
    <s v="Toyota Etios GD"/>
    <x v="5"/>
    <n v="434999"/>
    <n v="75000"/>
    <x v="1"/>
    <x v="1"/>
    <x v="0"/>
    <s v="Second Owner"/>
    <n v="11"/>
    <s v="Budget"/>
  </r>
  <r>
    <s v="Ford Figo Diesel Titanium"/>
    <x v="1"/>
    <n v="300000"/>
    <n v="63700"/>
    <x v="1"/>
    <x v="0"/>
    <x v="0"/>
    <s v="First Owner"/>
    <n v="14"/>
    <s v="Budget"/>
  </r>
  <r>
    <s v="Honda Amaze VX i-DTEC"/>
    <x v="6"/>
    <n v="700000"/>
    <n v="74800"/>
    <x v="1"/>
    <x v="0"/>
    <x v="0"/>
    <s v="First Owner"/>
    <n v="8"/>
    <s v="Mid Range"/>
  </r>
  <r>
    <s v="Ford Endeavour 2.5L 4X2 MT"/>
    <x v="11"/>
    <n v="500000"/>
    <n v="105000"/>
    <x v="1"/>
    <x v="0"/>
    <x v="0"/>
    <s v="Second Owner"/>
    <n v="17"/>
    <s v="Mid Range"/>
  </r>
  <r>
    <s v="Renault Duster 85PS Diesel RxE"/>
    <x v="4"/>
    <n v="500000"/>
    <n v="40000"/>
    <x v="1"/>
    <x v="0"/>
    <x v="0"/>
    <s v="First Owner"/>
    <n v="10"/>
    <s v="Mid Range"/>
  </r>
  <r>
    <s v="Maruti Ritz LDi"/>
    <x v="4"/>
    <n v="400000"/>
    <n v="90000"/>
    <x v="1"/>
    <x v="0"/>
    <x v="0"/>
    <s v="Second Owner"/>
    <n v="10"/>
    <s v="Budget"/>
  </r>
  <r>
    <s v="Toyota Corolla Altis D-4D J"/>
    <x v="5"/>
    <n v="825000"/>
    <n v="75000"/>
    <x v="1"/>
    <x v="1"/>
    <x v="0"/>
    <s v="Second Owner"/>
    <n v="11"/>
    <s v="Mid Range"/>
  </r>
  <r>
    <s v="Maruti Swift Dzire VDI"/>
    <x v="6"/>
    <n v="720000"/>
    <n v="15000"/>
    <x v="1"/>
    <x v="0"/>
    <x v="0"/>
    <s v="First Owner"/>
    <n v="8"/>
    <s v="Mid Range"/>
  </r>
  <r>
    <s v="Maruti 800 AC Uniq"/>
    <x v="11"/>
    <n v="110000"/>
    <n v="30000"/>
    <x v="0"/>
    <x v="0"/>
    <x v="0"/>
    <s v="Second Owner"/>
    <n v="17"/>
    <s v="Budget"/>
  </r>
  <r>
    <s v="Mahindra Scorpio VLX 2WD AIRBAG BSIV"/>
    <x v="3"/>
    <n v="600000"/>
    <n v="100000"/>
    <x v="1"/>
    <x v="0"/>
    <x v="0"/>
    <s v="Second Owner"/>
    <n v="12"/>
    <s v="Mid Range"/>
  </r>
  <r>
    <s v="Mahindra Scorpio VLX 2WD AT BSIV"/>
    <x v="11"/>
    <n v="275000"/>
    <n v="155000"/>
    <x v="1"/>
    <x v="0"/>
    <x v="1"/>
    <s v="Third Owner"/>
    <n v="17"/>
    <s v="Budget"/>
  </r>
  <r>
    <s v="Land Rover Range Rover Evoque 2.2L Dynamic"/>
    <x v="1"/>
    <n v="2349000"/>
    <n v="149000"/>
    <x v="1"/>
    <x v="0"/>
    <x v="1"/>
    <s v="Second Owner"/>
    <n v="14"/>
    <s v="Premium"/>
  </r>
  <r>
    <s v="Hyundai i20 1.4 Sportz"/>
    <x v="2"/>
    <n v="740000"/>
    <n v="60000"/>
    <x v="1"/>
    <x v="0"/>
    <x v="0"/>
    <s v="First Owner"/>
    <n v="9"/>
    <s v="Mid Range"/>
  </r>
  <r>
    <s v="Maruti Baleno Alpha 1.3"/>
    <x v="2"/>
    <n v="800000"/>
    <n v="90000"/>
    <x v="1"/>
    <x v="0"/>
    <x v="0"/>
    <s v="First Owner"/>
    <n v="9"/>
    <s v="Mid Range"/>
  </r>
  <r>
    <s v="Hyundai Verna CRDi 1.6 SX Option"/>
    <x v="7"/>
    <n v="1100000"/>
    <n v="100000"/>
    <x v="1"/>
    <x v="0"/>
    <x v="0"/>
    <s v="First Owner"/>
    <n v="7"/>
    <s v="Premium"/>
  </r>
  <r>
    <s v="BMW X1 sDrive20d"/>
    <x v="1"/>
    <n v="750000"/>
    <n v="100000"/>
    <x v="1"/>
    <x v="0"/>
    <x v="1"/>
    <s v="Second Owner"/>
    <n v="14"/>
    <s v="Mid Range"/>
  </r>
  <r>
    <s v="Maruti Alto K10 2010-2014 VXI"/>
    <x v="1"/>
    <n v="200000"/>
    <n v="90000"/>
    <x v="0"/>
    <x v="0"/>
    <x v="0"/>
    <s v="Second Owner"/>
    <n v="14"/>
    <s v="Budget"/>
  </r>
  <r>
    <s v="Tata Spacio SA 6 Seater"/>
    <x v="11"/>
    <n v="210000"/>
    <n v="75000"/>
    <x v="1"/>
    <x v="0"/>
    <x v="0"/>
    <s v="First Owner"/>
    <n v="17"/>
    <s v="Budget"/>
  </r>
  <r>
    <s v="Maruti Swift VDI BSIV"/>
    <x v="11"/>
    <n v="270000"/>
    <n v="120000"/>
    <x v="1"/>
    <x v="0"/>
    <x v="0"/>
    <s v="Second Owner"/>
    <n v="17"/>
    <s v="Budget"/>
  </r>
  <r>
    <s v="Toyota Etios 1.4 VXD"/>
    <x v="4"/>
    <n v="630000"/>
    <n v="90000"/>
    <x v="1"/>
    <x v="0"/>
    <x v="0"/>
    <s v="Second Owner"/>
    <n v="10"/>
    <s v="Mid Range"/>
  </r>
  <r>
    <s v="Hyundai Xcent 1.2 Kappa S"/>
    <x v="5"/>
    <n v="375000"/>
    <n v="55000"/>
    <x v="0"/>
    <x v="0"/>
    <x v="0"/>
    <s v="First Owner"/>
    <n v="11"/>
    <s v="Budget"/>
  </r>
  <r>
    <s v="Mahindra Xylo D2"/>
    <x v="10"/>
    <n v="300000"/>
    <n v="70000"/>
    <x v="1"/>
    <x v="0"/>
    <x v="0"/>
    <s v="First Owner"/>
    <n v="16"/>
    <s v="Budget"/>
  </r>
  <r>
    <s v="Mahindra Bolero Power Plus SLX"/>
    <x v="4"/>
    <n v="580000"/>
    <n v="95000"/>
    <x v="1"/>
    <x v="0"/>
    <x v="0"/>
    <s v="Second Owner"/>
    <n v="10"/>
    <s v="Mid Range"/>
  </r>
  <r>
    <s v="Hyundai Verna 1.4 CRDi"/>
    <x v="3"/>
    <n v="550000"/>
    <n v="50000"/>
    <x v="1"/>
    <x v="0"/>
    <x v="0"/>
    <s v="First Owner"/>
    <n v="12"/>
    <s v="Mid Range"/>
  </r>
  <r>
    <s v="Maruti Ciaz ZDi Plus SHVS"/>
    <x v="4"/>
    <n v="750000"/>
    <n v="50000"/>
    <x v="1"/>
    <x v="0"/>
    <x v="0"/>
    <s v="First Owner"/>
    <n v="10"/>
    <s v="Mid Range"/>
  </r>
  <r>
    <s v="Maruti Omni E MPI STD BS IV"/>
    <x v="3"/>
    <n v="250000"/>
    <n v="60516"/>
    <x v="0"/>
    <x v="0"/>
    <x v="0"/>
    <s v="First Owner"/>
    <n v="12"/>
    <s v="Budget"/>
  </r>
  <r>
    <s v="Hyundai Verna 1.6 SX"/>
    <x v="1"/>
    <n v="434999"/>
    <n v="235000"/>
    <x v="1"/>
    <x v="0"/>
    <x v="0"/>
    <s v="Second Owner"/>
    <n v="14"/>
    <s v="Budget"/>
  </r>
  <r>
    <s v="Mercedes-Benz E-Class 280 CDI"/>
    <x v="0"/>
    <n v="900000"/>
    <n v="76731"/>
    <x v="1"/>
    <x v="1"/>
    <x v="1"/>
    <s v="First Owner"/>
    <n v="19"/>
    <s v="Mid Range"/>
  </r>
  <r>
    <s v="Maruti Swift ZDI"/>
    <x v="4"/>
    <n v="685000"/>
    <n v="64000"/>
    <x v="1"/>
    <x v="1"/>
    <x v="0"/>
    <s v="First Owner"/>
    <n v="10"/>
    <s v="Mid Range"/>
  </r>
  <r>
    <s v="Maruti Swift VDI BSIV"/>
    <x v="3"/>
    <n v="540000"/>
    <n v="65000"/>
    <x v="1"/>
    <x v="1"/>
    <x v="0"/>
    <s v="First Owner"/>
    <n v="12"/>
    <s v="Mid Range"/>
  </r>
  <r>
    <s v="Honda City i-VTEC CVT ZX"/>
    <x v="6"/>
    <n v="1165000"/>
    <n v="13000"/>
    <x v="0"/>
    <x v="1"/>
    <x v="1"/>
    <s v="Test Drive Car"/>
    <n v="8"/>
    <s v="Premium"/>
  </r>
  <r>
    <s v="Ford Ecosport 1.5 DV5 MT Titanium Optional"/>
    <x v="3"/>
    <n v="610000"/>
    <n v="77000"/>
    <x v="1"/>
    <x v="1"/>
    <x v="0"/>
    <s v="First Owner"/>
    <n v="12"/>
    <s v="Mid Range"/>
  </r>
  <r>
    <s v="Hyundai EON Era"/>
    <x v="9"/>
    <n v="254999"/>
    <n v="24000"/>
    <x v="0"/>
    <x v="1"/>
    <x v="0"/>
    <s v="First Owner"/>
    <n v="15"/>
    <s v="Budget"/>
  </r>
  <r>
    <s v="Nissan Micra Active XV"/>
    <x v="3"/>
    <n v="280000"/>
    <n v="63840"/>
    <x v="0"/>
    <x v="1"/>
    <x v="0"/>
    <s v="First Owner"/>
    <n v="12"/>
    <s v="Budget"/>
  </r>
  <r>
    <s v="Tata Tiago 1.2 Revotron XT"/>
    <x v="2"/>
    <n v="370000"/>
    <n v="25000"/>
    <x v="0"/>
    <x v="0"/>
    <x v="0"/>
    <s v="First Owner"/>
    <n v="9"/>
    <s v="Budget"/>
  </r>
  <r>
    <s v="Tata New Safari DICOR 2.2 EX 4x2"/>
    <x v="9"/>
    <n v="459999"/>
    <n v="76400"/>
    <x v="1"/>
    <x v="0"/>
    <x v="0"/>
    <s v="Second Owner"/>
    <n v="15"/>
    <s v="Budget"/>
  </r>
  <r>
    <s v="Maruti Zen LX"/>
    <x v="17"/>
    <n v="42000"/>
    <n v="70000"/>
    <x v="0"/>
    <x v="0"/>
    <x v="0"/>
    <s v="Third Owner"/>
    <n v="28"/>
    <s v="Budget"/>
  </r>
  <r>
    <s v="Fiat Linea Active (Diesel)"/>
    <x v="9"/>
    <n v="190000"/>
    <n v="80000"/>
    <x v="1"/>
    <x v="0"/>
    <x v="0"/>
    <s v="Third Owner"/>
    <n v="15"/>
    <s v="Budget"/>
  </r>
  <r>
    <s v="Fiat Punto 1.4 Emotion"/>
    <x v="10"/>
    <n v="165000"/>
    <n v="100000"/>
    <x v="0"/>
    <x v="0"/>
    <x v="0"/>
    <s v="Fourth &amp; Above Owner"/>
    <n v="16"/>
    <s v="Budget"/>
  </r>
  <r>
    <s v="Ford EcoSport 1.5 Diesel Trend Plus BSIV"/>
    <x v="2"/>
    <n v="710000"/>
    <n v="40000"/>
    <x v="1"/>
    <x v="0"/>
    <x v="0"/>
    <s v="First Owner"/>
    <n v="9"/>
    <s v="Mid Range"/>
  </r>
  <r>
    <s v="Hyundai Creta 1.6 SX Option"/>
    <x v="6"/>
    <n v="1200000"/>
    <n v="15000"/>
    <x v="0"/>
    <x v="0"/>
    <x v="0"/>
    <s v="First Owner"/>
    <n v="8"/>
    <s v="Premium"/>
  </r>
  <r>
    <s v="Maruti Zen Estilo LXI BS IV"/>
    <x v="9"/>
    <n v="229999"/>
    <n v="70000"/>
    <x v="0"/>
    <x v="0"/>
    <x v="0"/>
    <s v="First Owner"/>
    <n v="15"/>
    <s v="Budget"/>
  </r>
  <r>
    <s v="Renault KWID RXT"/>
    <x v="6"/>
    <n v="310000"/>
    <n v="15000"/>
    <x v="0"/>
    <x v="0"/>
    <x v="0"/>
    <s v="First Owner"/>
    <n v="8"/>
    <s v="Budget"/>
  </r>
  <r>
    <s v="Maruti Wagon R VXI BS IV"/>
    <x v="5"/>
    <n v="320000"/>
    <n v="40000"/>
    <x v="0"/>
    <x v="0"/>
    <x v="0"/>
    <s v="First Owner"/>
    <n v="11"/>
    <s v="Budget"/>
  </r>
  <r>
    <s v="Maruti 800 AC"/>
    <x v="12"/>
    <n v="100000"/>
    <n v="54000"/>
    <x v="0"/>
    <x v="0"/>
    <x v="0"/>
    <s v="First Owner"/>
    <n v="20"/>
    <s v="Budget"/>
  </r>
  <r>
    <s v="Hyundai Verna CRDi"/>
    <x v="11"/>
    <n v="160000"/>
    <n v="90000"/>
    <x v="1"/>
    <x v="0"/>
    <x v="0"/>
    <s v="First Owner"/>
    <n v="17"/>
    <s v="Budget"/>
  </r>
  <r>
    <s v="Maruti 800 AC BSIII"/>
    <x v="0"/>
    <n v="60000"/>
    <n v="52000"/>
    <x v="0"/>
    <x v="0"/>
    <x v="0"/>
    <s v="First Owner"/>
    <n v="19"/>
    <s v="Budget"/>
  </r>
  <r>
    <s v="Tata Indigo LS"/>
    <x v="1"/>
    <n v="100000"/>
    <n v="200000"/>
    <x v="1"/>
    <x v="0"/>
    <x v="0"/>
    <s v="Third Owner"/>
    <n v="14"/>
    <s v="Budget"/>
  </r>
  <r>
    <s v="Chevrolet Beat Diesel LT"/>
    <x v="4"/>
    <n v="350000"/>
    <n v="35000"/>
    <x v="1"/>
    <x v="0"/>
    <x v="0"/>
    <s v="Second Owner"/>
    <n v="10"/>
    <s v="Budget"/>
  </r>
  <r>
    <s v="Renault Duster 110PS Diesel RxZ AWD"/>
    <x v="2"/>
    <n v="700000"/>
    <n v="60000"/>
    <x v="1"/>
    <x v="0"/>
    <x v="0"/>
    <s v="First Owner"/>
    <n v="9"/>
    <s v="Mid Range"/>
  </r>
  <r>
    <s v="Maruti Alto K10 VXI"/>
    <x v="2"/>
    <n v="300000"/>
    <n v="31489"/>
    <x v="0"/>
    <x v="0"/>
    <x v="0"/>
    <s v="First Owner"/>
    <n v="9"/>
    <s v="Budget"/>
  </r>
  <r>
    <s v="Hyundai i20 1.4 Asta Option"/>
    <x v="6"/>
    <n v="830000"/>
    <n v="40000"/>
    <x v="1"/>
    <x v="0"/>
    <x v="0"/>
    <s v="First Owner"/>
    <n v="8"/>
    <s v="Mid Range"/>
  </r>
  <r>
    <s v="Hyundai Verna Transform VTVT"/>
    <x v="10"/>
    <n v="229999"/>
    <n v="70000"/>
    <x v="0"/>
    <x v="0"/>
    <x v="0"/>
    <s v="First Owner"/>
    <n v="16"/>
    <s v="Budget"/>
  </r>
  <r>
    <s v="Hyundai i20 Magna Optional 1.4 CRDi"/>
    <x v="8"/>
    <n v="400000"/>
    <n v="100000"/>
    <x v="1"/>
    <x v="0"/>
    <x v="0"/>
    <s v="First Owner"/>
    <n v="13"/>
    <s v="Budget"/>
  </r>
  <r>
    <s v="Maruti Gypsy King Hard Top Ambulance BSIV"/>
    <x v="14"/>
    <n v="300000"/>
    <n v="70000"/>
    <x v="0"/>
    <x v="0"/>
    <x v="0"/>
    <s v="Second Owner"/>
    <n v="21"/>
    <s v="Budget"/>
  </r>
  <r>
    <s v="Ford Figo Diesel Celebration Edition"/>
    <x v="8"/>
    <n v="300000"/>
    <n v="50000"/>
    <x v="1"/>
    <x v="0"/>
    <x v="0"/>
    <s v="First Owner"/>
    <n v="13"/>
    <s v="Budget"/>
  </r>
  <r>
    <s v="Ford Fiesta 1.4 SXi TDCi"/>
    <x v="11"/>
    <n v="80000"/>
    <n v="180000"/>
    <x v="1"/>
    <x v="0"/>
    <x v="0"/>
    <s v="Second Owner"/>
    <n v="17"/>
    <s v="Budget"/>
  </r>
  <r>
    <s v="Maruti 800 AC"/>
    <x v="15"/>
    <n v="80000"/>
    <n v="50000"/>
    <x v="0"/>
    <x v="0"/>
    <x v="0"/>
    <s v="Second Owner"/>
    <n v="18"/>
    <s v="Budget"/>
  </r>
  <r>
    <s v="Maruti Esteem Vxi"/>
    <x v="0"/>
    <n v="100000"/>
    <n v="90000"/>
    <x v="0"/>
    <x v="0"/>
    <x v="0"/>
    <s v="Second Owner"/>
    <n v="19"/>
    <s v="Budget"/>
  </r>
  <r>
    <s v="Tata Indica Vista Quadrajet LS"/>
    <x v="1"/>
    <n v="300000"/>
    <n v="110000"/>
    <x v="1"/>
    <x v="0"/>
    <x v="0"/>
    <s v="First Owner"/>
    <n v="14"/>
    <s v="Budget"/>
  </r>
  <r>
    <s v="Maruti Baleno Zeta Automatic"/>
    <x v="6"/>
    <n v="700000"/>
    <n v="26000"/>
    <x v="0"/>
    <x v="0"/>
    <x v="1"/>
    <s v="First Owner"/>
    <n v="8"/>
    <s v="Mid Range"/>
  </r>
  <r>
    <s v="Maruti Vitara Brezza ZDi Plus"/>
    <x v="4"/>
    <n v="975000"/>
    <n v="65000"/>
    <x v="1"/>
    <x v="0"/>
    <x v="0"/>
    <s v="First Owner"/>
    <n v="10"/>
    <s v="Mid Range"/>
  </r>
  <r>
    <s v="Chevrolet Captiva LT"/>
    <x v="11"/>
    <n v="500000"/>
    <n v="130000"/>
    <x v="1"/>
    <x v="0"/>
    <x v="0"/>
    <s v="First Owner"/>
    <n v="17"/>
    <s v="Mid Range"/>
  </r>
  <r>
    <s v="Renault Duster 85PS Diesel RxL Optional"/>
    <x v="8"/>
    <n v="550000"/>
    <n v="75000"/>
    <x v="1"/>
    <x v="0"/>
    <x v="0"/>
    <s v="Second Owner"/>
    <n v="13"/>
    <s v="Mid Range"/>
  </r>
  <r>
    <s v="Nissan Terrano XV Premium 110 PS"/>
    <x v="3"/>
    <n v="550000"/>
    <n v="110000"/>
    <x v="1"/>
    <x v="0"/>
    <x v="0"/>
    <s v="Second Owner"/>
    <n v="12"/>
    <s v="Mid Range"/>
  </r>
  <r>
    <s v="Maruti Alto K10 2010-2014 VXI"/>
    <x v="3"/>
    <n v="240000"/>
    <n v="50000"/>
    <x v="0"/>
    <x v="0"/>
    <x v="0"/>
    <s v="First Owner"/>
    <n v="12"/>
    <s v="Budget"/>
  </r>
  <r>
    <s v="Maruti 800 Std"/>
    <x v="25"/>
    <n v="50000"/>
    <n v="80000"/>
    <x v="0"/>
    <x v="0"/>
    <x v="0"/>
    <s v="Second Owner"/>
    <n v="29"/>
    <s v="Budget"/>
  </r>
  <r>
    <s v="Tata Indica Vista Aura 1.2 Safire"/>
    <x v="11"/>
    <n v="120000"/>
    <n v="80000"/>
    <x v="0"/>
    <x v="0"/>
    <x v="0"/>
    <s v="Second Owner"/>
    <n v="17"/>
    <s v="Budget"/>
  </r>
  <r>
    <s v="Maruti Alto 800 LXI"/>
    <x v="8"/>
    <n v="900000"/>
    <n v="60000"/>
    <x v="0"/>
    <x v="0"/>
    <x v="0"/>
    <s v="Second Owner"/>
    <n v="13"/>
    <s v="Mid Range"/>
  </r>
  <r>
    <s v="Honda City 1.5 V MT"/>
    <x v="11"/>
    <n v="250000"/>
    <n v="90000"/>
    <x v="0"/>
    <x v="0"/>
    <x v="0"/>
    <s v="Second Owner"/>
    <n v="17"/>
    <s v="Budget"/>
  </r>
  <r>
    <s v="Renault KWID 1.0 RXT Optional"/>
    <x v="2"/>
    <n v="280000"/>
    <n v="36000"/>
    <x v="0"/>
    <x v="0"/>
    <x v="0"/>
    <s v="First Owner"/>
    <n v="9"/>
    <s v="Budget"/>
  </r>
  <r>
    <s v="Tata Indica Vista Terra Quadrajet 1.3L BS IV"/>
    <x v="10"/>
    <n v="85000"/>
    <n v="87000"/>
    <x v="1"/>
    <x v="0"/>
    <x v="0"/>
    <s v="First Owner"/>
    <n v="16"/>
    <s v="Budget"/>
  </r>
  <r>
    <s v="Tata Indica Vista Terra 1.4 TDI"/>
    <x v="9"/>
    <n v="90000"/>
    <n v="80000"/>
    <x v="1"/>
    <x v="0"/>
    <x v="0"/>
    <s v="First Owner"/>
    <n v="15"/>
    <s v="Budget"/>
  </r>
  <r>
    <s v="Chevrolet Enjoy TCDi LT 8 Seater"/>
    <x v="5"/>
    <n v="500000"/>
    <n v="50000"/>
    <x v="1"/>
    <x v="0"/>
    <x v="0"/>
    <s v="First Owner"/>
    <n v="11"/>
    <s v="Mid Range"/>
  </r>
  <r>
    <s v="Maruti 800 Std"/>
    <x v="8"/>
    <n v="200000"/>
    <n v="60000"/>
    <x v="0"/>
    <x v="0"/>
    <x v="0"/>
    <s v="First Owner"/>
    <n v="13"/>
    <s v="Budget"/>
  </r>
  <r>
    <s v="Renault KWID RXT"/>
    <x v="5"/>
    <n v="250000"/>
    <n v="50000"/>
    <x v="0"/>
    <x v="0"/>
    <x v="0"/>
    <s v="First Owner"/>
    <n v="11"/>
    <s v="Budget"/>
  </r>
  <r>
    <s v="Maruti Swift Dzire VDI"/>
    <x v="3"/>
    <n v="185000"/>
    <n v="40000"/>
    <x v="1"/>
    <x v="0"/>
    <x v="0"/>
    <s v="Third Owner"/>
    <n v="12"/>
    <s v="Budget"/>
  </r>
  <r>
    <s v="Hyundai i10 Magna 1.1"/>
    <x v="15"/>
    <n v="100000"/>
    <n v="60000"/>
    <x v="0"/>
    <x v="0"/>
    <x v="0"/>
    <s v="Second Owner"/>
    <n v="18"/>
    <s v="Budget"/>
  </r>
  <r>
    <s v="Toyota Etios VXD"/>
    <x v="5"/>
    <n v="610000"/>
    <n v="55000"/>
    <x v="1"/>
    <x v="0"/>
    <x v="0"/>
    <s v="First Owner"/>
    <n v="11"/>
    <s v="Mid Range"/>
  </r>
  <r>
    <s v="Mahindra Quanto C8"/>
    <x v="1"/>
    <n v="290000"/>
    <n v="80000"/>
    <x v="1"/>
    <x v="0"/>
    <x v="0"/>
    <s v="First Owner"/>
    <n v="14"/>
    <s v="Budget"/>
  </r>
  <r>
    <s v="Mahindra Xylo E9"/>
    <x v="1"/>
    <n v="300000"/>
    <n v="295000"/>
    <x v="1"/>
    <x v="0"/>
    <x v="0"/>
    <s v="First Owner"/>
    <n v="14"/>
    <s v="Budget"/>
  </r>
  <r>
    <s v="Hyundai EON Era Plus"/>
    <x v="5"/>
    <n v="225000"/>
    <n v="80000"/>
    <x v="0"/>
    <x v="0"/>
    <x v="0"/>
    <s v="First Owner"/>
    <n v="11"/>
    <s v="Budget"/>
  </r>
  <r>
    <s v="Maruti Alto K10 VXI"/>
    <x v="2"/>
    <n v="320000"/>
    <n v="50000"/>
    <x v="0"/>
    <x v="0"/>
    <x v="0"/>
    <s v="Second Owner"/>
    <n v="9"/>
    <s v="Budget"/>
  </r>
  <r>
    <s v="Tata Indigo CR4"/>
    <x v="1"/>
    <n v="135000"/>
    <n v="158000"/>
    <x v="1"/>
    <x v="0"/>
    <x v="0"/>
    <s v="Third Owner"/>
    <n v="14"/>
    <s v="Budget"/>
  </r>
  <r>
    <s v="Toyota Innova 2.5 G (Diesel) 7 Seater BS IV"/>
    <x v="12"/>
    <n v="400000"/>
    <n v="400000"/>
    <x v="1"/>
    <x v="0"/>
    <x v="0"/>
    <s v="Third Owner"/>
    <n v="20"/>
    <s v="Budget"/>
  </r>
  <r>
    <s v="Nissan Sunny XL"/>
    <x v="4"/>
    <n v="600000"/>
    <n v="19495"/>
    <x v="0"/>
    <x v="1"/>
    <x v="0"/>
    <s v="First Owner"/>
    <n v="10"/>
    <s v="Mid Range"/>
  </r>
  <r>
    <s v="Renault Duster 85PS Diesel RxL Plus"/>
    <x v="8"/>
    <n v="570000"/>
    <n v="62668"/>
    <x v="1"/>
    <x v="1"/>
    <x v="0"/>
    <s v="First Owner"/>
    <n v="13"/>
    <s v="Mid Range"/>
  </r>
  <r>
    <s v="Mahindra XUV500 W6 2WD"/>
    <x v="8"/>
    <n v="850000"/>
    <n v="85710"/>
    <x v="1"/>
    <x v="1"/>
    <x v="0"/>
    <s v="First Owner"/>
    <n v="13"/>
    <s v="Mid Range"/>
  </r>
  <r>
    <s v="Ford Figo Diesel EXI"/>
    <x v="9"/>
    <n v="250000"/>
    <n v="55130"/>
    <x v="1"/>
    <x v="1"/>
    <x v="0"/>
    <s v="Second Owner"/>
    <n v="15"/>
    <s v="Budget"/>
  </r>
  <r>
    <s v="Ford Ecosport 1.5 DV5 MT Titanium"/>
    <x v="3"/>
    <n v="580000"/>
    <n v="63356"/>
    <x v="1"/>
    <x v="1"/>
    <x v="0"/>
    <s v="Second Owner"/>
    <n v="12"/>
    <s v="Mid Range"/>
  </r>
  <r>
    <s v="Toyota Fortuner 3.0 Diesel"/>
    <x v="1"/>
    <n v="1680000"/>
    <n v="129627"/>
    <x v="1"/>
    <x v="1"/>
    <x v="0"/>
    <s v="First Owner"/>
    <n v="14"/>
    <s v="Premium"/>
  </r>
  <r>
    <s v="Chevrolet Spark 1.0 LT"/>
    <x v="10"/>
    <n v="180000"/>
    <n v="15000"/>
    <x v="0"/>
    <x v="0"/>
    <x v="0"/>
    <s v="First Owner"/>
    <n v="16"/>
    <s v="Budget"/>
  </r>
  <r>
    <s v="Tata Tiago 1.2 Revotron XE"/>
    <x v="2"/>
    <n v="300000"/>
    <n v="50000"/>
    <x v="0"/>
    <x v="0"/>
    <x v="0"/>
    <s v="First Owner"/>
    <n v="9"/>
    <s v="Budget"/>
  </r>
  <r>
    <s v="Toyota Etios Liva VX"/>
    <x v="1"/>
    <n v="269000"/>
    <n v="70000"/>
    <x v="0"/>
    <x v="0"/>
    <x v="0"/>
    <s v="Second Owner"/>
    <n v="14"/>
    <s v="Budget"/>
  </r>
  <r>
    <s v="Maruti Alto K10 VXI"/>
    <x v="6"/>
    <n v="231999"/>
    <n v="20000"/>
    <x v="0"/>
    <x v="0"/>
    <x v="0"/>
    <s v="First Owner"/>
    <n v="8"/>
    <s v="Budget"/>
  </r>
  <r>
    <s v="Chevrolet Beat LS"/>
    <x v="9"/>
    <n v="150000"/>
    <n v="60000"/>
    <x v="0"/>
    <x v="0"/>
    <x v="0"/>
    <s v="Third Owner"/>
    <n v="15"/>
    <s v="Budget"/>
  </r>
  <r>
    <s v="Hyundai Grand i10 Asta Option"/>
    <x v="2"/>
    <n v="495000"/>
    <n v="5000"/>
    <x v="0"/>
    <x v="0"/>
    <x v="0"/>
    <s v="First Owner"/>
    <n v="9"/>
    <s v="Budget"/>
  </r>
  <r>
    <s v="Maruti Ciaz VXi"/>
    <x v="3"/>
    <n v="700000"/>
    <n v="15000"/>
    <x v="0"/>
    <x v="0"/>
    <x v="0"/>
    <s v="First Owner"/>
    <n v="12"/>
    <s v="Mid Range"/>
  </r>
  <r>
    <s v="Datsun GO Plus T BSIV"/>
    <x v="6"/>
    <n v="400000"/>
    <n v="4400"/>
    <x v="0"/>
    <x v="0"/>
    <x v="0"/>
    <s v="Second Owner"/>
    <n v="8"/>
    <s v="Budget"/>
  </r>
  <r>
    <s v="Mahindra Xylo H4"/>
    <x v="7"/>
    <n v="599000"/>
    <n v="15000"/>
    <x v="1"/>
    <x v="0"/>
    <x v="0"/>
    <s v="Third Owner"/>
    <n v="7"/>
    <s v="Mid Range"/>
  </r>
  <r>
    <s v="Renault Duster 85PS Diesel RxL Optional"/>
    <x v="8"/>
    <n v="421000"/>
    <n v="45000"/>
    <x v="1"/>
    <x v="0"/>
    <x v="0"/>
    <s v="First Owner"/>
    <n v="13"/>
    <s v="Budget"/>
  </r>
  <r>
    <s v="Ford EcoSport 1.5 Diesel Trend BSIV"/>
    <x v="6"/>
    <n v="841000"/>
    <n v="1000"/>
    <x v="1"/>
    <x v="0"/>
    <x v="0"/>
    <s v="First Owner"/>
    <n v="8"/>
    <s v="Mid Range"/>
  </r>
  <r>
    <s v="Hyundai i10 Magna 1.1L"/>
    <x v="3"/>
    <n v="295000"/>
    <n v="38500"/>
    <x v="0"/>
    <x v="0"/>
    <x v="0"/>
    <s v="First Owner"/>
    <n v="12"/>
    <s v="Budget"/>
  </r>
  <r>
    <s v="Hyundai i10 Sportz"/>
    <x v="9"/>
    <n v="220000"/>
    <n v="25000"/>
    <x v="0"/>
    <x v="0"/>
    <x v="0"/>
    <s v="First Owner"/>
    <n v="15"/>
    <s v="Budget"/>
  </r>
  <r>
    <s v="Ford Classic 1.4 Duratorq LXI"/>
    <x v="8"/>
    <n v="250000"/>
    <n v="35000"/>
    <x v="1"/>
    <x v="0"/>
    <x v="0"/>
    <s v="First Owner"/>
    <n v="13"/>
    <s v="Budget"/>
  </r>
  <r>
    <s v="Toyota Fortuner 3.0 Diesel"/>
    <x v="11"/>
    <n v="1100000"/>
    <n v="110000"/>
    <x v="1"/>
    <x v="0"/>
    <x v="0"/>
    <s v="Second Owner"/>
    <n v="17"/>
    <s v="Premium"/>
  </r>
  <r>
    <s v="Hyundai Verna 1.6 VTVT"/>
    <x v="1"/>
    <n v="300000"/>
    <n v="40000"/>
    <x v="0"/>
    <x v="0"/>
    <x v="0"/>
    <s v="First Owner"/>
    <n v="14"/>
    <s v="Budget"/>
  </r>
  <r>
    <s v="Chevrolet Aveo U-VA 1.2"/>
    <x v="0"/>
    <n v="80000"/>
    <n v="110000"/>
    <x v="0"/>
    <x v="0"/>
    <x v="0"/>
    <s v="Second Owner"/>
    <n v="19"/>
    <s v="Budget"/>
  </r>
  <r>
    <s v="Chevrolet Beat Diesel LT"/>
    <x v="8"/>
    <n v="215000"/>
    <n v="20000"/>
    <x v="1"/>
    <x v="0"/>
    <x v="0"/>
    <s v="Third Owner"/>
    <n v="13"/>
    <s v="Budget"/>
  </r>
  <r>
    <s v="Hyundai EON Magna Plus"/>
    <x v="1"/>
    <n v="245000"/>
    <n v="14987"/>
    <x v="0"/>
    <x v="1"/>
    <x v="0"/>
    <s v="First Owner"/>
    <n v="14"/>
    <s v="Budget"/>
  </r>
  <r>
    <s v="Ford EcoSport 1.5 TDCi Titanium BSIV"/>
    <x v="4"/>
    <n v="650000"/>
    <n v="25061"/>
    <x v="1"/>
    <x v="1"/>
    <x v="0"/>
    <s v="First Owner"/>
    <n v="10"/>
    <s v="Mid Range"/>
  </r>
  <r>
    <s v="Ford Ecosport 1.5 Diesel Titanium"/>
    <x v="2"/>
    <n v="760000"/>
    <n v="42494"/>
    <x v="1"/>
    <x v="1"/>
    <x v="0"/>
    <s v="First Owner"/>
    <n v="9"/>
    <s v="Mid Range"/>
  </r>
  <r>
    <s v="Honda Amaze S i-Dtech"/>
    <x v="3"/>
    <n v="395000"/>
    <n v="44875"/>
    <x v="1"/>
    <x v="1"/>
    <x v="0"/>
    <s v="First Owner"/>
    <n v="12"/>
    <s v="Budget"/>
  </r>
  <r>
    <s v="Ford Figo Diesel EXI"/>
    <x v="3"/>
    <n v="280000"/>
    <n v="89741"/>
    <x v="1"/>
    <x v="1"/>
    <x v="0"/>
    <s v="Second Owner"/>
    <n v="12"/>
    <s v="Budget"/>
  </r>
  <r>
    <s v="Honda Jazz 1.5 S i DTEC"/>
    <x v="4"/>
    <n v="495000"/>
    <n v="65000"/>
    <x v="1"/>
    <x v="1"/>
    <x v="0"/>
    <s v="First Owner"/>
    <n v="10"/>
    <s v="Budget"/>
  </r>
  <r>
    <s v="Honda Jazz 1.5 VX i DTEC"/>
    <x v="4"/>
    <n v="525000"/>
    <n v="35000"/>
    <x v="1"/>
    <x v="1"/>
    <x v="0"/>
    <s v="First Owner"/>
    <n v="10"/>
    <s v="Mid Range"/>
  </r>
  <r>
    <s v="Toyota Innova 2.5 GX 8 STR BSIV"/>
    <x v="11"/>
    <n v="420000"/>
    <n v="347089"/>
    <x v="1"/>
    <x v="1"/>
    <x v="0"/>
    <s v="First Owner"/>
    <n v="17"/>
    <s v="Budget"/>
  </r>
  <r>
    <s v="Tata New Safari DICOR 2.2 VX 4x2"/>
    <x v="10"/>
    <n v="210000"/>
    <n v="34500"/>
    <x v="1"/>
    <x v="0"/>
    <x v="0"/>
    <s v="First Owner"/>
    <n v="16"/>
    <s v="Budget"/>
  </r>
  <r>
    <s v="Hyundai i20 Active 1.2 S"/>
    <x v="6"/>
    <n v="650000"/>
    <n v="30000"/>
    <x v="0"/>
    <x v="0"/>
    <x v="0"/>
    <s v="First Owner"/>
    <n v="8"/>
    <s v="Mid Range"/>
  </r>
  <r>
    <s v="BMW 3 Series 320d Luxury Line"/>
    <x v="6"/>
    <n v="2300000"/>
    <n v="39000"/>
    <x v="1"/>
    <x v="0"/>
    <x v="1"/>
    <s v="First Owner"/>
    <n v="8"/>
    <s v="Premium"/>
  </r>
  <r>
    <s v="Ford Freestyle Titanium Plus Diesel BSIV"/>
    <x v="7"/>
    <n v="525000"/>
    <n v="16000"/>
    <x v="1"/>
    <x v="0"/>
    <x v="0"/>
    <s v="First Owner"/>
    <n v="7"/>
    <s v="Mid Range"/>
  </r>
  <r>
    <s v="Maruti Wagon R LXI CNG"/>
    <x v="10"/>
    <n v="195000"/>
    <n v="80000"/>
    <x v="2"/>
    <x v="0"/>
    <x v="0"/>
    <s v="Second Owner"/>
    <n v="16"/>
    <s v="Budget"/>
  </r>
  <r>
    <s v="Maruti Ertiga SHVS VDI"/>
    <x v="4"/>
    <n v="650000"/>
    <n v="60000"/>
    <x v="1"/>
    <x v="0"/>
    <x v="0"/>
    <s v="First Owner"/>
    <n v="10"/>
    <s v="Mid Range"/>
  </r>
  <r>
    <s v="Mahindra TUV 300 T6 Plus"/>
    <x v="5"/>
    <n v="540000"/>
    <n v="110000"/>
    <x v="1"/>
    <x v="0"/>
    <x v="0"/>
    <s v="First Owner"/>
    <n v="11"/>
    <s v="Mid Range"/>
  </r>
  <r>
    <s v="Maruti Alto 800 LXI"/>
    <x v="3"/>
    <n v="180000"/>
    <n v="61000"/>
    <x v="0"/>
    <x v="0"/>
    <x v="0"/>
    <s v="First Owner"/>
    <n v="12"/>
    <s v="Budget"/>
  </r>
  <r>
    <s v="Maruti Ertiga SHVS ZDI Plus"/>
    <x v="6"/>
    <n v="980000"/>
    <n v="50000"/>
    <x v="1"/>
    <x v="0"/>
    <x v="0"/>
    <s v="First Owner"/>
    <n v="8"/>
    <s v="Mid Range"/>
  </r>
  <r>
    <s v="Fiat Grande Punto EVO 90HP 1.3 Sport"/>
    <x v="3"/>
    <n v="250000"/>
    <n v="90000"/>
    <x v="1"/>
    <x v="0"/>
    <x v="0"/>
    <s v="First Owner"/>
    <n v="12"/>
    <s v="Budget"/>
  </r>
  <r>
    <s v="Hyundai Grand i10 1.2 Kappa Sportz AT"/>
    <x v="6"/>
    <n v="550000"/>
    <n v="35000"/>
    <x v="0"/>
    <x v="0"/>
    <x v="1"/>
    <s v="First Owner"/>
    <n v="8"/>
    <s v="Mid Range"/>
  </r>
  <r>
    <s v="Volkswagen Vento 1.6 Highline"/>
    <x v="5"/>
    <n v="509999"/>
    <n v="43000"/>
    <x v="0"/>
    <x v="0"/>
    <x v="0"/>
    <s v="Second Owner"/>
    <n v="11"/>
    <s v="Mid Range"/>
  </r>
  <r>
    <s v="Maruti Alto K10 LXI"/>
    <x v="2"/>
    <n v="320000"/>
    <n v="50000"/>
    <x v="0"/>
    <x v="0"/>
    <x v="0"/>
    <s v="First Owner"/>
    <n v="9"/>
    <s v="Budget"/>
  </r>
  <r>
    <s v="Hyundai EON D Lite"/>
    <x v="4"/>
    <n v="275000"/>
    <n v="25000"/>
    <x v="0"/>
    <x v="0"/>
    <x v="0"/>
    <s v="First Owner"/>
    <n v="10"/>
    <s v="Budget"/>
  </r>
  <r>
    <s v="Mahindra XUV500 W8 2WD"/>
    <x v="8"/>
    <n v="550000"/>
    <n v="222252"/>
    <x v="1"/>
    <x v="0"/>
    <x v="0"/>
    <s v="First Owner"/>
    <n v="13"/>
    <s v="Mid Range"/>
  </r>
  <r>
    <s v="Maruti Wagon R VXI Minor"/>
    <x v="11"/>
    <n v="145000"/>
    <n v="50000"/>
    <x v="0"/>
    <x v="0"/>
    <x v="0"/>
    <s v="Second Owner"/>
    <n v="17"/>
    <s v="Budget"/>
  </r>
  <r>
    <s v="Fiat Grande Punto Emotion 90Hp"/>
    <x v="8"/>
    <n v="250000"/>
    <n v="80000"/>
    <x v="1"/>
    <x v="0"/>
    <x v="0"/>
    <s v="First Owner"/>
    <n v="13"/>
    <s v="Budget"/>
  </r>
  <r>
    <s v="Hyundai Verna 1.6 SX"/>
    <x v="1"/>
    <n v="520000"/>
    <n v="35000"/>
    <x v="1"/>
    <x v="0"/>
    <x v="0"/>
    <s v="First Owner"/>
    <n v="14"/>
    <s v="Mid Range"/>
  </r>
  <r>
    <s v="Maruti Alto LXi"/>
    <x v="0"/>
    <n v="95000"/>
    <n v="85000"/>
    <x v="0"/>
    <x v="0"/>
    <x v="0"/>
    <s v="Second Owner"/>
    <n v="19"/>
    <s v="Budget"/>
  </r>
  <r>
    <s v="Toyota Innova 2.5 V Diesel 7-seater"/>
    <x v="9"/>
    <n v="725000"/>
    <n v="110000"/>
    <x v="1"/>
    <x v="0"/>
    <x v="0"/>
    <s v="Third Owner"/>
    <n v="15"/>
    <s v="Mid Range"/>
  </r>
  <r>
    <s v="Maruti 800 AC"/>
    <x v="12"/>
    <n v="55000"/>
    <n v="70000"/>
    <x v="0"/>
    <x v="0"/>
    <x v="0"/>
    <s v="Second Owner"/>
    <n v="20"/>
    <s v="Budget"/>
  </r>
  <r>
    <s v="Honda City i DTEC VX"/>
    <x v="3"/>
    <n v="600000"/>
    <n v="100000"/>
    <x v="1"/>
    <x v="0"/>
    <x v="0"/>
    <s v="First Owner"/>
    <n v="12"/>
    <s v="Mid Range"/>
  </r>
  <r>
    <s v="Volkswagen Vento New Diesel Highline"/>
    <x v="8"/>
    <n v="330000"/>
    <n v="120000"/>
    <x v="1"/>
    <x v="0"/>
    <x v="0"/>
    <s v="Second Owner"/>
    <n v="13"/>
    <s v="Budget"/>
  </r>
  <r>
    <s v="Maruti Swift Dzire VDI"/>
    <x v="5"/>
    <n v="470000"/>
    <n v="89000"/>
    <x v="1"/>
    <x v="0"/>
    <x v="0"/>
    <s v="First Owner"/>
    <n v="11"/>
    <s v="Budget"/>
  </r>
  <r>
    <s v="Maruti Swift ZDi"/>
    <x v="8"/>
    <n v="365000"/>
    <n v="120000"/>
    <x v="1"/>
    <x v="0"/>
    <x v="0"/>
    <s v="First Owner"/>
    <n v="13"/>
    <s v="Budget"/>
  </r>
  <r>
    <s v="Hyundai EON Magna Plus"/>
    <x v="8"/>
    <n v="250000"/>
    <n v="40000"/>
    <x v="0"/>
    <x v="0"/>
    <x v="0"/>
    <s v="Second Owner"/>
    <n v="13"/>
    <s v="Budget"/>
  </r>
  <r>
    <s v="Maruti Wagon R VXI BS IV"/>
    <x v="2"/>
    <n v="430000"/>
    <n v="17000"/>
    <x v="0"/>
    <x v="0"/>
    <x v="0"/>
    <s v="First Owner"/>
    <n v="9"/>
    <s v="Budget"/>
  </r>
  <r>
    <s v="Maruti Swift VDI"/>
    <x v="8"/>
    <n v="400000"/>
    <n v="125000"/>
    <x v="1"/>
    <x v="0"/>
    <x v="0"/>
    <s v="Second Owner"/>
    <n v="13"/>
    <s v="Budget"/>
  </r>
  <r>
    <s v="Maruti Swift Dzire ZXI"/>
    <x v="5"/>
    <n v="615000"/>
    <n v="110000"/>
    <x v="0"/>
    <x v="0"/>
    <x v="0"/>
    <s v="Second Owner"/>
    <n v="11"/>
    <s v="Mid Range"/>
  </r>
  <r>
    <s v="Ford Figo Diesel Titanium"/>
    <x v="9"/>
    <n v="150000"/>
    <n v="120000"/>
    <x v="1"/>
    <x v="0"/>
    <x v="0"/>
    <s v="Second Owner"/>
    <n v="15"/>
    <s v="Budget"/>
  </r>
  <r>
    <s v="Ford Figo Diesel ZXI"/>
    <x v="3"/>
    <n v="240000"/>
    <n v="90000"/>
    <x v="1"/>
    <x v="0"/>
    <x v="0"/>
    <s v="First Owner"/>
    <n v="12"/>
    <s v="Budget"/>
  </r>
  <r>
    <s v="Mahindra Scorpio S10 7 Seater"/>
    <x v="3"/>
    <n v="800000"/>
    <n v="90000"/>
    <x v="1"/>
    <x v="0"/>
    <x v="0"/>
    <s v="First Owner"/>
    <n v="12"/>
    <s v="Mid Range"/>
  </r>
  <r>
    <s v="Hyundai EON LPG Magna Plus"/>
    <x v="5"/>
    <n v="240000"/>
    <n v="110000"/>
    <x v="3"/>
    <x v="0"/>
    <x v="0"/>
    <s v="First Owner"/>
    <n v="11"/>
    <s v="Budget"/>
  </r>
  <r>
    <s v="Ford Ecosport 1.5 DV5 MT Titanium"/>
    <x v="3"/>
    <n v="600000"/>
    <n v="87000"/>
    <x v="1"/>
    <x v="0"/>
    <x v="0"/>
    <s v="Second Owner"/>
    <n v="12"/>
    <s v="Mid Range"/>
  </r>
  <r>
    <s v="Mahindra Scorpio LX"/>
    <x v="3"/>
    <n v="800000"/>
    <n v="15000"/>
    <x v="1"/>
    <x v="0"/>
    <x v="0"/>
    <s v="First Owner"/>
    <n v="12"/>
    <s v="Mid Range"/>
  </r>
  <r>
    <s v="Ford Fiesta Classic 1.6 Duratec CLXI"/>
    <x v="1"/>
    <n v="350000"/>
    <n v="38000"/>
    <x v="0"/>
    <x v="0"/>
    <x v="0"/>
    <s v="First Owner"/>
    <n v="14"/>
    <s v="Budget"/>
  </r>
  <r>
    <s v="Honda City 1.5 V MT"/>
    <x v="9"/>
    <n v="300000"/>
    <n v="64000"/>
    <x v="0"/>
    <x v="0"/>
    <x v="0"/>
    <s v="Second Owner"/>
    <n v="15"/>
    <s v="Budget"/>
  </r>
  <r>
    <s v="Tata Sumo Gold EX BSIII"/>
    <x v="5"/>
    <n v="399000"/>
    <n v="55250"/>
    <x v="1"/>
    <x v="0"/>
    <x v="0"/>
    <s v="First Owner"/>
    <n v="11"/>
    <s v="Budget"/>
  </r>
  <r>
    <s v="Mahindra Bolero DI"/>
    <x v="9"/>
    <n v="300000"/>
    <n v="110000"/>
    <x v="1"/>
    <x v="0"/>
    <x v="0"/>
    <s v="First Owner"/>
    <n v="15"/>
    <s v="Budget"/>
  </r>
  <r>
    <s v="Maruti A-Star AT VXI"/>
    <x v="1"/>
    <n v="150000"/>
    <n v="70000"/>
    <x v="0"/>
    <x v="0"/>
    <x v="1"/>
    <s v="First Owner"/>
    <n v="14"/>
    <s v="Budget"/>
  </r>
  <r>
    <s v="Chevrolet Cruze LTZ"/>
    <x v="10"/>
    <n v="320000"/>
    <n v="60000"/>
    <x v="1"/>
    <x v="0"/>
    <x v="0"/>
    <s v="Third Owner"/>
    <n v="16"/>
    <s v="Budget"/>
  </r>
  <r>
    <s v="Tata Hexa XM"/>
    <x v="6"/>
    <n v="1280000"/>
    <n v="17000"/>
    <x v="1"/>
    <x v="0"/>
    <x v="0"/>
    <s v="First Owner"/>
    <n v="8"/>
    <s v="Premium"/>
  </r>
  <r>
    <s v="Renault KWID 1.0 RXT Optional"/>
    <x v="2"/>
    <n v="300000"/>
    <n v="13000"/>
    <x v="0"/>
    <x v="0"/>
    <x v="0"/>
    <s v="Second Owner"/>
    <n v="9"/>
    <s v="Budget"/>
  </r>
  <r>
    <s v="Nissan Terrano XL Plus ICC WT20 SE"/>
    <x v="4"/>
    <n v="1000000"/>
    <n v="60000"/>
    <x v="1"/>
    <x v="0"/>
    <x v="0"/>
    <s v="First Owner"/>
    <n v="10"/>
    <s v="Mid Range"/>
  </r>
  <r>
    <s v="Mitsubishi Pajero Sport 4X4"/>
    <x v="1"/>
    <n v="1090000"/>
    <n v="120000"/>
    <x v="1"/>
    <x v="0"/>
    <x v="0"/>
    <s v="Second Owner"/>
    <n v="14"/>
    <s v="Premium"/>
  </r>
  <r>
    <s v="Tata New Safari DICOR 2.2 GX 4x2 BS IV"/>
    <x v="1"/>
    <n v="450000"/>
    <n v="97000"/>
    <x v="1"/>
    <x v="0"/>
    <x v="0"/>
    <s v="Second Owner"/>
    <n v="14"/>
    <s v="Budget"/>
  </r>
  <r>
    <s v="Tata Indica GLS BS IV"/>
    <x v="0"/>
    <n v="60000"/>
    <n v="130000"/>
    <x v="0"/>
    <x v="0"/>
    <x v="0"/>
    <s v="Second Owner"/>
    <n v="19"/>
    <s v="Budget"/>
  </r>
  <r>
    <s v="Maruti Swift Dzire ZXI"/>
    <x v="8"/>
    <n v="500000"/>
    <n v="50000"/>
    <x v="0"/>
    <x v="0"/>
    <x v="0"/>
    <s v="First Owner"/>
    <n v="13"/>
    <s v="Mid Range"/>
  </r>
  <r>
    <s v="Tata Indigo CR4"/>
    <x v="1"/>
    <n v="200000"/>
    <n v="120000"/>
    <x v="1"/>
    <x v="0"/>
    <x v="0"/>
    <s v="Second Owner"/>
    <n v="14"/>
    <s v="Budget"/>
  </r>
  <r>
    <s v="Maruti Alto LXi"/>
    <x v="12"/>
    <n v="60000"/>
    <n v="100000"/>
    <x v="0"/>
    <x v="0"/>
    <x v="0"/>
    <s v="Second Owner"/>
    <n v="20"/>
    <s v="Budget"/>
  </r>
  <r>
    <s v="Hyundai Accent Executive CNG"/>
    <x v="1"/>
    <n v="185000"/>
    <n v="67000"/>
    <x v="2"/>
    <x v="1"/>
    <x v="0"/>
    <s v="Second Owner"/>
    <n v="14"/>
    <s v="Budget"/>
  </r>
  <r>
    <s v="Maruti Alto K10 VXI"/>
    <x v="5"/>
    <n v="155000"/>
    <n v="60000"/>
    <x v="0"/>
    <x v="0"/>
    <x v="0"/>
    <s v="First Owner"/>
    <n v="11"/>
    <s v="Budget"/>
  </r>
  <r>
    <s v="Maruti Swift VXI"/>
    <x v="7"/>
    <n v="600000"/>
    <n v="5000"/>
    <x v="0"/>
    <x v="0"/>
    <x v="0"/>
    <s v="First Owner"/>
    <n v="7"/>
    <s v="Mid Range"/>
  </r>
  <r>
    <s v="Renault KWID RXE"/>
    <x v="4"/>
    <n v="300000"/>
    <n v="20000"/>
    <x v="0"/>
    <x v="0"/>
    <x v="0"/>
    <s v="First Owner"/>
    <n v="10"/>
    <s v="Budget"/>
  </r>
  <r>
    <s v="Hyundai Creta 1.6 E Plus"/>
    <x v="6"/>
    <n v="850000"/>
    <n v="12500"/>
    <x v="0"/>
    <x v="0"/>
    <x v="0"/>
    <s v="First Owner"/>
    <n v="8"/>
    <s v="Mid Range"/>
  </r>
  <r>
    <s v="Maruti Eeco CNG 5 Seater AC BSIV"/>
    <x v="7"/>
    <n v="470000"/>
    <n v="4000"/>
    <x v="2"/>
    <x v="0"/>
    <x v="0"/>
    <s v="First Owner"/>
    <n v="7"/>
    <s v="Budget"/>
  </r>
  <r>
    <s v="Ford Figo 1.2P Titanium MT"/>
    <x v="7"/>
    <n v="600000"/>
    <n v="25000"/>
    <x v="0"/>
    <x v="0"/>
    <x v="0"/>
    <s v="First Owner"/>
    <n v="7"/>
    <s v="Mid Range"/>
  </r>
  <r>
    <s v="Toyota Innova 2.5 G (Diesel) 7 Seater"/>
    <x v="8"/>
    <n v="700000"/>
    <n v="70000"/>
    <x v="1"/>
    <x v="0"/>
    <x v="0"/>
    <s v="Second Owner"/>
    <n v="13"/>
    <s v="Mid Range"/>
  </r>
  <r>
    <s v="Maruti Wagon R LXI DUO BSIII"/>
    <x v="0"/>
    <n v="70000"/>
    <n v="162000"/>
    <x v="3"/>
    <x v="0"/>
    <x v="0"/>
    <s v="First Owner"/>
    <n v="19"/>
    <s v="Budget"/>
  </r>
  <r>
    <s v="Toyota Fortuner 3.0 Diesel"/>
    <x v="10"/>
    <n v="1250000"/>
    <n v="205000"/>
    <x v="1"/>
    <x v="0"/>
    <x v="0"/>
    <s v="Second Owner"/>
    <n v="16"/>
    <s v="Premium"/>
  </r>
  <r>
    <s v="Audi A6 2.8 FSI"/>
    <x v="15"/>
    <n v="650000"/>
    <n v="70000"/>
    <x v="0"/>
    <x v="0"/>
    <x v="1"/>
    <s v="Third Owner"/>
    <n v="18"/>
    <s v="Mid Range"/>
  </r>
  <r>
    <s v="Hyundai Xcent 1.2 CRDi S"/>
    <x v="6"/>
    <n v="450000"/>
    <n v="70000"/>
    <x v="1"/>
    <x v="0"/>
    <x v="0"/>
    <s v="Second Owner"/>
    <n v="8"/>
    <s v="Budget"/>
  </r>
  <r>
    <s v="Mahindra XUV500 W8 2WD"/>
    <x v="3"/>
    <n v="750000"/>
    <n v="100000"/>
    <x v="1"/>
    <x v="0"/>
    <x v="0"/>
    <s v="Second Owner"/>
    <n v="12"/>
    <s v="Mid Range"/>
  </r>
  <r>
    <s v="Toyota Innova 2.5 G (Diesel) 7 Seater"/>
    <x v="8"/>
    <n v="775000"/>
    <n v="70000"/>
    <x v="1"/>
    <x v="0"/>
    <x v="0"/>
    <s v="Second Owner"/>
    <n v="13"/>
    <s v="Mid Range"/>
  </r>
  <r>
    <s v="Hyundai Santa Fe 4X4"/>
    <x v="9"/>
    <n v="800000"/>
    <n v="220000"/>
    <x v="1"/>
    <x v="0"/>
    <x v="0"/>
    <s v="First Owner"/>
    <n v="15"/>
    <s v="Mid Range"/>
  </r>
  <r>
    <s v="Honda Amaze E i-Vtech"/>
    <x v="5"/>
    <n v="360000"/>
    <n v="80000"/>
    <x v="0"/>
    <x v="0"/>
    <x v="0"/>
    <s v="Second Owner"/>
    <n v="11"/>
    <s v="Budget"/>
  </r>
  <r>
    <s v="Toyota Corolla Altis Diesel D4DG"/>
    <x v="10"/>
    <n v="250000"/>
    <n v="120000"/>
    <x v="1"/>
    <x v="0"/>
    <x v="0"/>
    <s v="First Owner"/>
    <n v="16"/>
    <s v="Budget"/>
  </r>
  <r>
    <s v="Jeep Compass 2.0 Longitude Option BSIV"/>
    <x v="2"/>
    <n v="1490000"/>
    <n v="22038"/>
    <x v="1"/>
    <x v="0"/>
    <x v="0"/>
    <s v="First Owner"/>
    <n v="9"/>
    <s v="Premium"/>
  </r>
  <r>
    <s v="Nissan Terrano XL 110 PS"/>
    <x v="8"/>
    <n v="600000"/>
    <n v="80000"/>
    <x v="1"/>
    <x v="0"/>
    <x v="0"/>
    <s v="First Owner"/>
    <n v="13"/>
    <s v="Mid Range"/>
  </r>
  <r>
    <s v="Maruti Alto LX"/>
    <x v="10"/>
    <n v="120000"/>
    <n v="90000"/>
    <x v="0"/>
    <x v="0"/>
    <x v="0"/>
    <s v="First Owner"/>
    <n v="16"/>
    <s v="Budget"/>
  </r>
  <r>
    <s v="Tata New Safari DICOR 2.2 EX 4x2"/>
    <x v="1"/>
    <n v="320000"/>
    <n v="140000"/>
    <x v="1"/>
    <x v="0"/>
    <x v="0"/>
    <s v="Second Owner"/>
    <n v="14"/>
    <s v="Budget"/>
  </r>
  <r>
    <s v="Mahindra Thar 4X2"/>
    <x v="9"/>
    <n v="400000"/>
    <n v="120000"/>
    <x v="1"/>
    <x v="0"/>
    <x v="0"/>
    <s v="Second Owner"/>
    <n v="15"/>
    <s v="Budget"/>
  </r>
  <r>
    <s v="Maruti Swift Dzire ZDI"/>
    <x v="5"/>
    <n v="302000"/>
    <n v="60000"/>
    <x v="1"/>
    <x v="0"/>
    <x v="0"/>
    <s v="First Owner"/>
    <n v="11"/>
    <s v="Budget"/>
  </r>
  <r>
    <s v="Maruti Swift Dzire LXI Option"/>
    <x v="3"/>
    <n v="150000"/>
    <n v="60000"/>
    <x v="0"/>
    <x v="0"/>
    <x v="0"/>
    <s v="Second Owner"/>
    <n v="12"/>
    <s v="Budget"/>
  </r>
  <r>
    <s v="Tata Indica Vista Aura Plus 1.3 Quadrajet"/>
    <x v="1"/>
    <n v="200000"/>
    <n v="90000"/>
    <x v="1"/>
    <x v="0"/>
    <x v="0"/>
    <s v="Second Owner"/>
    <n v="14"/>
    <s v="Budget"/>
  </r>
  <r>
    <s v="Maruti Swift Vdi BSIII"/>
    <x v="15"/>
    <n v="120000"/>
    <n v="175000"/>
    <x v="1"/>
    <x v="0"/>
    <x v="0"/>
    <s v="Second Owner"/>
    <n v="18"/>
    <s v="Budget"/>
  </r>
  <r>
    <s v="Mahindra XUV500 W7 BSIV"/>
    <x v="7"/>
    <n v="1400000"/>
    <n v="10000"/>
    <x v="1"/>
    <x v="0"/>
    <x v="0"/>
    <s v="First Owner"/>
    <n v="7"/>
    <s v="Premium"/>
  </r>
  <r>
    <s v="Hyundai i20 1.2 Asta Option"/>
    <x v="2"/>
    <n v="620000"/>
    <n v="65000"/>
    <x v="0"/>
    <x v="0"/>
    <x v="0"/>
    <s v="First Owner"/>
    <n v="9"/>
    <s v="Mid Range"/>
  </r>
  <r>
    <s v="Toyota Innova 2.5 GX 8 STR BSIV"/>
    <x v="1"/>
    <n v="449000"/>
    <n v="90000"/>
    <x v="1"/>
    <x v="0"/>
    <x v="0"/>
    <s v="First Owner"/>
    <n v="14"/>
    <s v="Budget"/>
  </r>
  <r>
    <s v="Maruti Alto LXi"/>
    <x v="0"/>
    <n v="100000"/>
    <n v="70000"/>
    <x v="0"/>
    <x v="0"/>
    <x v="0"/>
    <s v="First Owner"/>
    <n v="19"/>
    <s v="Budget"/>
  </r>
  <r>
    <s v="Hyundai Grand i10 1.2 Kappa Sportz BSIV"/>
    <x v="6"/>
    <n v="600000"/>
    <n v="2500"/>
    <x v="0"/>
    <x v="0"/>
    <x v="0"/>
    <s v="First Owner"/>
    <n v="8"/>
    <s v="Mid Range"/>
  </r>
  <r>
    <s v="Chevrolet Beat Diesel LT"/>
    <x v="1"/>
    <n v="250000"/>
    <n v="40000"/>
    <x v="1"/>
    <x v="0"/>
    <x v="0"/>
    <s v="First Owner"/>
    <n v="14"/>
    <s v="Budget"/>
  </r>
  <r>
    <s v="Maruti Baleno RS 1.0 Petrol"/>
    <x v="6"/>
    <n v="550000"/>
    <n v="63000"/>
    <x v="0"/>
    <x v="0"/>
    <x v="0"/>
    <s v="First Owner"/>
    <n v="8"/>
    <s v="Mid Range"/>
  </r>
  <r>
    <s v="Skoda Rapid 1.5 TDI Ambition"/>
    <x v="3"/>
    <n v="360000"/>
    <n v="70000"/>
    <x v="1"/>
    <x v="0"/>
    <x v="0"/>
    <s v="First Owner"/>
    <n v="12"/>
    <s v="Budget"/>
  </r>
  <r>
    <s v="Skoda Superb LK 1.8 TSI AT"/>
    <x v="1"/>
    <n v="650000"/>
    <n v="60000"/>
    <x v="0"/>
    <x v="1"/>
    <x v="1"/>
    <s v="First Owner"/>
    <n v="14"/>
    <s v="Mid Range"/>
  </r>
  <r>
    <s v="Ford Fiesta 1.5 TDCi Titanium"/>
    <x v="1"/>
    <n v="199000"/>
    <n v="92000"/>
    <x v="1"/>
    <x v="1"/>
    <x v="0"/>
    <s v="Third Owner"/>
    <n v="14"/>
    <s v="Budget"/>
  </r>
  <r>
    <s v="Mahindra Quanto C6"/>
    <x v="3"/>
    <n v="285000"/>
    <n v="89126"/>
    <x v="1"/>
    <x v="0"/>
    <x v="0"/>
    <s v="First Owner"/>
    <n v="12"/>
    <s v="Budget"/>
  </r>
  <r>
    <s v="Volkswagen Jetta 1.9 TDI Comfortline DSG"/>
    <x v="11"/>
    <n v="260000"/>
    <n v="134000"/>
    <x v="1"/>
    <x v="0"/>
    <x v="1"/>
    <s v="First Owner"/>
    <n v="17"/>
    <s v="Budget"/>
  </r>
  <r>
    <s v="Maruti Ciaz 1.4 AT Zeta"/>
    <x v="7"/>
    <n v="869999"/>
    <n v="15000"/>
    <x v="0"/>
    <x v="1"/>
    <x v="1"/>
    <s v="First Owner"/>
    <n v="7"/>
    <s v="Mid Range"/>
  </r>
  <r>
    <s v="Hyundai Grand i10 1.2 CRDi Magna"/>
    <x v="4"/>
    <n v="425000"/>
    <n v="42500"/>
    <x v="1"/>
    <x v="1"/>
    <x v="0"/>
    <s v="First Owner"/>
    <n v="10"/>
    <s v="Budget"/>
  </r>
  <r>
    <s v="Chevrolet Cruze LTZ AT"/>
    <x v="1"/>
    <n v="490000"/>
    <n v="42000"/>
    <x v="1"/>
    <x v="1"/>
    <x v="1"/>
    <s v="First Owner"/>
    <n v="14"/>
    <s v="Budget"/>
  </r>
  <r>
    <s v="Mahindra XUV500 AT W8 FWD"/>
    <x v="5"/>
    <n v="750000"/>
    <n v="70000"/>
    <x v="1"/>
    <x v="0"/>
    <x v="1"/>
    <s v="Second Owner"/>
    <n v="11"/>
    <s v="Mid Range"/>
  </r>
  <r>
    <s v="Honda City 1.5 EXI"/>
    <x v="16"/>
    <n v="125000"/>
    <n v="110000"/>
    <x v="0"/>
    <x v="0"/>
    <x v="0"/>
    <s v="Third Owner"/>
    <n v="22"/>
    <s v="Budget"/>
  </r>
  <r>
    <s v="Fiat Linea 1.3 Emotion"/>
    <x v="3"/>
    <n v="221000"/>
    <n v="131365"/>
    <x v="1"/>
    <x v="0"/>
    <x v="0"/>
    <s v="First Owner"/>
    <n v="12"/>
    <s v="Budget"/>
  </r>
  <r>
    <s v="Volkswagen Vento 1.5 TDI Highline AT"/>
    <x v="4"/>
    <n v="724000"/>
    <n v="48980"/>
    <x v="1"/>
    <x v="1"/>
    <x v="1"/>
    <s v="First Owner"/>
    <n v="10"/>
    <s v="Mid Range"/>
  </r>
  <r>
    <s v="Honda Amaze VX AT i-Vtech"/>
    <x v="3"/>
    <n v="440000"/>
    <n v="46000"/>
    <x v="0"/>
    <x v="1"/>
    <x v="1"/>
    <s v="First Owner"/>
    <n v="12"/>
    <s v="Budget"/>
  </r>
  <r>
    <s v="Chevrolet Spark 1.0 LS"/>
    <x v="11"/>
    <n v="70000"/>
    <n v="60000"/>
    <x v="0"/>
    <x v="0"/>
    <x v="0"/>
    <s v="Third Owner"/>
    <n v="17"/>
    <s v="Budget"/>
  </r>
  <r>
    <s v="Maruti Baleno Delta Diesel"/>
    <x v="5"/>
    <n v="511000"/>
    <n v="58000"/>
    <x v="1"/>
    <x v="1"/>
    <x v="0"/>
    <s v="First Owner"/>
    <n v="11"/>
    <s v="Mid Range"/>
  </r>
  <r>
    <s v="Maruti S-Cross Alpha DDiS 200 SH"/>
    <x v="4"/>
    <n v="790000"/>
    <n v="22000"/>
    <x v="1"/>
    <x v="1"/>
    <x v="0"/>
    <s v="First Owner"/>
    <n v="10"/>
    <s v="Mid Range"/>
  </r>
  <r>
    <s v="Hyundai i20 1.2 Asta Option"/>
    <x v="2"/>
    <n v="640000"/>
    <n v="37000"/>
    <x v="0"/>
    <x v="0"/>
    <x v="0"/>
    <s v="First Owner"/>
    <n v="9"/>
    <s v="Mid Range"/>
  </r>
  <r>
    <s v="Hyundai Santro Xing GLS"/>
    <x v="11"/>
    <n v="120000"/>
    <n v="70000"/>
    <x v="0"/>
    <x v="0"/>
    <x v="0"/>
    <s v="Fourth &amp; Above Owner"/>
    <n v="17"/>
    <s v="Budget"/>
  </r>
  <r>
    <s v="Chevrolet Beat Diesel LT"/>
    <x v="1"/>
    <n v="126000"/>
    <n v="98900"/>
    <x v="1"/>
    <x v="0"/>
    <x v="0"/>
    <s v="Third Owner"/>
    <n v="14"/>
    <s v="Budget"/>
  </r>
  <r>
    <s v="Chevrolet Beat Diesel LT"/>
    <x v="1"/>
    <n v="120000"/>
    <n v="125000"/>
    <x v="1"/>
    <x v="0"/>
    <x v="0"/>
    <s v="First Owner"/>
    <n v="14"/>
    <s v="Budget"/>
  </r>
  <r>
    <s v="Mahindra TUV 300 T4 Plus"/>
    <x v="2"/>
    <n v="650000"/>
    <n v="60000"/>
    <x v="1"/>
    <x v="0"/>
    <x v="0"/>
    <s v="First Owner"/>
    <n v="9"/>
    <s v="Mid Range"/>
  </r>
  <r>
    <s v="Hyundai Grand i10 Asta"/>
    <x v="3"/>
    <n v="450000"/>
    <n v="80000"/>
    <x v="0"/>
    <x v="0"/>
    <x v="0"/>
    <s v="Second Owner"/>
    <n v="12"/>
    <s v="Budget"/>
  </r>
  <r>
    <s v="Maruti Zen Estilo LXI Green (CNG)"/>
    <x v="10"/>
    <n v="110000"/>
    <n v="80000"/>
    <x v="2"/>
    <x v="0"/>
    <x v="0"/>
    <s v="Fourth &amp; Above Owner"/>
    <n v="16"/>
    <s v="Budget"/>
  </r>
  <r>
    <s v="Mahindra Bolero Power Plus Plus AC BSIV PS"/>
    <x v="2"/>
    <n v="600000"/>
    <n v="40000"/>
    <x v="1"/>
    <x v="0"/>
    <x v="0"/>
    <s v="First Owner"/>
    <n v="9"/>
    <s v="Mid Range"/>
  </r>
  <r>
    <s v="Mahindra XUV500 W8 4WD"/>
    <x v="1"/>
    <n v="620000"/>
    <n v="80000"/>
    <x v="1"/>
    <x v="0"/>
    <x v="0"/>
    <s v="Second Owner"/>
    <n v="14"/>
    <s v="Mid Range"/>
  </r>
  <r>
    <s v="Ford Ecosport 1.5 DV5 MT Titanium"/>
    <x v="3"/>
    <n v="600000"/>
    <n v="30000"/>
    <x v="1"/>
    <x v="0"/>
    <x v="0"/>
    <s v="First Owner"/>
    <n v="12"/>
    <s v="Mid Range"/>
  </r>
  <r>
    <s v="Mahindra Bolero Power Plus ZLX"/>
    <x v="6"/>
    <n v="795000"/>
    <n v="35000"/>
    <x v="1"/>
    <x v="0"/>
    <x v="0"/>
    <s v="First Owner"/>
    <n v="8"/>
    <s v="Mid Range"/>
  </r>
  <r>
    <s v="Tata Winger Deluxe - Hi Roof (AC)"/>
    <x v="9"/>
    <n v="300000"/>
    <n v="180000"/>
    <x v="1"/>
    <x v="0"/>
    <x v="0"/>
    <s v="Third Owner"/>
    <n v="15"/>
    <s v="Budget"/>
  </r>
  <r>
    <s v="Renault Lodgy 85PS RxL"/>
    <x v="5"/>
    <n v="495000"/>
    <n v="60000"/>
    <x v="1"/>
    <x v="0"/>
    <x v="0"/>
    <s v="First Owner"/>
    <n v="11"/>
    <s v="Budget"/>
  </r>
  <r>
    <s v="Tata Hexa XTA"/>
    <x v="6"/>
    <n v="1350000"/>
    <n v="34000"/>
    <x v="1"/>
    <x v="0"/>
    <x v="1"/>
    <s v="First Owner"/>
    <n v="8"/>
    <s v="Premium"/>
  </r>
  <r>
    <s v="Mahindra Xylo D4"/>
    <x v="3"/>
    <n v="350000"/>
    <n v="145000"/>
    <x v="1"/>
    <x v="0"/>
    <x v="0"/>
    <s v="First Owner"/>
    <n v="12"/>
    <s v="Budget"/>
  </r>
  <r>
    <s v="Datsun RediGO AMT 1.0 S"/>
    <x v="6"/>
    <n v="300000"/>
    <n v="25000"/>
    <x v="0"/>
    <x v="0"/>
    <x v="1"/>
    <s v="First Owner"/>
    <n v="8"/>
    <s v="Budget"/>
  </r>
  <r>
    <s v="Nissan Sunny XL D"/>
    <x v="6"/>
    <n v="500000"/>
    <n v="70000"/>
    <x v="1"/>
    <x v="0"/>
    <x v="0"/>
    <s v="First Owner"/>
    <n v="8"/>
    <s v="Mid Range"/>
  </r>
  <r>
    <s v="Audi Q3 35 TDI Quattro Technology"/>
    <x v="2"/>
    <n v="2575000"/>
    <n v="36000"/>
    <x v="1"/>
    <x v="1"/>
    <x v="1"/>
    <s v="First Owner"/>
    <n v="9"/>
    <s v="Premium"/>
  </r>
  <r>
    <s v="Honda Brio VX"/>
    <x v="3"/>
    <n v="345000"/>
    <n v="58000"/>
    <x v="0"/>
    <x v="1"/>
    <x v="0"/>
    <s v="First Owner"/>
    <n v="12"/>
    <s v="Budget"/>
  </r>
  <r>
    <s v="Tata Indigo CR4"/>
    <x v="8"/>
    <n v="220000"/>
    <n v="100000"/>
    <x v="1"/>
    <x v="0"/>
    <x v="0"/>
    <s v="First Owner"/>
    <n v="13"/>
    <s v="Budget"/>
  </r>
  <r>
    <s v="Maruti 800 AC"/>
    <x v="22"/>
    <n v="50000"/>
    <n v="100000"/>
    <x v="0"/>
    <x v="0"/>
    <x v="0"/>
    <s v="Second Owner"/>
    <n v="27"/>
    <s v="Budget"/>
  </r>
  <r>
    <s v="Honda Jazz Select Edition"/>
    <x v="2"/>
    <n v="585000"/>
    <n v="14000"/>
    <x v="0"/>
    <x v="1"/>
    <x v="0"/>
    <s v="First Owner"/>
    <n v="9"/>
    <s v="Mid Range"/>
  </r>
  <r>
    <s v="Maruti Swift Dzire AMT VXI"/>
    <x v="6"/>
    <n v="625000"/>
    <n v="13800"/>
    <x v="0"/>
    <x v="0"/>
    <x v="1"/>
    <s v="First Owner"/>
    <n v="8"/>
    <s v="Mid Range"/>
  </r>
  <r>
    <s v="Hyundai Creta 1.6 SX Automatic"/>
    <x v="2"/>
    <n v="1035000"/>
    <n v="23000"/>
    <x v="0"/>
    <x v="1"/>
    <x v="1"/>
    <s v="First Owner"/>
    <n v="9"/>
    <s v="Premium"/>
  </r>
  <r>
    <s v="Mahindra Xylo D4"/>
    <x v="2"/>
    <n v="600000"/>
    <n v="99700"/>
    <x v="1"/>
    <x v="0"/>
    <x v="0"/>
    <s v="First Owner"/>
    <n v="9"/>
    <s v="Mid Range"/>
  </r>
  <r>
    <s v="Toyota Fortuner 2.8 4WD AT BSIV"/>
    <x v="7"/>
    <n v="3100000"/>
    <n v="5000"/>
    <x v="1"/>
    <x v="0"/>
    <x v="1"/>
    <s v="First Owner"/>
    <n v="7"/>
    <s v="Premium"/>
  </r>
  <r>
    <s v="Honda City i-DTEC SV"/>
    <x v="3"/>
    <n v="650000"/>
    <n v="49654"/>
    <x v="1"/>
    <x v="1"/>
    <x v="0"/>
    <s v="First Owner"/>
    <n v="12"/>
    <s v="Mid Range"/>
  </r>
  <r>
    <s v="Hyundai Grand i10 Asta"/>
    <x v="4"/>
    <n v="550000"/>
    <n v="45457"/>
    <x v="0"/>
    <x v="1"/>
    <x v="0"/>
    <s v="First Owner"/>
    <n v="10"/>
    <s v="Mid Range"/>
  </r>
  <r>
    <s v="Hyundai Creta 1.6 CRDi SX"/>
    <x v="2"/>
    <n v="1260000"/>
    <n v="39221"/>
    <x v="1"/>
    <x v="1"/>
    <x v="0"/>
    <s v="First Owner"/>
    <n v="9"/>
    <s v="Premium"/>
  </r>
  <r>
    <s v="Hyundai i20 Sportz 1.2"/>
    <x v="4"/>
    <n v="660000"/>
    <n v="48220"/>
    <x v="0"/>
    <x v="1"/>
    <x v="0"/>
    <s v="First Owner"/>
    <n v="10"/>
    <s v="Mid Range"/>
  </r>
  <r>
    <s v="Hyundai i20 Sportz 1.2"/>
    <x v="2"/>
    <n v="700000"/>
    <n v="11114"/>
    <x v="0"/>
    <x v="1"/>
    <x v="0"/>
    <s v="First Owner"/>
    <n v="9"/>
    <s v="Mid Range"/>
  </r>
  <r>
    <s v="Hyundai Getz 1.5 CRDi GVS"/>
    <x v="15"/>
    <n v="235000"/>
    <n v="60208"/>
    <x v="1"/>
    <x v="1"/>
    <x v="0"/>
    <s v="First Owner"/>
    <n v="18"/>
    <s v="Budget"/>
  </r>
  <r>
    <s v="Volkswagen Vento 1.5 TDI Highline"/>
    <x v="8"/>
    <n v="475000"/>
    <n v="80000"/>
    <x v="1"/>
    <x v="1"/>
    <x v="0"/>
    <s v="First Owner"/>
    <n v="13"/>
    <s v="Budget"/>
  </r>
  <r>
    <s v="Mercedes-Benz E-Class 280 CDI Elegance"/>
    <x v="15"/>
    <n v="795000"/>
    <n v="98600"/>
    <x v="1"/>
    <x v="1"/>
    <x v="1"/>
    <s v="First Owner"/>
    <n v="18"/>
    <s v="Mid Range"/>
  </r>
  <r>
    <s v="Audi RS7 2015-2019 Sportback Performance"/>
    <x v="4"/>
    <n v="8900000"/>
    <n v="13000"/>
    <x v="0"/>
    <x v="1"/>
    <x v="1"/>
    <s v="First Owner"/>
    <n v="10"/>
    <s v="Premium"/>
  </r>
  <r>
    <s v="Audi Q5 3.0 TDI Quattro Technology"/>
    <x v="5"/>
    <n v="3200000"/>
    <n v="30000"/>
    <x v="1"/>
    <x v="1"/>
    <x v="1"/>
    <s v="First Owner"/>
    <n v="11"/>
    <s v="Premium"/>
  </r>
  <r>
    <s v="MG Hector Smart AT"/>
    <x v="7"/>
    <n v="1860000"/>
    <n v="18000"/>
    <x v="0"/>
    <x v="1"/>
    <x v="1"/>
    <s v="First Owner"/>
    <n v="7"/>
    <s v="Premium"/>
  </r>
  <r>
    <s v="Land Rover Range Rover 4.4 Diesel LWB Vogue SE"/>
    <x v="10"/>
    <n v="4200000"/>
    <n v="100000"/>
    <x v="1"/>
    <x v="1"/>
    <x v="1"/>
    <s v="First Owner"/>
    <n v="16"/>
    <s v="Premium"/>
  </r>
  <r>
    <s v="Honda City VX CVT"/>
    <x v="5"/>
    <n v="850000"/>
    <n v="58000"/>
    <x v="0"/>
    <x v="1"/>
    <x v="1"/>
    <s v="First Owner"/>
    <n v="11"/>
    <s v="Mid Range"/>
  </r>
  <r>
    <s v="Mahindra Xylo D4"/>
    <x v="2"/>
    <n v="585000"/>
    <n v="85441"/>
    <x v="1"/>
    <x v="1"/>
    <x v="0"/>
    <s v="First Owner"/>
    <n v="9"/>
    <s v="Mid Range"/>
  </r>
  <r>
    <s v="Mahindra Verito 1.5 D4 BSIV"/>
    <x v="5"/>
    <n v="380000"/>
    <n v="64541"/>
    <x v="1"/>
    <x v="1"/>
    <x v="0"/>
    <s v="First Owner"/>
    <n v="11"/>
    <s v="Budget"/>
  </r>
  <r>
    <s v="Maruti Swift Dzire VDI"/>
    <x v="7"/>
    <n v="650000"/>
    <n v="35000"/>
    <x v="1"/>
    <x v="0"/>
    <x v="0"/>
    <s v="First Owner"/>
    <n v="7"/>
    <s v="Mid Range"/>
  </r>
  <r>
    <s v="Nissan Micra Active XV"/>
    <x v="2"/>
    <n v="434999"/>
    <n v="16267"/>
    <x v="0"/>
    <x v="1"/>
    <x v="0"/>
    <s v="First Owner"/>
    <n v="9"/>
    <s v="Budget"/>
  </r>
  <r>
    <s v="Volkswagen Vento 1.5 TDI Highline"/>
    <x v="8"/>
    <n v="525000"/>
    <n v="71500"/>
    <x v="1"/>
    <x v="1"/>
    <x v="0"/>
    <s v="First Owner"/>
    <n v="13"/>
    <s v="Mid Range"/>
  </r>
  <r>
    <s v="BMW 5 Series 520d Luxury Line"/>
    <x v="7"/>
    <n v="4800000"/>
    <n v="12999"/>
    <x v="1"/>
    <x v="1"/>
    <x v="1"/>
    <s v="First Owner"/>
    <n v="7"/>
    <s v="Premium"/>
  </r>
  <r>
    <s v="Chevrolet Aveo U-VA 1.2 LS"/>
    <x v="15"/>
    <n v="160000"/>
    <n v="80000"/>
    <x v="0"/>
    <x v="0"/>
    <x v="0"/>
    <s v="First Owner"/>
    <n v="18"/>
    <s v="Budget"/>
  </r>
  <r>
    <s v="Maruti Zen Estilo 1.1 LXI BSIII"/>
    <x v="0"/>
    <n v="160000"/>
    <n v="90000"/>
    <x v="0"/>
    <x v="0"/>
    <x v="0"/>
    <s v="Second Owner"/>
    <n v="19"/>
    <s v="Budget"/>
  </r>
  <r>
    <s v="Hyundai Creta 1.6 VTVT S"/>
    <x v="2"/>
    <n v="900000"/>
    <n v="14700"/>
    <x v="0"/>
    <x v="0"/>
    <x v="0"/>
    <s v="First Owner"/>
    <n v="9"/>
    <s v="Mid Range"/>
  </r>
  <r>
    <s v="Maruti Alto LX"/>
    <x v="21"/>
    <n v="61000"/>
    <n v="90000"/>
    <x v="0"/>
    <x v="0"/>
    <x v="0"/>
    <s v="Second Owner"/>
    <n v="26"/>
    <s v="Budget"/>
  </r>
  <r>
    <s v="Maruti Wagon R LXI BS IV"/>
    <x v="2"/>
    <n v="400000"/>
    <n v="50000"/>
    <x v="0"/>
    <x v="0"/>
    <x v="0"/>
    <s v="First Owner"/>
    <n v="9"/>
    <s v="Budget"/>
  </r>
  <r>
    <s v="Hyundai Santro Xing XS"/>
    <x v="11"/>
    <n v="150000"/>
    <n v="100000"/>
    <x v="0"/>
    <x v="0"/>
    <x v="0"/>
    <s v="Second Owner"/>
    <n v="17"/>
    <s v="Budget"/>
  </r>
  <r>
    <s v="Volkswagen Polo GT 1.0 TSI"/>
    <x v="7"/>
    <n v="950000"/>
    <n v="24000"/>
    <x v="0"/>
    <x v="0"/>
    <x v="1"/>
    <s v="First Owner"/>
    <n v="7"/>
    <s v="Mid Range"/>
  </r>
  <r>
    <s v="Hyundai Getz GLX"/>
    <x v="0"/>
    <n v="110000"/>
    <n v="90000"/>
    <x v="0"/>
    <x v="0"/>
    <x v="0"/>
    <s v="First Owner"/>
    <n v="19"/>
    <s v="Budget"/>
  </r>
  <r>
    <s v="Tata Bolt Revotron XM"/>
    <x v="5"/>
    <n v="375000"/>
    <n v="30000"/>
    <x v="0"/>
    <x v="0"/>
    <x v="0"/>
    <s v="First Owner"/>
    <n v="11"/>
    <s v="Budget"/>
  </r>
  <r>
    <s v="Datsun GO Plus T Option"/>
    <x v="2"/>
    <n v="350000"/>
    <n v="80000"/>
    <x v="0"/>
    <x v="0"/>
    <x v="0"/>
    <s v="First Owner"/>
    <n v="9"/>
    <s v="Budget"/>
  </r>
  <r>
    <s v="Hyundai i20 Magna 1.4 CRDi (Diesel)"/>
    <x v="1"/>
    <n v="310000"/>
    <n v="92686"/>
    <x v="1"/>
    <x v="1"/>
    <x v="0"/>
    <s v="Second Owner"/>
    <n v="14"/>
    <s v="Budget"/>
  </r>
  <r>
    <s v="Tata Indica GLS BS IV"/>
    <x v="10"/>
    <n v="90000"/>
    <n v="300000"/>
    <x v="0"/>
    <x v="0"/>
    <x v="0"/>
    <s v="Third Owner"/>
    <n v="16"/>
    <s v="Budget"/>
  </r>
  <r>
    <s v="Volkswagen Vento Petrol Highline"/>
    <x v="9"/>
    <n v="350000"/>
    <n v="90000"/>
    <x v="0"/>
    <x v="0"/>
    <x v="0"/>
    <s v="Second Owner"/>
    <n v="15"/>
    <s v="Budget"/>
  </r>
  <r>
    <s v="Hyundai Santro LS zipPlus"/>
    <x v="18"/>
    <n v="100000"/>
    <n v="60000"/>
    <x v="0"/>
    <x v="0"/>
    <x v="0"/>
    <s v="First Owner"/>
    <n v="23"/>
    <s v="Budget"/>
  </r>
  <r>
    <s v="Mahindra XUV500 AT W6 2WD"/>
    <x v="2"/>
    <n v="1300000"/>
    <n v="40000"/>
    <x v="1"/>
    <x v="0"/>
    <x v="1"/>
    <s v="First Owner"/>
    <n v="9"/>
    <s v="Premium"/>
  </r>
  <r>
    <s v="Hyundai EON Era Plus Sports Edition"/>
    <x v="3"/>
    <n v="280000"/>
    <n v="55000"/>
    <x v="0"/>
    <x v="0"/>
    <x v="0"/>
    <s v="First Owner"/>
    <n v="12"/>
    <s v="Budget"/>
  </r>
  <r>
    <s v="Hyundai EON Magna Plus"/>
    <x v="6"/>
    <n v="360000"/>
    <n v="6000"/>
    <x v="0"/>
    <x v="0"/>
    <x v="0"/>
    <s v="First Owner"/>
    <n v="8"/>
    <s v="Budget"/>
  </r>
  <r>
    <s v="Maruti Alto LXi"/>
    <x v="9"/>
    <n v="150000"/>
    <n v="40000"/>
    <x v="0"/>
    <x v="0"/>
    <x v="0"/>
    <s v="Second Owner"/>
    <n v="15"/>
    <s v="Budget"/>
  </r>
  <r>
    <s v="Skoda Rapid 1.6 MPI AT Ambition BSIV"/>
    <x v="2"/>
    <n v="900000"/>
    <n v="15000"/>
    <x v="0"/>
    <x v="0"/>
    <x v="1"/>
    <s v="First Owner"/>
    <n v="9"/>
    <s v="Mid Range"/>
  </r>
  <r>
    <s v="Ambassador CLASSIC 1500 DSL AC"/>
    <x v="14"/>
    <n v="120000"/>
    <n v="50000"/>
    <x v="1"/>
    <x v="0"/>
    <x v="0"/>
    <s v="Second Owner"/>
    <n v="21"/>
    <s v="Budget"/>
  </r>
  <r>
    <s v="Fiat Linea T Jet Emotion"/>
    <x v="10"/>
    <n v="215000"/>
    <n v="90000"/>
    <x v="0"/>
    <x v="0"/>
    <x v="0"/>
    <s v="Second Owner"/>
    <n v="16"/>
    <s v="Budget"/>
  </r>
  <r>
    <s v="Renault Scala Diesel RxL"/>
    <x v="8"/>
    <n v="550000"/>
    <n v="38500"/>
    <x v="1"/>
    <x v="0"/>
    <x v="0"/>
    <s v="First Owner"/>
    <n v="13"/>
    <s v="Mid Range"/>
  </r>
  <r>
    <s v="Tata Nexon 1.2 Revotron XZ Plus Dual Tone"/>
    <x v="6"/>
    <n v="775000"/>
    <n v="35000"/>
    <x v="0"/>
    <x v="0"/>
    <x v="0"/>
    <s v="First Owner"/>
    <n v="8"/>
    <s v="Mid Range"/>
  </r>
  <r>
    <s v="Maruti Gypsy King HT BSIV"/>
    <x v="23"/>
    <n v="409999"/>
    <n v="49359"/>
    <x v="0"/>
    <x v="0"/>
    <x v="0"/>
    <s v="Third Owner"/>
    <n v="25"/>
    <s v="Budget"/>
  </r>
  <r>
    <s v="Maruti 800 AC Uniq"/>
    <x v="14"/>
    <n v="65000"/>
    <n v="70000"/>
    <x v="0"/>
    <x v="0"/>
    <x v="0"/>
    <s v="Second Owner"/>
    <n v="21"/>
    <s v="Budget"/>
  </r>
  <r>
    <s v="Maruti Wagon R LXI Minor"/>
    <x v="15"/>
    <n v="200000"/>
    <n v="90000"/>
    <x v="0"/>
    <x v="0"/>
    <x v="0"/>
    <s v="Second Owner"/>
    <n v="18"/>
    <s v="Budget"/>
  </r>
  <r>
    <s v="Maruti Wagon R VXI BS IV"/>
    <x v="10"/>
    <n v="240000"/>
    <n v="50000"/>
    <x v="0"/>
    <x v="0"/>
    <x v="0"/>
    <s v="Second Owner"/>
    <n v="16"/>
    <s v="Budget"/>
  </r>
  <r>
    <s v="Toyota Innova 2.5 VX 8 STR"/>
    <x v="1"/>
    <n v="800000"/>
    <n v="108731"/>
    <x v="1"/>
    <x v="0"/>
    <x v="0"/>
    <s v="First Owner"/>
    <n v="14"/>
    <s v="Mid Range"/>
  </r>
  <r>
    <s v="Toyota Innova 2.5 EV Diesel MS 7 Str BSIII"/>
    <x v="10"/>
    <n v="400000"/>
    <n v="120000"/>
    <x v="1"/>
    <x v="0"/>
    <x v="0"/>
    <s v="First Owner"/>
    <n v="16"/>
    <s v="Budget"/>
  </r>
  <r>
    <s v="Tata Sumo Gold EX BSIII"/>
    <x v="4"/>
    <n v="500000"/>
    <n v="60000"/>
    <x v="1"/>
    <x v="0"/>
    <x v="0"/>
    <s v="First Owner"/>
    <n v="10"/>
    <s v="Mid Range"/>
  </r>
  <r>
    <s v="Mahindra Renault Logan 1.5 DLX Diesel"/>
    <x v="0"/>
    <n v="150000"/>
    <n v="90000"/>
    <x v="1"/>
    <x v="0"/>
    <x v="0"/>
    <s v="Third Owner"/>
    <n v="19"/>
    <s v="Budget"/>
  </r>
  <r>
    <s v="Toyota Etios GD"/>
    <x v="3"/>
    <n v="500000"/>
    <n v="140000"/>
    <x v="1"/>
    <x v="0"/>
    <x v="0"/>
    <s v="Second Owner"/>
    <n v="12"/>
    <s v="Mid Range"/>
  </r>
  <r>
    <s v="Hyundai EON Magna Plus"/>
    <x v="3"/>
    <n v="320000"/>
    <n v="80000"/>
    <x v="0"/>
    <x v="0"/>
    <x v="0"/>
    <s v="First Owner"/>
    <n v="12"/>
    <s v="Budget"/>
  </r>
  <r>
    <s v="Nissan Micra Diesel XV"/>
    <x v="8"/>
    <n v="300000"/>
    <n v="90000"/>
    <x v="1"/>
    <x v="0"/>
    <x v="0"/>
    <s v="First Owner"/>
    <n v="13"/>
    <s v="Budget"/>
  </r>
  <r>
    <s v="Maruti Alto 800 LXI"/>
    <x v="6"/>
    <n v="285000"/>
    <n v="14000"/>
    <x v="0"/>
    <x v="0"/>
    <x v="0"/>
    <s v="First Owner"/>
    <n v="8"/>
    <s v="Budget"/>
  </r>
  <r>
    <s v="Tata Aria Pleasure 4x2"/>
    <x v="1"/>
    <n v="360000"/>
    <n v="70000"/>
    <x v="1"/>
    <x v="0"/>
    <x v="0"/>
    <s v="Second Owner"/>
    <n v="14"/>
    <s v="Budget"/>
  </r>
  <r>
    <s v="Honda Accord 2.4 MT"/>
    <x v="11"/>
    <n v="450000"/>
    <n v="55000"/>
    <x v="0"/>
    <x v="0"/>
    <x v="0"/>
    <s v="Second Owner"/>
    <n v="17"/>
    <s v="Budget"/>
  </r>
  <r>
    <s v="Maruti Alto LXi"/>
    <x v="9"/>
    <n v="175000"/>
    <n v="60000"/>
    <x v="0"/>
    <x v="0"/>
    <x v="0"/>
    <s v="Third Owner"/>
    <n v="15"/>
    <s v="Budget"/>
  </r>
  <r>
    <s v="Chevrolet Cruze LT"/>
    <x v="9"/>
    <n v="350000"/>
    <n v="74000"/>
    <x v="1"/>
    <x v="0"/>
    <x v="0"/>
    <s v="Second Owner"/>
    <n v="15"/>
    <s v="Budget"/>
  </r>
  <r>
    <s v="Ford Figo Aspire 1.5 TDCi Titanium"/>
    <x v="20"/>
    <n v="530000"/>
    <n v="45000"/>
    <x v="1"/>
    <x v="1"/>
    <x v="0"/>
    <s v="First Owner"/>
    <n v="6"/>
    <s v="Mid Range"/>
  </r>
  <r>
    <s v="Honda City i-DTEC ZX"/>
    <x v="2"/>
    <n v="1025000"/>
    <n v="38000"/>
    <x v="1"/>
    <x v="1"/>
    <x v="0"/>
    <s v="First Owner"/>
    <n v="9"/>
    <s v="Premium"/>
  </r>
  <r>
    <s v="Honda BR-V i-DTEC VX MT"/>
    <x v="2"/>
    <n v="950000"/>
    <n v="24000"/>
    <x v="1"/>
    <x v="1"/>
    <x v="0"/>
    <s v="First Owner"/>
    <n v="9"/>
    <s v="Mid Range"/>
  </r>
  <r>
    <s v="Honda WR-V i-VTEC VX"/>
    <x v="2"/>
    <n v="725000"/>
    <n v="29976"/>
    <x v="0"/>
    <x v="1"/>
    <x v="0"/>
    <s v="First Owner"/>
    <n v="9"/>
    <s v="Mid Range"/>
  </r>
  <r>
    <s v="Honda City i VTEC VX"/>
    <x v="2"/>
    <n v="919999"/>
    <n v="41000"/>
    <x v="0"/>
    <x v="1"/>
    <x v="0"/>
    <s v="First Owner"/>
    <n v="9"/>
    <s v="Mid Range"/>
  </r>
  <r>
    <s v="Honda Jazz 1.5 V i DTEC"/>
    <x v="6"/>
    <n v="700000"/>
    <n v="15000"/>
    <x v="1"/>
    <x v="1"/>
    <x v="0"/>
    <s v="First Owner"/>
    <n v="8"/>
    <s v="Mid Range"/>
  </r>
  <r>
    <s v="Honda Jazz 1.5 VX i DTEC"/>
    <x v="2"/>
    <n v="725000"/>
    <n v="36000"/>
    <x v="1"/>
    <x v="1"/>
    <x v="0"/>
    <s v="First Owner"/>
    <n v="9"/>
    <s v="Mid Range"/>
  </r>
  <r>
    <s v="Honda BR-V i-VTEC VX MT"/>
    <x v="2"/>
    <n v="840000"/>
    <n v="30646"/>
    <x v="0"/>
    <x v="1"/>
    <x v="0"/>
    <s v="First Owner"/>
    <n v="9"/>
    <s v="Mid Range"/>
  </r>
  <r>
    <s v="Maruti Wagon R VXI BS IV"/>
    <x v="5"/>
    <n v="365000"/>
    <n v="23600"/>
    <x v="0"/>
    <x v="1"/>
    <x v="0"/>
    <s v="First Owner"/>
    <n v="11"/>
    <s v="Budget"/>
  </r>
  <r>
    <s v="Honda City i DTEC SV"/>
    <x v="3"/>
    <n v="665000"/>
    <n v="71318"/>
    <x v="1"/>
    <x v="1"/>
    <x v="0"/>
    <s v="First Owner"/>
    <n v="12"/>
    <s v="Mid Range"/>
  </r>
  <r>
    <s v="Maruti 800 Std"/>
    <x v="18"/>
    <n v="50000"/>
    <n v="78098"/>
    <x v="0"/>
    <x v="0"/>
    <x v="0"/>
    <s v="First Owner"/>
    <n v="23"/>
    <s v="Budget"/>
  </r>
  <r>
    <s v="Hyundai EON Era Plus"/>
    <x v="3"/>
    <n v="225000"/>
    <n v="30000"/>
    <x v="0"/>
    <x v="0"/>
    <x v="0"/>
    <s v="First Owner"/>
    <n v="12"/>
    <s v="Budget"/>
  </r>
  <r>
    <s v="Hyundai i10 Era"/>
    <x v="1"/>
    <n v="229999"/>
    <n v="45000"/>
    <x v="0"/>
    <x v="0"/>
    <x v="0"/>
    <s v="Second Owner"/>
    <n v="14"/>
    <s v="Budget"/>
  </r>
  <r>
    <s v="Hyundai Santro Xing GL"/>
    <x v="15"/>
    <n v="145000"/>
    <n v="67000"/>
    <x v="0"/>
    <x v="0"/>
    <x v="0"/>
    <s v="First Owner"/>
    <n v="18"/>
    <s v="Budget"/>
  </r>
  <r>
    <s v="Ford EcoSport 1.5 Ti VCT MT Titanium BSIV"/>
    <x v="2"/>
    <n v="750000"/>
    <n v="18054"/>
    <x v="0"/>
    <x v="1"/>
    <x v="0"/>
    <s v="First Owner"/>
    <n v="9"/>
    <s v="Mid Range"/>
  </r>
  <r>
    <s v="Honda City i DTEC VX"/>
    <x v="5"/>
    <n v="785000"/>
    <n v="40000"/>
    <x v="1"/>
    <x v="0"/>
    <x v="0"/>
    <s v="First Owner"/>
    <n v="11"/>
    <s v="Mid Range"/>
  </r>
  <r>
    <s v="Hyundai i10 Sportz"/>
    <x v="9"/>
    <n v="225000"/>
    <n v="30000"/>
    <x v="0"/>
    <x v="0"/>
    <x v="0"/>
    <s v="First Owner"/>
    <n v="15"/>
    <s v="Budget"/>
  </r>
  <r>
    <s v="Hyundai Xcent 1.1 CRDi Base"/>
    <x v="2"/>
    <n v="300000"/>
    <n v="80000"/>
    <x v="1"/>
    <x v="0"/>
    <x v="0"/>
    <s v="First Owner"/>
    <n v="9"/>
    <s v="Budget"/>
  </r>
  <r>
    <s v="Hyundai i20 Asta 1.4 CRDi"/>
    <x v="4"/>
    <n v="680000"/>
    <n v="20000"/>
    <x v="1"/>
    <x v="0"/>
    <x v="0"/>
    <s v="First Owner"/>
    <n v="10"/>
    <s v="Mid Range"/>
  </r>
  <r>
    <s v="Mahindra TUV 300 T8"/>
    <x v="4"/>
    <n v="700000"/>
    <n v="40000"/>
    <x v="1"/>
    <x v="0"/>
    <x v="0"/>
    <s v="First Owner"/>
    <n v="10"/>
    <s v="Mid Range"/>
  </r>
  <r>
    <s v="Tata Indigo CS eLS BS IV"/>
    <x v="9"/>
    <n v="180000"/>
    <n v="120000"/>
    <x v="1"/>
    <x v="0"/>
    <x v="0"/>
    <s v="First Owner"/>
    <n v="15"/>
    <s v="Budget"/>
  </r>
  <r>
    <s v="Ford Fiesta 1.4 SXi TDCi ABS"/>
    <x v="15"/>
    <n v="270000"/>
    <n v="120000"/>
    <x v="1"/>
    <x v="0"/>
    <x v="0"/>
    <s v="Second Owner"/>
    <n v="18"/>
    <s v="Budget"/>
  </r>
  <r>
    <s v="Maruti Swift Dzire VXi"/>
    <x v="10"/>
    <n v="370000"/>
    <n v="97000"/>
    <x v="0"/>
    <x v="0"/>
    <x v="0"/>
    <s v="Second Owner"/>
    <n v="16"/>
    <s v="Budget"/>
  </r>
  <r>
    <s v="Mahindra Xylo H8 ABS with Airbags"/>
    <x v="6"/>
    <n v="1100000"/>
    <n v="70000"/>
    <x v="1"/>
    <x v="0"/>
    <x v="0"/>
    <s v="First Owner"/>
    <n v="8"/>
    <s v="Premium"/>
  </r>
  <r>
    <s v="Hyundai Accent CRDi"/>
    <x v="16"/>
    <n v="120000"/>
    <n v="120000"/>
    <x v="1"/>
    <x v="0"/>
    <x v="0"/>
    <s v="Second Owner"/>
    <n v="22"/>
    <s v="Budget"/>
  </r>
  <r>
    <s v="Skoda Rapid 1.6 TDI PRESTIGE"/>
    <x v="8"/>
    <n v="430000"/>
    <n v="88000"/>
    <x v="1"/>
    <x v="0"/>
    <x v="0"/>
    <s v="Second Owner"/>
    <n v="13"/>
    <s v="Budget"/>
  </r>
  <r>
    <s v="Maruti Swift ZDi"/>
    <x v="3"/>
    <n v="550000"/>
    <n v="38406"/>
    <x v="1"/>
    <x v="1"/>
    <x v="0"/>
    <s v="First Owner"/>
    <n v="12"/>
    <s v="Mid Range"/>
  </r>
  <r>
    <s v="Hyundai Santro Xing GLS"/>
    <x v="3"/>
    <n v="320000"/>
    <n v="54350"/>
    <x v="0"/>
    <x v="1"/>
    <x v="0"/>
    <s v="First Owner"/>
    <n v="12"/>
    <s v="Budget"/>
  </r>
  <r>
    <s v="Maruti Wagon R VXI BS IV"/>
    <x v="5"/>
    <n v="390000"/>
    <n v="32260"/>
    <x v="0"/>
    <x v="1"/>
    <x v="0"/>
    <s v="First Owner"/>
    <n v="11"/>
    <s v="Budget"/>
  </r>
  <r>
    <s v="Renault Duster 85PS Diesel RxE"/>
    <x v="3"/>
    <n v="550000"/>
    <n v="58231"/>
    <x v="1"/>
    <x v="1"/>
    <x v="0"/>
    <s v="First Owner"/>
    <n v="12"/>
    <s v="Mid Range"/>
  </r>
  <r>
    <s v="Maruti Swift VXI"/>
    <x v="1"/>
    <n v="370000"/>
    <n v="59858"/>
    <x v="0"/>
    <x v="1"/>
    <x v="0"/>
    <s v="First Owner"/>
    <n v="14"/>
    <s v="Budget"/>
  </r>
  <r>
    <s v="Maruti Alto LXi BSIII"/>
    <x v="10"/>
    <n v="190000"/>
    <n v="73350"/>
    <x v="0"/>
    <x v="1"/>
    <x v="0"/>
    <s v="First Owner"/>
    <n v="16"/>
    <s v="Budget"/>
  </r>
  <r>
    <s v="Renault Duster 110PS Diesel RxZ"/>
    <x v="8"/>
    <n v="509999"/>
    <n v="88473"/>
    <x v="1"/>
    <x v="1"/>
    <x v="0"/>
    <s v="First Owner"/>
    <n v="13"/>
    <s v="Mid Range"/>
  </r>
  <r>
    <s v="Honda City S"/>
    <x v="8"/>
    <n v="450000"/>
    <n v="96987"/>
    <x v="0"/>
    <x v="1"/>
    <x v="0"/>
    <s v="First Owner"/>
    <n v="13"/>
    <s v="Budget"/>
  </r>
  <r>
    <s v="Mercedes-Benz GLS 2016-2020 350d 4MATIC"/>
    <x v="4"/>
    <n v="5500000"/>
    <n v="77350"/>
    <x v="1"/>
    <x v="1"/>
    <x v="1"/>
    <s v="First Owner"/>
    <n v="10"/>
    <s v="Premium"/>
  </r>
  <r>
    <s v="Maruti Swift Dzire VDI"/>
    <x v="5"/>
    <n v="550000"/>
    <n v="61187"/>
    <x v="1"/>
    <x v="1"/>
    <x v="0"/>
    <s v="First Owner"/>
    <n v="11"/>
    <s v="Mid Range"/>
  </r>
  <r>
    <s v="Mahindra Xylo E6"/>
    <x v="11"/>
    <n v="400000"/>
    <n v="68350"/>
    <x v="1"/>
    <x v="1"/>
    <x v="0"/>
    <s v="First Owner"/>
    <n v="17"/>
    <s v="Budget"/>
  </r>
  <r>
    <s v="Ford EcoSport 1.5 TDCi Titanium BSIV"/>
    <x v="5"/>
    <n v="585000"/>
    <n v="81150"/>
    <x v="1"/>
    <x v="1"/>
    <x v="0"/>
    <s v="First Owner"/>
    <n v="11"/>
    <s v="Mid Range"/>
  </r>
  <r>
    <s v="Hyundai Grand i10 1.2 Kappa Asta"/>
    <x v="7"/>
    <n v="500000"/>
    <n v="30000"/>
    <x v="0"/>
    <x v="0"/>
    <x v="0"/>
    <s v="First Owner"/>
    <n v="7"/>
    <s v="Mid Range"/>
  </r>
  <r>
    <s v="Maruti Ciaz ZXi"/>
    <x v="5"/>
    <n v="800000"/>
    <n v="30000"/>
    <x v="0"/>
    <x v="0"/>
    <x v="0"/>
    <s v="First Owner"/>
    <n v="11"/>
    <s v="Mid Range"/>
  </r>
  <r>
    <s v="Maruti Swift Vdi BSIII"/>
    <x v="11"/>
    <n v="265000"/>
    <n v="120000"/>
    <x v="1"/>
    <x v="0"/>
    <x v="0"/>
    <s v="Second Owner"/>
    <n v="17"/>
    <s v="Budget"/>
  </r>
  <r>
    <s v="Ford Figo Diesel Titanium"/>
    <x v="1"/>
    <n v="175000"/>
    <n v="180000"/>
    <x v="1"/>
    <x v="0"/>
    <x v="0"/>
    <s v="First Owner"/>
    <n v="14"/>
    <s v="Budget"/>
  </r>
  <r>
    <s v="Fiat Palio 1.2 Sport"/>
    <x v="0"/>
    <n v="125000"/>
    <n v="50000"/>
    <x v="0"/>
    <x v="0"/>
    <x v="0"/>
    <s v="Second Owner"/>
    <n v="19"/>
    <s v="Budget"/>
  </r>
  <r>
    <s v="Tata Manza Aqua Quadrajet BS IV"/>
    <x v="10"/>
    <n v="165000"/>
    <n v="80000"/>
    <x v="1"/>
    <x v="0"/>
    <x v="0"/>
    <s v="First Owner"/>
    <n v="16"/>
    <s v="Budget"/>
  </r>
  <r>
    <s v="Mahindra Verito 1.5 D2 BSIII"/>
    <x v="9"/>
    <n v="150000"/>
    <n v="280000"/>
    <x v="1"/>
    <x v="0"/>
    <x v="0"/>
    <s v="First Owner"/>
    <n v="15"/>
    <s v="Budget"/>
  </r>
  <r>
    <s v="Hyundai Creta 1.6 CRDi SX Option"/>
    <x v="5"/>
    <n v="1025000"/>
    <n v="90000"/>
    <x v="1"/>
    <x v="0"/>
    <x v="0"/>
    <s v="Second Owner"/>
    <n v="11"/>
    <s v="Premium"/>
  </r>
  <r>
    <s v="Toyota Innova 2.5 VX (Diesel) 8 Seater"/>
    <x v="3"/>
    <n v="1030000"/>
    <n v="250000"/>
    <x v="1"/>
    <x v="0"/>
    <x v="0"/>
    <s v="Second Owner"/>
    <n v="12"/>
    <s v="Premium"/>
  </r>
  <r>
    <s v="Chevrolet Cruze LT"/>
    <x v="1"/>
    <n v="380000"/>
    <n v="90000"/>
    <x v="1"/>
    <x v="0"/>
    <x v="0"/>
    <s v="Fourth &amp; Above Owner"/>
    <n v="14"/>
    <s v="Budget"/>
  </r>
  <r>
    <s v="Maruti Swift Dzire LDi"/>
    <x v="10"/>
    <n v="250000"/>
    <n v="110000"/>
    <x v="1"/>
    <x v="0"/>
    <x v="0"/>
    <s v="Third Owner"/>
    <n v="16"/>
    <s v="Budget"/>
  </r>
  <r>
    <s v="Maruti Zen LX"/>
    <x v="21"/>
    <n v="85000"/>
    <n v="80000"/>
    <x v="0"/>
    <x v="0"/>
    <x v="0"/>
    <s v="Second Owner"/>
    <n v="26"/>
    <s v="Budget"/>
  </r>
  <r>
    <s v="Fiat Punto EVO 1.3 Dynamic"/>
    <x v="4"/>
    <n v="500000"/>
    <n v="35000"/>
    <x v="1"/>
    <x v="0"/>
    <x v="0"/>
    <s v="First Owner"/>
    <n v="10"/>
    <s v="Mid Range"/>
  </r>
  <r>
    <s v="Hyundai EON Era Plus"/>
    <x v="6"/>
    <n v="350000"/>
    <n v="15000"/>
    <x v="0"/>
    <x v="0"/>
    <x v="0"/>
    <s v="First Owner"/>
    <n v="8"/>
    <s v="Budget"/>
  </r>
  <r>
    <s v="Maruti Alto LXi BSIII"/>
    <x v="10"/>
    <n v="190000"/>
    <n v="52000"/>
    <x v="0"/>
    <x v="0"/>
    <x v="0"/>
    <s v="Second Owner"/>
    <n v="16"/>
    <s v="Budget"/>
  </r>
  <r>
    <s v="Volkswagen Jetta 1.9 TDI Trendline"/>
    <x v="11"/>
    <n v="940000"/>
    <n v="140000"/>
    <x v="1"/>
    <x v="0"/>
    <x v="0"/>
    <s v="First Owner"/>
    <n v="17"/>
    <s v="Mid Range"/>
  </r>
  <r>
    <s v="Maruti Swift VXI"/>
    <x v="8"/>
    <n v="475000"/>
    <n v="60000"/>
    <x v="0"/>
    <x v="0"/>
    <x v="0"/>
    <s v="Second Owner"/>
    <n v="13"/>
    <s v="Budget"/>
  </r>
  <r>
    <s v="Maruti Alto 800 LXI"/>
    <x v="6"/>
    <n v="300000"/>
    <n v="17000"/>
    <x v="0"/>
    <x v="0"/>
    <x v="0"/>
    <s v="First Owner"/>
    <n v="8"/>
    <s v="Budget"/>
  </r>
  <r>
    <s v="Chevrolet Beat LS"/>
    <x v="4"/>
    <n v="250000"/>
    <n v="70000"/>
    <x v="0"/>
    <x v="0"/>
    <x v="0"/>
    <s v="Third Owner"/>
    <n v="10"/>
    <s v="Budget"/>
  </r>
  <r>
    <s v="Maruti Zen LX"/>
    <x v="23"/>
    <n v="93000"/>
    <n v="97000"/>
    <x v="0"/>
    <x v="0"/>
    <x v="0"/>
    <s v="Fourth &amp; Above Owner"/>
    <n v="25"/>
    <s v="Budget"/>
  </r>
  <r>
    <s v="Ford Figo Diesel ZXI"/>
    <x v="1"/>
    <n v="290000"/>
    <n v="125000"/>
    <x v="1"/>
    <x v="0"/>
    <x v="0"/>
    <s v="Second Owner"/>
    <n v="14"/>
    <s v="Budget"/>
  </r>
  <r>
    <s v="Tata Indica GLS BS IV"/>
    <x v="10"/>
    <n v="75000"/>
    <n v="300000"/>
    <x v="0"/>
    <x v="0"/>
    <x v="0"/>
    <s v="Third Owner"/>
    <n v="16"/>
    <s v="Budget"/>
  </r>
  <r>
    <s v="Mahindra XUV500 W8 2WD"/>
    <x v="5"/>
    <n v="1000000"/>
    <n v="120000"/>
    <x v="1"/>
    <x v="0"/>
    <x v="0"/>
    <s v="Second Owner"/>
    <n v="11"/>
    <s v="Mid Range"/>
  </r>
  <r>
    <s v="Hyundai i20 Asta 1.4 CRDi"/>
    <x v="5"/>
    <n v="550000"/>
    <n v="87000"/>
    <x v="1"/>
    <x v="0"/>
    <x v="0"/>
    <s v="First Owner"/>
    <n v="11"/>
    <s v="Mid Range"/>
  </r>
  <r>
    <s v="Fiat Punto 1.3 Emotion"/>
    <x v="10"/>
    <n v="285000"/>
    <n v="75000"/>
    <x v="1"/>
    <x v="0"/>
    <x v="0"/>
    <s v="Third Owner"/>
    <n v="16"/>
    <s v="Budget"/>
  </r>
  <r>
    <s v="Maruti Wagon R VXI BSIII"/>
    <x v="1"/>
    <n v="229999"/>
    <n v="40000"/>
    <x v="0"/>
    <x v="0"/>
    <x v="0"/>
    <s v="Second Owner"/>
    <n v="14"/>
    <s v="Budget"/>
  </r>
  <r>
    <s v="Ford Ecosport 1.5 DV5 MT Titanium"/>
    <x v="3"/>
    <n v="580000"/>
    <n v="120000"/>
    <x v="1"/>
    <x v="0"/>
    <x v="0"/>
    <s v="First Owner"/>
    <n v="12"/>
    <s v="Mid Range"/>
  </r>
  <r>
    <s v="Toyota Corolla H2"/>
    <x v="14"/>
    <n v="175000"/>
    <n v="100000"/>
    <x v="0"/>
    <x v="0"/>
    <x v="0"/>
    <s v="Fourth &amp; Above Owner"/>
    <n v="21"/>
    <s v="Budget"/>
  </r>
  <r>
    <s v="Maruti Ritz VDi"/>
    <x v="1"/>
    <n v="250000"/>
    <n v="110000"/>
    <x v="1"/>
    <x v="0"/>
    <x v="0"/>
    <s v="Fourth &amp; Above Owner"/>
    <n v="14"/>
    <s v="Budget"/>
  </r>
  <r>
    <s v="Maruti Zen LX - BS III"/>
    <x v="12"/>
    <n v="70000"/>
    <n v="105700"/>
    <x v="0"/>
    <x v="0"/>
    <x v="0"/>
    <s v="First Owner"/>
    <n v="20"/>
    <s v="Budget"/>
  </r>
  <r>
    <s v="Maruti Celerio VXI Optional"/>
    <x v="2"/>
    <n v="430999"/>
    <n v="14000"/>
    <x v="0"/>
    <x v="1"/>
    <x v="0"/>
    <s v="First Owner"/>
    <n v="9"/>
    <s v="Budget"/>
  </r>
  <r>
    <s v="Chevrolet Spark 1.0"/>
    <x v="10"/>
    <n v="80000"/>
    <n v="70000"/>
    <x v="0"/>
    <x v="0"/>
    <x v="0"/>
    <s v="First Owner"/>
    <n v="16"/>
    <s v="Budget"/>
  </r>
  <r>
    <s v="Maruti Alto 800 LXI Optional"/>
    <x v="7"/>
    <n v="335000"/>
    <n v="28000"/>
    <x v="0"/>
    <x v="1"/>
    <x v="0"/>
    <s v="First Owner"/>
    <n v="7"/>
    <s v="Budget"/>
  </r>
  <r>
    <s v="Maruti Eeco 7 Seater Standard BSIV"/>
    <x v="2"/>
    <n v="350000"/>
    <n v="51000"/>
    <x v="0"/>
    <x v="1"/>
    <x v="0"/>
    <s v="First Owner"/>
    <n v="9"/>
    <s v="Budget"/>
  </r>
  <r>
    <s v="Maruti Alto 800 LXI Opt BSIV"/>
    <x v="6"/>
    <n v="315000"/>
    <n v="56000"/>
    <x v="0"/>
    <x v="1"/>
    <x v="0"/>
    <s v="First Owner"/>
    <n v="8"/>
    <s v="Budget"/>
  </r>
  <r>
    <s v="Volkswagen Vento 1.5 TDI Highline Plus AT BSIV"/>
    <x v="7"/>
    <n v="1100000"/>
    <n v="35000"/>
    <x v="1"/>
    <x v="0"/>
    <x v="1"/>
    <s v="First Owner"/>
    <n v="7"/>
    <s v="Premium"/>
  </r>
  <r>
    <s v="Maruti Esteem Lxi - BSIII"/>
    <x v="14"/>
    <n v="80000"/>
    <n v="24000"/>
    <x v="0"/>
    <x v="0"/>
    <x v="0"/>
    <s v="First Owner"/>
    <n v="21"/>
    <s v="Budget"/>
  </r>
  <r>
    <s v="Maruti Alto K10 VXI Optional"/>
    <x v="3"/>
    <n v="285000"/>
    <n v="64000"/>
    <x v="0"/>
    <x v="1"/>
    <x v="0"/>
    <s v="Second Owner"/>
    <n v="12"/>
    <s v="Budget"/>
  </r>
  <r>
    <s v="Tata Indigo TDI"/>
    <x v="11"/>
    <n v="100000"/>
    <n v="120000"/>
    <x v="1"/>
    <x v="0"/>
    <x v="0"/>
    <s v="Third Owner"/>
    <n v="17"/>
    <s v="Budget"/>
  </r>
  <r>
    <s v="Maruti Alto LXi"/>
    <x v="9"/>
    <n v="225000"/>
    <n v="37091"/>
    <x v="0"/>
    <x v="0"/>
    <x v="0"/>
    <s v="First Owner"/>
    <n v="15"/>
    <s v="Budget"/>
  </r>
  <r>
    <s v="Volvo XC 90 D5 Inscription BSIV"/>
    <x v="2"/>
    <n v="4500000"/>
    <n v="80000"/>
    <x v="1"/>
    <x v="0"/>
    <x v="1"/>
    <s v="First Owner"/>
    <n v="9"/>
    <s v="Premium"/>
  </r>
  <r>
    <s v="Maruti Alto K10 VXI"/>
    <x v="6"/>
    <n v="320000"/>
    <n v="38900"/>
    <x v="0"/>
    <x v="0"/>
    <x v="0"/>
    <s v="Third Owner"/>
    <n v="8"/>
    <s v="Budget"/>
  </r>
  <r>
    <s v="Hyundai Creta 1.6 CRDi SX Plus"/>
    <x v="4"/>
    <n v="1249000"/>
    <n v="60000"/>
    <x v="1"/>
    <x v="0"/>
    <x v="0"/>
    <s v="Third Owner"/>
    <n v="10"/>
    <s v="Premium"/>
  </r>
  <r>
    <s v="Maruti Wagon R LXI Minor"/>
    <x v="15"/>
    <n v="120000"/>
    <n v="110000"/>
    <x v="0"/>
    <x v="0"/>
    <x v="0"/>
    <s v="Third Owner"/>
    <n v="18"/>
    <s v="Budget"/>
  </r>
  <r>
    <s v="Volkswagen Vento Diesel Trendline"/>
    <x v="9"/>
    <n v="200000"/>
    <n v="100000"/>
    <x v="1"/>
    <x v="0"/>
    <x v="0"/>
    <s v="Second Owner"/>
    <n v="15"/>
    <s v="Budget"/>
  </r>
  <r>
    <s v="Hyundai Creta 1.6 CRDi SX"/>
    <x v="4"/>
    <n v="1151000"/>
    <n v="85000"/>
    <x v="1"/>
    <x v="0"/>
    <x v="0"/>
    <s v="First Owner"/>
    <n v="10"/>
    <s v="Premium"/>
  </r>
  <r>
    <s v="Tata Indica Vista Quadrajet LS"/>
    <x v="1"/>
    <n v="120000"/>
    <n v="140000"/>
    <x v="1"/>
    <x v="0"/>
    <x v="0"/>
    <s v="First Owner"/>
    <n v="14"/>
    <s v="Budget"/>
  </r>
  <r>
    <s v="Renault KWID RXT"/>
    <x v="2"/>
    <n v="220000"/>
    <n v="20000"/>
    <x v="0"/>
    <x v="0"/>
    <x v="0"/>
    <s v="First Owner"/>
    <n v="9"/>
    <s v="Budget"/>
  </r>
  <r>
    <s v="Mahindra TUV 300 T10 Dual Tone"/>
    <x v="6"/>
    <n v="784000"/>
    <n v="40000"/>
    <x v="1"/>
    <x v="0"/>
    <x v="0"/>
    <s v="First Owner"/>
    <n v="8"/>
    <s v="Mid Range"/>
  </r>
  <r>
    <s v="Honda Jazz 1.2 S i VTEC"/>
    <x v="2"/>
    <n v="500000"/>
    <n v="50000"/>
    <x v="0"/>
    <x v="0"/>
    <x v="0"/>
    <s v="First Owner"/>
    <n v="9"/>
    <s v="Mid Range"/>
  </r>
  <r>
    <s v="Hyundai EON Era Plus"/>
    <x v="6"/>
    <n v="350000"/>
    <n v="20000"/>
    <x v="0"/>
    <x v="0"/>
    <x v="0"/>
    <s v="First Owner"/>
    <n v="8"/>
    <s v="Budget"/>
  </r>
  <r>
    <s v="Mahindra XUV500 W7 AT BSIV"/>
    <x v="6"/>
    <n v="1400000"/>
    <n v="50000"/>
    <x v="1"/>
    <x v="0"/>
    <x v="1"/>
    <s v="First Owner"/>
    <n v="8"/>
    <s v="Premium"/>
  </r>
  <r>
    <s v="Mahindra Thar CRDe AC"/>
    <x v="3"/>
    <n v="600000"/>
    <n v="100000"/>
    <x v="1"/>
    <x v="0"/>
    <x v="0"/>
    <s v="Second Owner"/>
    <n v="12"/>
    <s v="Mid Range"/>
  </r>
  <r>
    <s v="Hyundai Grand i10 1.2 Kappa Magna BSIV"/>
    <x v="7"/>
    <n v="525000"/>
    <n v="9400"/>
    <x v="0"/>
    <x v="0"/>
    <x v="0"/>
    <s v="First Owner"/>
    <n v="7"/>
    <s v="Mid Range"/>
  </r>
  <r>
    <s v="Ford EcoSport 1.5 Diesel Titanium Plus BSIV"/>
    <x v="2"/>
    <n v="930000"/>
    <n v="12000"/>
    <x v="1"/>
    <x v="0"/>
    <x v="0"/>
    <s v="First Owner"/>
    <n v="9"/>
    <s v="Mid Range"/>
  </r>
  <r>
    <s v="Maruti Eeco 5 STR With AC Plus HTR CNG"/>
    <x v="2"/>
    <n v="440000"/>
    <n v="14100"/>
    <x v="2"/>
    <x v="1"/>
    <x v="0"/>
    <s v="First Owner"/>
    <n v="9"/>
    <s v="Budget"/>
  </r>
  <r>
    <s v="Maruti Celerio ZXI"/>
    <x v="4"/>
    <n v="434999"/>
    <n v="21000"/>
    <x v="0"/>
    <x v="1"/>
    <x v="0"/>
    <s v="First Owner"/>
    <n v="10"/>
    <s v="Budget"/>
  </r>
  <r>
    <s v="Hyundai i10 Magna"/>
    <x v="9"/>
    <n v="250000"/>
    <n v="28000"/>
    <x v="0"/>
    <x v="1"/>
    <x v="0"/>
    <s v="First Owner"/>
    <n v="15"/>
    <s v="Budget"/>
  </r>
  <r>
    <s v="Maruti Ertiga SHVS ZDI Plus"/>
    <x v="2"/>
    <n v="940000"/>
    <n v="35000"/>
    <x v="1"/>
    <x v="1"/>
    <x v="0"/>
    <s v="First Owner"/>
    <n v="9"/>
    <s v="Mid Range"/>
  </r>
  <r>
    <s v="Hyundai Verna 1.6 CRDi AT SX"/>
    <x v="2"/>
    <n v="1050000"/>
    <n v="31000"/>
    <x v="1"/>
    <x v="1"/>
    <x v="1"/>
    <s v="First Owner"/>
    <n v="9"/>
    <s v="Premium"/>
  </r>
  <r>
    <s v="Maruti Ertiga SHVS ZDI"/>
    <x v="4"/>
    <n v="825000"/>
    <n v="58000"/>
    <x v="1"/>
    <x v="1"/>
    <x v="0"/>
    <s v="First Owner"/>
    <n v="10"/>
    <s v="Mid Range"/>
  </r>
  <r>
    <s v="Maruti Wagon R VXI Minor"/>
    <x v="1"/>
    <n v="229999"/>
    <n v="25000"/>
    <x v="0"/>
    <x v="0"/>
    <x v="0"/>
    <s v="First Owner"/>
    <n v="14"/>
    <s v="Budget"/>
  </r>
  <r>
    <s v="Hyundai i20 1.2 Asta"/>
    <x v="9"/>
    <n v="375000"/>
    <n v="72000"/>
    <x v="0"/>
    <x v="1"/>
    <x v="0"/>
    <s v="First Owner"/>
    <n v="15"/>
    <s v="Budget"/>
  </r>
  <r>
    <s v="Maruti Ertiga ZDI"/>
    <x v="8"/>
    <n v="640000"/>
    <n v="89000"/>
    <x v="1"/>
    <x v="1"/>
    <x v="0"/>
    <s v="First Owner"/>
    <n v="13"/>
    <s v="Mid Range"/>
  </r>
  <r>
    <s v="Toyota Innova 2.5 V Diesel 8-seater"/>
    <x v="1"/>
    <n v="800000"/>
    <n v="160000"/>
    <x v="1"/>
    <x v="1"/>
    <x v="0"/>
    <s v="First Owner"/>
    <n v="14"/>
    <s v="Mid Range"/>
  </r>
  <r>
    <s v="Ford Figo Petrol ZXI"/>
    <x v="1"/>
    <n v="130000"/>
    <n v="30000"/>
    <x v="0"/>
    <x v="0"/>
    <x v="0"/>
    <s v="Third Owner"/>
    <n v="14"/>
    <s v="Budget"/>
  </r>
  <r>
    <s v="Hyundai i10 Sportz 1.1L"/>
    <x v="3"/>
    <n v="300000"/>
    <n v="37555"/>
    <x v="0"/>
    <x v="1"/>
    <x v="0"/>
    <s v="First Owner"/>
    <n v="12"/>
    <s v="Budget"/>
  </r>
  <r>
    <s v="Maruti Wagon R VXI BS IV"/>
    <x v="6"/>
    <n v="440000"/>
    <n v="14000"/>
    <x v="0"/>
    <x v="1"/>
    <x v="0"/>
    <s v="First Owner"/>
    <n v="8"/>
    <s v="Budget"/>
  </r>
  <r>
    <s v="Maruti Ertiga VXI CNG"/>
    <x v="3"/>
    <n v="595000"/>
    <n v="56600"/>
    <x v="2"/>
    <x v="1"/>
    <x v="0"/>
    <s v="First Owner"/>
    <n v="12"/>
    <s v="Mid Range"/>
  </r>
  <r>
    <s v="Mahindra Scorpio EX"/>
    <x v="8"/>
    <n v="450000"/>
    <n v="110000"/>
    <x v="1"/>
    <x v="0"/>
    <x v="0"/>
    <s v="First Owner"/>
    <n v="13"/>
    <s v="Budget"/>
  </r>
  <r>
    <s v="Maruti Vitara Brezza VDi Option"/>
    <x v="2"/>
    <n v="690000"/>
    <n v="50000"/>
    <x v="1"/>
    <x v="0"/>
    <x v="0"/>
    <s v="First Owner"/>
    <n v="9"/>
    <s v="Mid Range"/>
  </r>
  <r>
    <s v="Maruti Alto 800 VXI"/>
    <x v="7"/>
    <n v="300000"/>
    <n v="5000"/>
    <x v="0"/>
    <x v="0"/>
    <x v="0"/>
    <s v="First Owner"/>
    <n v="7"/>
    <s v="Budget"/>
  </r>
  <r>
    <s v="Chevrolet Sail 1.2 Base"/>
    <x v="3"/>
    <n v="170000"/>
    <n v="100000"/>
    <x v="0"/>
    <x v="0"/>
    <x v="0"/>
    <s v="Second Owner"/>
    <n v="12"/>
    <s v="Budget"/>
  </r>
  <r>
    <s v="Toyota Etios Liva GD SP"/>
    <x v="1"/>
    <n v="280000"/>
    <n v="120000"/>
    <x v="1"/>
    <x v="0"/>
    <x v="0"/>
    <s v="First Owner"/>
    <n v="14"/>
    <s v="Budget"/>
  </r>
  <r>
    <s v="Maruti Swift VXI BSIII"/>
    <x v="11"/>
    <n v="220000"/>
    <n v="67580"/>
    <x v="0"/>
    <x v="0"/>
    <x v="0"/>
    <s v="Second Owner"/>
    <n v="17"/>
    <s v="Budget"/>
  </r>
  <r>
    <s v="Hyundai Santro Xing GLS"/>
    <x v="11"/>
    <n v="140000"/>
    <n v="100000"/>
    <x v="0"/>
    <x v="0"/>
    <x v="0"/>
    <s v="Third Owner"/>
    <n v="17"/>
    <s v="Budget"/>
  </r>
  <r>
    <s v="Maruti Esteem Lxi"/>
    <x v="16"/>
    <n v="45000"/>
    <n v="60000"/>
    <x v="0"/>
    <x v="0"/>
    <x v="0"/>
    <s v="First Owner"/>
    <n v="22"/>
    <s v="Budget"/>
  </r>
  <r>
    <s v="Ford Figo Diesel Titanium"/>
    <x v="3"/>
    <n v="200000"/>
    <n v="125000"/>
    <x v="1"/>
    <x v="0"/>
    <x v="0"/>
    <s v="Second Owner"/>
    <n v="12"/>
    <s v="Budget"/>
  </r>
  <r>
    <s v="Mahindra Scorpio 2.6 Turbo 7 Str"/>
    <x v="15"/>
    <n v="325000"/>
    <n v="120000"/>
    <x v="1"/>
    <x v="0"/>
    <x v="0"/>
    <s v="Second Owner"/>
    <n v="18"/>
    <s v="Budget"/>
  </r>
  <r>
    <s v="Hyundai Verna CRDi SX"/>
    <x v="10"/>
    <n v="300000"/>
    <n v="130000"/>
    <x v="1"/>
    <x v="0"/>
    <x v="0"/>
    <s v="Second Owner"/>
    <n v="16"/>
    <s v="Budget"/>
  </r>
  <r>
    <s v="Maruti 800 AC"/>
    <x v="11"/>
    <n v="120000"/>
    <n v="250000"/>
    <x v="0"/>
    <x v="0"/>
    <x v="0"/>
    <s v="Second Owner"/>
    <n v="17"/>
    <s v="Budget"/>
  </r>
  <r>
    <s v="Mahindra Verito Vibe 1.5 dCi D6"/>
    <x v="5"/>
    <n v="280000"/>
    <n v="40000"/>
    <x v="1"/>
    <x v="0"/>
    <x v="0"/>
    <s v="First Owner"/>
    <n v="11"/>
    <s v="Budget"/>
  </r>
  <r>
    <s v="Nissan Sunny XL D"/>
    <x v="8"/>
    <n v="225000"/>
    <n v="78000"/>
    <x v="1"/>
    <x v="1"/>
    <x v="0"/>
    <s v="First Owner"/>
    <n v="13"/>
    <s v="Budget"/>
  </r>
  <r>
    <s v="Ford EcoSport 1.5 Petrol Titanium Plus AT BSIV"/>
    <x v="5"/>
    <n v="750000"/>
    <n v="48238"/>
    <x v="0"/>
    <x v="2"/>
    <x v="1"/>
    <s v="First Owner"/>
    <n v="11"/>
    <s v="Mid Range"/>
  </r>
  <r>
    <s v="Hyundai i20 1.2 Magna Executive"/>
    <x v="4"/>
    <n v="535000"/>
    <n v="38365"/>
    <x v="0"/>
    <x v="1"/>
    <x v="0"/>
    <s v="First Owner"/>
    <n v="10"/>
    <s v="Mid Range"/>
  </r>
  <r>
    <s v="Mahindra XUV500 W10 1.99 mHawk"/>
    <x v="4"/>
    <n v="1250000"/>
    <n v="23670"/>
    <x v="1"/>
    <x v="2"/>
    <x v="0"/>
    <s v="First Owner"/>
    <n v="10"/>
    <s v="Premium"/>
  </r>
  <r>
    <s v="Maruti Baleno Zeta 1.2"/>
    <x v="2"/>
    <n v="650000"/>
    <n v="49834"/>
    <x v="0"/>
    <x v="2"/>
    <x v="0"/>
    <s v="First Owner"/>
    <n v="9"/>
    <s v="Mid Range"/>
  </r>
  <r>
    <s v="Honda Brio S MT"/>
    <x v="8"/>
    <n v="295000"/>
    <n v="57353"/>
    <x v="0"/>
    <x v="2"/>
    <x v="0"/>
    <s v="First Owner"/>
    <n v="13"/>
    <s v="Budget"/>
  </r>
  <r>
    <s v="Maruti Swift DDiS VDI"/>
    <x v="5"/>
    <n v="480000"/>
    <n v="68308"/>
    <x v="1"/>
    <x v="2"/>
    <x v="0"/>
    <s v="First Owner"/>
    <n v="11"/>
    <s v="Budget"/>
  </r>
  <r>
    <s v="Honda City i DTEC SV"/>
    <x v="5"/>
    <n v="575000"/>
    <n v="63240"/>
    <x v="1"/>
    <x v="2"/>
    <x v="0"/>
    <s v="First Owner"/>
    <n v="11"/>
    <s v="Mid Range"/>
  </r>
  <r>
    <s v="Tata Harrier XE"/>
    <x v="20"/>
    <n v="426000"/>
    <n v="1000"/>
    <x v="1"/>
    <x v="0"/>
    <x v="0"/>
    <s v="First Owner"/>
    <n v="6"/>
    <s v="Budget"/>
  </r>
  <r>
    <s v="Mahindra Bolero Power Plus Plus AC BSIV PS"/>
    <x v="5"/>
    <n v="295000"/>
    <n v="90000"/>
    <x v="1"/>
    <x v="0"/>
    <x v="0"/>
    <s v="Third Owner"/>
    <n v="11"/>
    <s v="Budget"/>
  </r>
  <r>
    <s v="Mahindra Xylo E4"/>
    <x v="9"/>
    <n v="330000"/>
    <n v="100000"/>
    <x v="1"/>
    <x v="0"/>
    <x v="0"/>
    <s v="Second Owner"/>
    <n v="15"/>
    <s v="Budget"/>
  </r>
  <r>
    <s v="Maruti Ritz VXI"/>
    <x v="11"/>
    <n v="150000"/>
    <n v="80000"/>
    <x v="0"/>
    <x v="0"/>
    <x v="0"/>
    <s v="First Owner"/>
    <n v="17"/>
    <s v="Budget"/>
  </r>
  <r>
    <s v="Hyundai Creta 1.6 CRDi SX"/>
    <x v="4"/>
    <n v="927999"/>
    <n v="90000"/>
    <x v="1"/>
    <x v="0"/>
    <x v="0"/>
    <s v="First Owner"/>
    <n v="10"/>
    <s v="Mid Range"/>
  </r>
  <r>
    <s v="Maruti Zen LXI"/>
    <x v="18"/>
    <n v="70000"/>
    <n v="60000"/>
    <x v="0"/>
    <x v="0"/>
    <x v="0"/>
    <s v="Fourth &amp; Above Owner"/>
    <n v="23"/>
    <s v="Budget"/>
  </r>
  <r>
    <s v="Hyundai Xcent 1.2 CRDi SX"/>
    <x v="5"/>
    <n v="399000"/>
    <n v="55000"/>
    <x v="1"/>
    <x v="1"/>
    <x v="0"/>
    <s v="First Owner"/>
    <n v="11"/>
    <s v="Budget"/>
  </r>
  <r>
    <s v="Maruti Swift VDI Optional"/>
    <x v="5"/>
    <n v="350000"/>
    <n v="90000"/>
    <x v="1"/>
    <x v="0"/>
    <x v="0"/>
    <s v="First Owner"/>
    <n v="11"/>
    <s v="Budget"/>
  </r>
  <r>
    <s v="Mahindra Scorpio 2.6 CRDe"/>
    <x v="12"/>
    <n v="125000"/>
    <n v="50000"/>
    <x v="1"/>
    <x v="0"/>
    <x v="0"/>
    <s v="Second Owner"/>
    <n v="20"/>
    <s v="Budget"/>
  </r>
  <r>
    <s v="Hyundai Santro Xing XS"/>
    <x v="15"/>
    <n v="150000"/>
    <n v="90000"/>
    <x v="0"/>
    <x v="0"/>
    <x v="0"/>
    <s v="Second Owner"/>
    <n v="18"/>
    <s v="Budget"/>
  </r>
  <r>
    <s v="Hyundai EON Era Plus"/>
    <x v="5"/>
    <n v="250000"/>
    <n v="25000"/>
    <x v="0"/>
    <x v="0"/>
    <x v="0"/>
    <s v="First Owner"/>
    <n v="11"/>
    <s v="Budget"/>
  </r>
  <r>
    <s v="Hyundai Verna 1.6 SX CRDi (O)"/>
    <x v="3"/>
    <n v="675000"/>
    <n v="61000"/>
    <x v="1"/>
    <x v="1"/>
    <x v="0"/>
    <s v="First Owner"/>
    <n v="12"/>
    <s v="Mid Range"/>
  </r>
  <r>
    <s v="Maruti S-Cross Alpha DDiS 200 SH"/>
    <x v="6"/>
    <n v="950000"/>
    <n v="30000"/>
    <x v="1"/>
    <x v="0"/>
    <x v="0"/>
    <s v="First Owner"/>
    <n v="8"/>
    <s v="Mid Range"/>
  </r>
  <r>
    <s v="Maruti Eeco 5 STR With AC Plus HTR CNG"/>
    <x v="6"/>
    <n v="409999"/>
    <n v="45000"/>
    <x v="2"/>
    <x v="0"/>
    <x v="0"/>
    <s v="First Owner"/>
    <n v="8"/>
    <s v="Budget"/>
  </r>
  <r>
    <s v="Fiat Linea Emotion (Diesel)"/>
    <x v="9"/>
    <n v="225000"/>
    <n v="60000"/>
    <x v="1"/>
    <x v="0"/>
    <x v="0"/>
    <s v="First Owner"/>
    <n v="15"/>
    <s v="Budget"/>
  </r>
  <r>
    <s v="Honda Civic 1.8 V MT"/>
    <x v="15"/>
    <n v="350000"/>
    <n v="75000"/>
    <x v="0"/>
    <x v="0"/>
    <x v="0"/>
    <s v="Second Owner"/>
    <n v="18"/>
    <s v="Budget"/>
  </r>
  <r>
    <s v="Tata Indica LSI"/>
    <x v="14"/>
    <n v="51111"/>
    <n v="140000"/>
    <x v="0"/>
    <x v="0"/>
    <x v="0"/>
    <s v="Third Owner"/>
    <n v="21"/>
    <s v="Budget"/>
  </r>
  <r>
    <s v="Chevrolet Sail 1.3 LS"/>
    <x v="8"/>
    <n v="290000"/>
    <n v="56000"/>
    <x v="1"/>
    <x v="1"/>
    <x v="0"/>
    <s v="First Owner"/>
    <n v="13"/>
    <s v="Budget"/>
  </r>
  <r>
    <s v="Toyota Camry Hybrid"/>
    <x v="12"/>
    <n v="310000"/>
    <n v="62000"/>
    <x v="4"/>
    <x v="1"/>
    <x v="1"/>
    <s v="Second Owner"/>
    <n v="20"/>
    <s v="Budget"/>
  </r>
  <r>
    <s v="Hyundai Verna CRDi SX"/>
    <x v="0"/>
    <n v="212000"/>
    <n v="58000"/>
    <x v="1"/>
    <x v="1"/>
    <x v="0"/>
    <s v="Second Owner"/>
    <n v="19"/>
    <s v="Budget"/>
  </r>
  <r>
    <s v="Skoda Octavia Elegance 2.0 TDI AT"/>
    <x v="8"/>
    <n v="900000"/>
    <n v="49000"/>
    <x v="1"/>
    <x v="1"/>
    <x v="1"/>
    <s v="Second Owner"/>
    <n v="13"/>
    <s v="Mid Range"/>
  </r>
  <r>
    <s v="Chevrolet Beat Diesel LT"/>
    <x v="9"/>
    <n v="221000"/>
    <n v="56000"/>
    <x v="1"/>
    <x v="1"/>
    <x v="0"/>
    <s v="Second Owner"/>
    <n v="15"/>
    <s v="Budget"/>
  </r>
  <r>
    <s v="Toyota Innova 2.5 G (Diesel) 7 Seater"/>
    <x v="8"/>
    <n v="675000"/>
    <n v="73000"/>
    <x v="1"/>
    <x v="1"/>
    <x v="0"/>
    <s v="First Owner"/>
    <n v="13"/>
    <s v="Mid Range"/>
  </r>
  <r>
    <s v="Honda Amaze S i-Dtech"/>
    <x v="3"/>
    <n v="421000"/>
    <n v="69000"/>
    <x v="1"/>
    <x v="1"/>
    <x v="0"/>
    <s v="First Owner"/>
    <n v="12"/>
    <s v="Budget"/>
  </r>
  <r>
    <s v="Maruti SX4 Zxi BSIII"/>
    <x v="15"/>
    <n v="350000"/>
    <n v="10000"/>
    <x v="0"/>
    <x v="0"/>
    <x v="0"/>
    <s v="First Owner"/>
    <n v="18"/>
    <s v="Budget"/>
  </r>
  <r>
    <s v="Hyundai Accent Executive CNG"/>
    <x v="10"/>
    <n v="140000"/>
    <n v="110000"/>
    <x v="2"/>
    <x v="0"/>
    <x v="0"/>
    <s v="First Owner"/>
    <n v="16"/>
    <s v="Budget"/>
  </r>
  <r>
    <s v="Skoda Octavia Ambiente 1.9 TDI MT"/>
    <x v="19"/>
    <n v="90000"/>
    <n v="116000"/>
    <x v="1"/>
    <x v="0"/>
    <x v="0"/>
    <s v="Second Owner"/>
    <n v="24"/>
    <s v="Budget"/>
  </r>
  <r>
    <s v="Honda City Edge Edition Diesel SV"/>
    <x v="6"/>
    <n v="830000"/>
    <n v="40000"/>
    <x v="1"/>
    <x v="0"/>
    <x v="0"/>
    <s v="First Owner"/>
    <n v="8"/>
    <s v="Mid Range"/>
  </r>
  <r>
    <s v="Maruti Wagon R LXI Minor"/>
    <x v="11"/>
    <n v="180000"/>
    <n v="30000"/>
    <x v="0"/>
    <x v="0"/>
    <x v="0"/>
    <s v="First Owner"/>
    <n v="17"/>
    <s v="Budget"/>
  </r>
  <r>
    <s v="Maruti Swift Vdi BSIII"/>
    <x v="11"/>
    <n v="210000"/>
    <n v="109000"/>
    <x v="1"/>
    <x v="0"/>
    <x v="0"/>
    <s v="Second Owner"/>
    <n v="17"/>
    <s v="Budget"/>
  </r>
  <r>
    <s v="Maruti SX4 S Cross DDiS 320 Zeta"/>
    <x v="2"/>
    <n v="700000"/>
    <n v="90000"/>
    <x v="1"/>
    <x v="0"/>
    <x v="0"/>
    <s v="First Owner"/>
    <n v="9"/>
    <s v="Mid Range"/>
  </r>
  <r>
    <s v="Tata Indigo LX"/>
    <x v="1"/>
    <n v="125000"/>
    <n v="120000"/>
    <x v="1"/>
    <x v="0"/>
    <x v="0"/>
    <s v="First Owner"/>
    <n v="14"/>
    <s v="Budget"/>
  </r>
  <r>
    <s v="Hyundai Verna 1.6 VTVT S"/>
    <x v="2"/>
    <n v="530000"/>
    <n v="64916"/>
    <x v="0"/>
    <x v="0"/>
    <x v="0"/>
    <s v="First Owner"/>
    <n v="9"/>
    <s v="Mid Range"/>
  </r>
  <r>
    <s v="Ford Ecosport 1.5 DV5 MT Trend"/>
    <x v="6"/>
    <n v="800000"/>
    <n v="37161"/>
    <x v="1"/>
    <x v="1"/>
    <x v="0"/>
    <s v="First Owner"/>
    <n v="8"/>
    <s v="Mid Range"/>
  </r>
  <r>
    <s v="Maruti Baleno Zeta 1.2"/>
    <x v="4"/>
    <n v="580000"/>
    <n v="15000"/>
    <x v="0"/>
    <x v="0"/>
    <x v="0"/>
    <s v="First Owner"/>
    <n v="10"/>
    <s v="Mid Range"/>
  </r>
  <r>
    <s v="Audi Q3 2.0 TDI Quattro Premium Plus"/>
    <x v="1"/>
    <n v="1400000"/>
    <n v="118000"/>
    <x v="1"/>
    <x v="0"/>
    <x v="1"/>
    <s v="Second Owner"/>
    <n v="14"/>
    <s v="Premium"/>
  </r>
  <r>
    <s v="Renault KWID 1.0 RXL"/>
    <x v="6"/>
    <n v="300000"/>
    <n v="50852"/>
    <x v="0"/>
    <x v="0"/>
    <x v="0"/>
    <s v="First Owner"/>
    <n v="8"/>
    <s v="Budget"/>
  </r>
  <r>
    <s v="Renault KWID RXT Optional"/>
    <x v="4"/>
    <n v="300000"/>
    <n v="30000"/>
    <x v="0"/>
    <x v="0"/>
    <x v="0"/>
    <s v="First Owner"/>
    <n v="10"/>
    <s v="Budget"/>
  </r>
  <r>
    <s v="Maruti Ciaz ZDi SHVS"/>
    <x v="5"/>
    <n v="700000"/>
    <n v="77000"/>
    <x v="1"/>
    <x v="0"/>
    <x v="0"/>
    <s v="First Owner"/>
    <n v="11"/>
    <s v="Mid Range"/>
  </r>
  <r>
    <s v="Nissan Sunny XL"/>
    <x v="1"/>
    <n v="250000"/>
    <n v="70000"/>
    <x v="0"/>
    <x v="0"/>
    <x v="0"/>
    <s v="Third Owner"/>
    <n v="14"/>
    <s v="Budget"/>
  </r>
  <r>
    <s v="Chevrolet Tavera Neo 3 9 Str BSIII"/>
    <x v="4"/>
    <n v="500000"/>
    <n v="120000"/>
    <x v="1"/>
    <x v="0"/>
    <x v="0"/>
    <s v="First Owner"/>
    <n v="10"/>
    <s v="Mid Range"/>
  </r>
  <r>
    <s v="Honda Accord 2.4 AT"/>
    <x v="11"/>
    <n v="428000"/>
    <n v="40000"/>
    <x v="0"/>
    <x v="0"/>
    <x v="1"/>
    <s v="Third Owner"/>
    <n v="17"/>
    <s v="Budget"/>
  </r>
  <r>
    <s v="Tata Harrier XZ BSIV"/>
    <x v="7"/>
    <n v="1400000"/>
    <n v="33000"/>
    <x v="1"/>
    <x v="0"/>
    <x v="0"/>
    <s v="First Owner"/>
    <n v="7"/>
    <s v="Premium"/>
  </r>
  <r>
    <s v="Hyundai EON Era Plus"/>
    <x v="8"/>
    <n v="219000"/>
    <n v="53500"/>
    <x v="0"/>
    <x v="0"/>
    <x v="0"/>
    <s v="Third Owner"/>
    <n v="13"/>
    <s v="Budget"/>
  </r>
  <r>
    <s v="Maruti Ertiga SHVS LDI"/>
    <x v="2"/>
    <n v="500000"/>
    <n v="40000"/>
    <x v="1"/>
    <x v="0"/>
    <x v="0"/>
    <s v="First Owner"/>
    <n v="9"/>
    <s v="Mid Range"/>
  </r>
  <r>
    <s v="Honda City 1.5 S MT"/>
    <x v="10"/>
    <n v="409999"/>
    <n v="60000"/>
    <x v="0"/>
    <x v="0"/>
    <x v="0"/>
    <s v="First Owner"/>
    <n v="16"/>
    <s v="Budget"/>
  </r>
  <r>
    <s v="Tata Tigor 1.2 Revotron XZ Option"/>
    <x v="6"/>
    <n v="570000"/>
    <n v="5000"/>
    <x v="0"/>
    <x v="0"/>
    <x v="0"/>
    <s v="First Owner"/>
    <n v="8"/>
    <s v="Mid Range"/>
  </r>
  <r>
    <s v="Maruti SX4 Zxi BSIII"/>
    <x v="0"/>
    <n v="160000"/>
    <n v="80000"/>
    <x v="0"/>
    <x v="0"/>
    <x v="0"/>
    <s v="Third Owner"/>
    <n v="19"/>
    <s v="Budget"/>
  </r>
  <r>
    <s v="Maruti Ciaz ZDi Plus SHVS"/>
    <x v="2"/>
    <n v="749000"/>
    <n v="51500"/>
    <x v="1"/>
    <x v="0"/>
    <x v="0"/>
    <s v="Second Owner"/>
    <n v="9"/>
    <s v="Mid Range"/>
  </r>
  <r>
    <s v="Maruti Swift Dzire VDi"/>
    <x v="10"/>
    <n v="300000"/>
    <n v="120000"/>
    <x v="1"/>
    <x v="0"/>
    <x v="0"/>
    <s v="Third Owner"/>
    <n v="16"/>
    <s v="Budget"/>
  </r>
  <r>
    <s v="Ford EcoSport 1.5 Diesel Titanium Plus BSIV"/>
    <x v="3"/>
    <n v="550000"/>
    <n v="79800"/>
    <x v="1"/>
    <x v="1"/>
    <x v="0"/>
    <s v="First Owner"/>
    <n v="12"/>
    <s v="Mid Range"/>
  </r>
  <r>
    <s v="Ford EcoSport 1.5 Diesel Titanium Plus BSIV"/>
    <x v="5"/>
    <n v="550000"/>
    <n v="97000"/>
    <x v="1"/>
    <x v="1"/>
    <x v="0"/>
    <s v="Second Owner"/>
    <n v="11"/>
    <s v="Mid Range"/>
  </r>
  <r>
    <s v="Ford Ecosport 1.5 Diesel Titanium Plus"/>
    <x v="7"/>
    <n v="1250000"/>
    <n v="6590"/>
    <x v="1"/>
    <x v="1"/>
    <x v="0"/>
    <s v="First Owner"/>
    <n v="7"/>
    <s v="Premium"/>
  </r>
  <r>
    <s v="Ford Figo Aspire 1.5 TDCi Titanium"/>
    <x v="2"/>
    <n v="700000"/>
    <n v="49957"/>
    <x v="1"/>
    <x v="1"/>
    <x v="0"/>
    <s v="First Owner"/>
    <n v="9"/>
    <s v="Mid Range"/>
  </r>
  <r>
    <s v="Ford Figo 1.5 Sports Edition MT"/>
    <x v="2"/>
    <n v="600000"/>
    <n v="43235"/>
    <x v="1"/>
    <x v="1"/>
    <x v="0"/>
    <s v="First Owner"/>
    <n v="9"/>
    <s v="Mid Range"/>
  </r>
  <r>
    <s v="Ford EcoSport 1.5 TDCi Titanium Plus BE BSIV"/>
    <x v="6"/>
    <n v="925000"/>
    <n v="50699"/>
    <x v="1"/>
    <x v="1"/>
    <x v="0"/>
    <s v="First Owner"/>
    <n v="8"/>
    <s v="Mid Range"/>
  </r>
  <r>
    <s v="Ford Endeavour 3.2 Titanium AT 4X4"/>
    <x v="4"/>
    <n v="1800000"/>
    <n v="126000"/>
    <x v="1"/>
    <x v="1"/>
    <x v="1"/>
    <s v="First Owner"/>
    <n v="10"/>
    <s v="Premium"/>
  </r>
  <r>
    <s v="Ford Figo Aspire 1.5 TDCi Titanium Plus"/>
    <x v="5"/>
    <n v="459999"/>
    <n v="140730"/>
    <x v="1"/>
    <x v="1"/>
    <x v="0"/>
    <s v="Second Owner"/>
    <n v="11"/>
    <s v="Budget"/>
  </r>
  <r>
    <s v="Hyundai i20 Active 1.2 SX"/>
    <x v="5"/>
    <n v="565000"/>
    <n v="46000"/>
    <x v="0"/>
    <x v="0"/>
    <x v="0"/>
    <s v="First Owner"/>
    <n v="11"/>
    <s v="Mid Range"/>
  </r>
  <r>
    <s v="Hyundai EON Era Plus"/>
    <x v="8"/>
    <n v="170000"/>
    <n v="80000"/>
    <x v="0"/>
    <x v="0"/>
    <x v="0"/>
    <s v="Third Owner"/>
    <n v="13"/>
    <s v="Budget"/>
  </r>
  <r>
    <s v="Toyota Qualis FS B3"/>
    <x v="23"/>
    <n v="150000"/>
    <n v="256000"/>
    <x v="1"/>
    <x v="1"/>
    <x v="0"/>
    <s v="First Owner"/>
    <n v="25"/>
    <s v="Budget"/>
  </r>
  <r>
    <s v="Mahindra Scorpio VLX 2WD BSIII"/>
    <x v="15"/>
    <n v="295000"/>
    <n v="120000"/>
    <x v="1"/>
    <x v="0"/>
    <x v="0"/>
    <s v="First Owner"/>
    <n v="18"/>
    <s v="Budget"/>
  </r>
  <r>
    <s v="Hyundai i20 Active 1.4 SX"/>
    <x v="6"/>
    <n v="819999"/>
    <n v="40000"/>
    <x v="1"/>
    <x v="0"/>
    <x v="0"/>
    <s v="First Owner"/>
    <n v="8"/>
    <s v="Mid Range"/>
  </r>
  <r>
    <s v="Hyundai Elite i20 Diesel Asta Option"/>
    <x v="7"/>
    <n v="819999"/>
    <n v="40000"/>
    <x v="1"/>
    <x v="0"/>
    <x v="0"/>
    <s v="First Owner"/>
    <n v="7"/>
    <s v="Mid Range"/>
  </r>
  <r>
    <s v="Maruti Ritz VXi"/>
    <x v="5"/>
    <n v="320000"/>
    <n v="40000"/>
    <x v="0"/>
    <x v="0"/>
    <x v="0"/>
    <s v="First Owner"/>
    <n v="11"/>
    <s v="Budget"/>
  </r>
  <r>
    <s v="Ford Ecosport 1.5 DV5 MT Titanium"/>
    <x v="5"/>
    <n v="550000"/>
    <n v="135000"/>
    <x v="1"/>
    <x v="0"/>
    <x v="0"/>
    <s v="Second Owner"/>
    <n v="11"/>
    <s v="Mid Range"/>
  </r>
  <r>
    <s v="Mahindra Bolero 2011-2019 SLX"/>
    <x v="5"/>
    <n v="550000"/>
    <n v="50000"/>
    <x v="1"/>
    <x v="0"/>
    <x v="0"/>
    <s v="First Owner"/>
    <n v="11"/>
    <s v="Mid Range"/>
  </r>
  <r>
    <s v="Volkswagen Ameo 1.5 TDI Comfortline"/>
    <x v="2"/>
    <n v="590000"/>
    <n v="98000"/>
    <x v="1"/>
    <x v="0"/>
    <x v="0"/>
    <s v="First Owner"/>
    <n v="9"/>
    <s v="Mid Range"/>
  </r>
  <r>
    <s v="Honda City i DTec V"/>
    <x v="2"/>
    <n v="950000"/>
    <n v="50000"/>
    <x v="1"/>
    <x v="0"/>
    <x v="0"/>
    <s v="First Owner"/>
    <n v="9"/>
    <s v="Mid Range"/>
  </r>
  <r>
    <s v="Honda City i-DTEC VX"/>
    <x v="2"/>
    <n v="1000000"/>
    <n v="30000"/>
    <x v="1"/>
    <x v="0"/>
    <x v="0"/>
    <s v="First Owner"/>
    <n v="9"/>
    <s v="Mid Range"/>
  </r>
  <r>
    <s v="Nissan Terrano XE 85 PS"/>
    <x v="8"/>
    <n v="500000"/>
    <n v="120000"/>
    <x v="1"/>
    <x v="0"/>
    <x v="0"/>
    <s v="First Owner"/>
    <n v="13"/>
    <s v="Mid Range"/>
  </r>
  <r>
    <s v="Fiat Punto EVO 1.3 Emotion"/>
    <x v="2"/>
    <n v="450000"/>
    <n v="70000"/>
    <x v="1"/>
    <x v="0"/>
    <x v="0"/>
    <s v="First Owner"/>
    <n v="9"/>
    <s v="Budget"/>
  </r>
  <r>
    <s v="Maruti Swift Dzire VDI Optional"/>
    <x v="2"/>
    <n v="720000"/>
    <n v="35000"/>
    <x v="1"/>
    <x v="0"/>
    <x v="0"/>
    <s v="First Owner"/>
    <n v="9"/>
    <s v="Mid Range"/>
  </r>
  <r>
    <s v="Maruti Celerio VDi"/>
    <x v="5"/>
    <n v="390000"/>
    <n v="70000"/>
    <x v="1"/>
    <x v="0"/>
    <x v="0"/>
    <s v="Second Owner"/>
    <n v="11"/>
    <s v="Budget"/>
  </r>
  <r>
    <s v="Mahindra Thar 4X2"/>
    <x v="3"/>
    <n v="500000"/>
    <n v="35000"/>
    <x v="1"/>
    <x v="0"/>
    <x v="0"/>
    <s v="First Owner"/>
    <n v="12"/>
    <s v="Mid Range"/>
  </r>
  <r>
    <s v="Toyota Fortuner 2.7 2WD AT"/>
    <x v="4"/>
    <n v="2500000"/>
    <n v="70000"/>
    <x v="0"/>
    <x v="0"/>
    <x v="1"/>
    <s v="Second Owner"/>
    <n v="10"/>
    <s v="Premium"/>
  </r>
  <r>
    <s v="Hyundai i20 1.4 Asta Option"/>
    <x v="2"/>
    <n v="780000"/>
    <n v="50000"/>
    <x v="1"/>
    <x v="0"/>
    <x v="0"/>
    <s v="First Owner"/>
    <n v="9"/>
    <s v="Mid Range"/>
  </r>
  <r>
    <s v="Maruti Swift Dzire ZDI"/>
    <x v="5"/>
    <n v="484999"/>
    <n v="90000"/>
    <x v="1"/>
    <x v="0"/>
    <x v="0"/>
    <s v="Second Owner"/>
    <n v="11"/>
    <s v="Budget"/>
  </r>
  <r>
    <s v="Volkswagen Vento Diesel Highline"/>
    <x v="1"/>
    <n v="420000"/>
    <n v="90000"/>
    <x v="1"/>
    <x v="0"/>
    <x v="0"/>
    <s v="Second Owner"/>
    <n v="14"/>
    <s v="Budget"/>
  </r>
  <r>
    <s v="Mahindra XUV500 W10 AWD"/>
    <x v="5"/>
    <n v="1225000"/>
    <n v="70000"/>
    <x v="1"/>
    <x v="0"/>
    <x v="0"/>
    <s v="First Owner"/>
    <n v="11"/>
    <s v="Premium"/>
  </r>
  <r>
    <s v="Tata Indica Vista TDI LX"/>
    <x v="5"/>
    <n v="350000"/>
    <n v="50000"/>
    <x v="1"/>
    <x v="0"/>
    <x v="0"/>
    <s v="Second Owner"/>
    <n v="11"/>
    <s v="Budget"/>
  </r>
  <r>
    <s v="Mahindra Verito 1.5 D4 BSIV"/>
    <x v="5"/>
    <n v="350000"/>
    <n v="120000"/>
    <x v="1"/>
    <x v="0"/>
    <x v="0"/>
    <s v="Third Owner"/>
    <n v="11"/>
    <s v="Budget"/>
  </r>
  <r>
    <s v="Toyota Innova 2.5 G (Diesel) 8 Seater BS IV"/>
    <x v="9"/>
    <n v="800000"/>
    <n v="230000"/>
    <x v="1"/>
    <x v="0"/>
    <x v="0"/>
    <s v="First Owner"/>
    <n v="15"/>
    <s v="Mid Range"/>
  </r>
  <r>
    <s v="Hyundai Santro Xing XG AT"/>
    <x v="16"/>
    <n v="125000"/>
    <n v="70000"/>
    <x v="0"/>
    <x v="0"/>
    <x v="1"/>
    <s v="Second Owner"/>
    <n v="22"/>
    <s v="Budget"/>
  </r>
  <r>
    <s v="Tata Indica V2 DLS BSII"/>
    <x v="10"/>
    <n v="75000"/>
    <n v="100000"/>
    <x v="1"/>
    <x v="0"/>
    <x v="0"/>
    <s v="Third Owner"/>
    <n v="16"/>
    <s v="Budget"/>
  </r>
  <r>
    <s v="Mahindra KUV 100 G80 K4 Plus"/>
    <x v="6"/>
    <n v="509999"/>
    <n v="15000"/>
    <x v="0"/>
    <x v="0"/>
    <x v="0"/>
    <s v="First Owner"/>
    <n v="8"/>
    <s v="Mid Range"/>
  </r>
  <r>
    <s v="Tata Indigo Classic Dicor"/>
    <x v="3"/>
    <n v="215000"/>
    <n v="80000"/>
    <x v="1"/>
    <x v="0"/>
    <x v="0"/>
    <s v="Third Owner"/>
    <n v="12"/>
    <s v="Budget"/>
  </r>
  <r>
    <s v="Maruti Swift Dzire VDI"/>
    <x v="3"/>
    <n v="480000"/>
    <n v="101000"/>
    <x v="1"/>
    <x v="1"/>
    <x v="0"/>
    <s v="First Owner"/>
    <n v="12"/>
    <s v="Budget"/>
  </r>
  <r>
    <s v="Maruti Swift VDI"/>
    <x v="4"/>
    <n v="630000"/>
    <n v="55000"/>
    <x v="1"/>
    <x v="1"/>
    <x v="0"/>
    <s v="First Owner"/>
    <n v="10"/>
    <s v="Mid Range"/>
  </r>
  <r>
    <s v="Honda City 1.5 GXI"/>
    <x v="0"/>
    <n v="190000"/>
    <n v="115000"/>
    <x v="0"/>
    <x v="1"/>
    <x v="0"/>
    <s v="Second Owner"/>
    <n v="19"/>
    <s v="Budget"/>
  </r>
  <r>
    <s v="Maruti Swift VDI"/>
    <x v="5"/>
    <n v="500000"/>
    <n v="100000"/>
    <x v="1"/>
    <x v="1"/>
    <x v="0"/>
    <s v="First Owner"/>
    <n v="11"/>
    <s v="Mid Range"/>
  </r>
  <r>
    <s v="Volkswagen Jetta 2.0L TDI Comfortline"/>
    <x v="3"/>
    <n v="850000"/>
    <n v="52000"/>
    <x v="1"/>
    <x v="1"/>
    <x v="0"/>
    <s v="Second Owner"/>
    <n v="12"/>
    <s v="Mid Range"/>
  </r>
  <r>
    <s v="Maruti SX4 ZDI"/>
    <x v="9"/>
    <n v="350000"/>
    <n v="105000"/>
    <x v="1"/>
    <x v="1"/>
    <x v="0"/>
    <s v="First Owner"/>
    <n v="15"/>
    <s v="Budget"/>
  </r>
  <r>
    <s v="Renault Duster 85PS Diesel RxE"/>
    <x v="8"/>
    <n v="425000"/>
    <n v="170000"/>
    <x v="1"/>
    <x v="1"/>
    <x v="0"/>
    <s v="First Owner"/>
    <n v="13"/>
    <s v="Budget"/>
  </r>
  <r>
    <s v="Maruti Swift VDI BSIV"/>
    <x v="5"/>
    <n v="495000"/>
    <n v="105000"/>
    <x v="1"/>
    <x v="1"/>
    <x v="0"/>
    <s v="First Owner"/>
    <n v="11"/>
    <s v="Budget"/>
  </r>
  <r>
    <s v="Maruti Ertiga SHVS VDI"/>
    <x v="2"/>
    <n v="890000"/>
    <n v="60000"/>
    <x v="1"/>
    <x v="0"/>
    <x v="0"/>
    <s v="Second Owner"/>
    <n v="9"/>
    <s v="Mid Range"/>
  </r>
  <r>
    <s v="Hyundai Verna CRDi 1.6 AT EX"/>
    <x v="6"/>
    <n v="1100000"/>
    <n v="25000"/>
    <x v="1"/>
    <x v="0"/>
    <x v="1"/>
    <s v="Second Owner"/>
    <n v="8"/>
    <s v="Premium"/>
  </r>
  <r>
    <s v="Mahindra XUV500 W8 2WD"/>
    <x v="3"/>
    <n v="650000"/>
    <n v="218000"/>
    <x v="1"/>
    <x v="0"/>
    <x v="0"/>
    <s v="Second Owner"/>
    <n v="12"/>
    <s v="Mid Range"/>
  </r>
  <r>
    <s v="Ford Fiesta 1.6 ZXi Duratec"/>
    <x v="11"/>
    <n v="233000"/>
    <n v="58000"/>
    <x v="0"/>
    <x v="0"/>
    <x v="0"/>
    <s v="Third Owner"/>
    <n v="17"/>
    <s v="Budget"/>
  </r>
  <r>
    <s v="Tata Indigo CS LS (TDI) BS-III"/>
    <x v="5"/>
    <n v="300000"/>
    <n v="110000"/>
    <x v="1"/>
    <x v="0"/>
    <x v="0"/>
    <s v="Second Owner"/>
    <n v="11"/>
    <s v="Budget"/>
  </r>
  <r>
    <s v="Honda Amaze S Petrol BSIV"/>
    <x v="20"/>
    <n v="614000"/>
    <n v="1000"/>
    <x v="0"/>
    <x v="0"/>
    <x v="0"/>
    <s v="First Owner"/>
    <n v="6"/>
    <s v="Mid Range"/>
  </r>
  <r>
    <s v="Hyundai i10 Sportz 1.2"/>
    <x v="10"/>
    <n v="250000"/>
    <n v="100000"/>
    <x v="0"/>
    <x v="0"/>
    <x v="0"/>
    <s v="Second Owner"/>
    <n v="16"/>
    <s v="Budget"/>
  </r>
  <r>
    <s v="Hyundai i10 Sportz 1.2"/>
    <x v="10"/>
    <n v="250000"/>
    <n v="110000"/>
    <x v="0"/>
    <x v="0"/>
    <x v="0"/>
    <s v="Second Owner"/>
    <n v="16"/>
    <s v="Budget"/>
  </r>
  <r>
    <s v="Maruti Alto LXi"/>
    <x v="9"/>
    <n v="200000"/>
    <n v="40000"/>
    <x v="0"/>
    <x v="0"/>
    <x v="0"/>
    <s v="First Owner"/>
    <n v="15"/>
    <s v="Budget"/>
  </r>
  <r>
    <s v="Maruti Wagon R LX Minor"/>
    <x v="8"/>
    <n v="290000"/>
    <n v="52000"/>
    <x v="0"/>
    <x v="0"/>
    <x v="0"/>
    <s v="First Owner"/>
    <n v="13"/>
    <s v="Budget"/>
  </r>
  <r>
    <s v="Maruti Wagon R LXI BS IV"/>
    <x v="8"/>
    <n v="320000"/>
    <n v="80000"/>
    <x v="0"/>
    <x v="0"/>
    <x v="0"/>
    <s v="Second Owner"/>
    <n v="13"/>
    <s v="Budget"/>
  </r>
  <r>
    <s v="Hyundai Santro Xing XS eRLX Euro III"/>
    <x v="12"/>
    <n v="145000"/>
    <n v="52000"/>
    <x v="0"/>
    <x v="0"/>
    <x v="0"/>
    <s v="Second Owner"/>
    <n v="20"/>
    <s v="Budget"/>
  </r>
  <r>
    <s v="Maruti Alto LXI"/>
    <x v="14"/>
    <n v="100000"/>
    <n v="124000"/>
    <x v="0"/>
    <x v="0"/>
    <x v="0"/>
    <s v="Second Owner"/>
    <n v="21"/>
    <s v="Budget"/>
  </r>
  <r>
    <s v="Fiat Punto 1.3 Emotion"/>
    <x v="10"/>
    <n v="130000"/>
    <n v="210000"/>
    <x v="1"/>
    <x v="0"/>
    <x v="0"/>
    <s v="Second Owner"/>
    <n v="16"/>
    <s v="Budget"/>
  </r>
  <r>
    <s v="Hyundai Santro AT"/>
    <x v="12"/>
    <n v="145000"/>
    <n v="66000"/>
    <x v="0"/>
    <x v="0"/>
    <x v="1"/>
    <s v="Second Owner"/>
    <n v="20"/>
    <s v="Budget"/>
  </r>
  <r>
    <s v="Maruti Alto LX BSIII"/>
    <x v="15"/>
    <n v="110000"/>
    <n v="120000"/>
    <x v="0"/>
    <x v="0"/>
    <x v="0"/>
    <s v="Third Owner"/>
    <n v="18"/>
    <s v="Budget"/>
  </r>
  <r>
    <s v="Maruti Swift Dzire VDI"/>
    <x v="7"/>
    <n v="680000"/>
    <n v="40000"/>
    <x v="1"/>
    <x v="0"/>
    <x v="0"/>
    <s v="First Owner"/>
    <n v="7"/>
    <s v="Mid Range"/>
  </r>
  <r>
    <s v="Maruti 800 Std"/>
    <x v="16"/>
    <n v="37500"/>
    <n v="90000"/>
    <x v="0"/>
    <x v="0"/>
    <x v="0"/>
    <s v="Second Owner"/>
    <n v="22"/>
    <s v="Budget"/>
  </r>
  <r>
    <s v="Maruti Ritz VDi"/>
    <x v="9"/>
    <n v="200000"/>
    <n v="120000"/>
    <x v="1"/>
    <x v="0"/>
    <x v="0"/>
    <s v="Second Owner"/>
    <n v="15"/>
    <s v="Budget"/>
  </r>
  <r>
    <s v="Maruti Ertiga 1.5 VDI"/>
    <x v="7"/>
    <n v="1000000"/>
    <n v="15000"/>
    <x v="1"/>
    <x v="0"/>
    <x v="0"/>
    <s v="First Owner"/>
    <n v="7"/>
    <s v="Mid Range"/>
  </r>
  <r>
    <s v="Ford Endeavour 2.2 Titanium AT 4X2"/>
    <x v="7"/>
    <n v="2800000"/>
    <n v="10000"/>
    <x v="1"/>
    <x v="0"/>
    <x v="1"/>
    <s v="First Owner"/>
    <n v="7"/>
    <s v="Premium"/>
  </r>
  <r>
    <s v="Maruti Swift Dzire VDI"/>
    <x v="5"/>
    <n v="470000"/>
    <n v="170000"/>
    <x v="1"/>
    <x v="0"/>
    <x v="0"/>
    <s v="First Owner"/>
    <n v="11"/>
    <s v="Budget"/>
  </r>
  <r>
    <s v="Maruti Celerio ZXI"/>
    <x v="2"/>
    <n v="415000"/>
    <n v="20000"/>
    <x v="0"/>
    <x v="0"/>
    <x v="0"/>
    <s v="First Owner"/>
    <n v="9"/>
    <s v="Budget"/>
  </r>
  <r>
    <s v="Nissan Terrano XL 85 PS"/>
    <x v="3"/>
    <n v="500000"/>
    <n v="82000"/>
    <x v="1"/>
    <x v="0"/>
    <x v="0"/>
    <s v="First Owner"/>
    <n v="12"/>
    <s v="Mid Range"/>
  </r>
  <r>
    <s v="Chevrolet Spark 1.0 LT BS3"/>
    <x v="8"/>
    <n v="150000"/>
    <n v="60000"/>
    <x v="0"/>
    <x v="0"/>
    <x v="0"/>
    <s v="Second Owner"/>
    <n v="13"/>
    <s v="Budget"/>
  </r>
  <r>
    <s v="Maruti Alto STD"/>
    <x v="14"/>
    <n v="95000"/>
    <n v="50000"/>
    <x v="0"/>
    <x v="0"/>
    <x v="0"/>
    <s v="Second Owner"/>
    <n v="21"/>
    <s v="Budget"/>
  </r>
  <r>
    <s v="Maruti Swift LDI"/>
    <x v="1"/>
    <n v="400000"/>
    <n v="70000"/>
    <x v="1"/>
    <x v="0"/>
    <x v="0"/>
    <s v="First Owner"/>
    <n v="14"/>
    <s v="Budget"/>
  </r>
  <r>
    <s v="Maruti Alto LX"/>
    <x v="15"/>
    <n v="114999"/>
    <n v="66782"/>
    <x v="0"/>
    <x v="0"/>
    <x v="0"/>
    <s v="Second Owner"/>
    <n v="18"/>
    <s v="Budget"/>
  </r>
  <r>
    <s v="Maruti Alto LX"/>
    <x v="12"/>
    <n v="75000"/>
    <n v="130000"/>
    <x v="0"/>
    <x v="0"/>
    <x v="0"/>
    <s v="First Owner"/>
    <n v="20"/>
    <s v="Budget"/>
  </r>
  <r>
    <s v="Hyundai Verna 1.6 SX CRDi (O)"/>
    <x v="8"/>
    <n v="500000"/>
    <n v="120000"/>
    <x v="1"/>
    <x v="0"/>
    <x v="0"/>
    <s v="First Owner"/>
    <n v="13"/>
    <s v="Mid Range"/>
  </r>
  <r>
    <s v="Maruti 800 AC"/>
    <x v="3"/>
    <n v="195000"/>
    <n v="75000"/>
    <x v="0"/>
    <x v="0"/>
    <x v="0"/>
    <s v="Second Owner"/>
    <n v="12"/>
    <s v="Budget"/>
  </r>
  <r>
    <s v="Maruti Alto 800 Base"/>
    <x v="5"/>
    <n v="155000"/>
    <n v="40000"/>
    <x v="0"/>
    <x v="0"/>
    <x v="0"/>
    <s v="First Owner"/>
    <n v="11"/>
    <s v="Budget"/>
  </r>
  <r>
    <s v="Maruti Alto LXi"/>
    <x v="21"/>
    <n v="65000"/>
    <n v="90000"/>
    <x v="0"/>
    <x v="0"/>
    <x v="0"/>
    <s v="Second Owner"/>
    <n v="26"/>
    <s v="Budget"/>
  </r>
  <r>
    <s v="Honda City 1.5 GXI"/>
    <x v="14"/>
    <n v="65000"/>
    <n v="150000"/>
    <x v="0"/>
    <x v="0"/>
    <x v="0"/>
    <s v="Third Owner"/>
    <n v="21"/>
    <s v="Budget"/>
  </r>
  <r>
    <s v="Tata Nano XM"/>
    <x v="5"/>
    <n v="190000"/>
    <n v="60000"/>
    <x v="0"/>
    <x v="0"/>
    <x v="0"/>
    <s v="Second Owner"/>
    <n v="11"/>
    <s v="Budget"/>
  </r>
  <r>
    <s v="Mahindra Verito 1.5 D6 BSIII"/>
    <x v="1"/>
    <n v="200000"/>
    <n v="112198"/>
    <x v="1"/>
    <x v="0"/>
    <x v="0"/>
    <s v="Second Owner"/>
    <n v="14"/>
    <s v="Budget"/>
  </r>
  <r>
    <s v="Tata Manza Aura Safire BS IV"/>
    <x v="10"/>
    <n v="160000"/>
    <n v="60000"/>
    <x v="0"/>
    <x v="0"/>
    <x v="0"/>
    <s v="Second Owner"/>
    <n v="16"/>
    <s v="Budget"/>
  </r>
  <r>
    <s v="Tata Indica Vista Aqua 1.4 TDI"/>
    <x v="10"/>
    <n v="150000"/>
    <n v="130000"/>
    <x v="1"/>
    <x v="0"/>
    <x v="0"/>
    <s v="Second Owner"/>
    <n v="16"/>
    <s v="Budget"/>
  </r>
  <r>
    <s v="Ford EcoSport 1.5 TDCi Titanium BSIV"/>
    <x v="5"/>
    <n v="530000"/>
    <n v="175000"/>
    <x v="1"/>
    <x v="0"/>
    <x v="0"/>
    <s v="Third Owner"/>
    <n v="11"/>
    <s v="Mid Range"/>
  </r>
  <r>
    <s v="Mahindra Scorpio S2 7 Seater"/>
    <x v="5"/>
    <n v="750000"/>
    <n v="120000"/>
    <x v="1"/>
    <x v="0"/>
    <x v="0"/>
    <s v="First Owner"/>
    <n v="11"/>
    <s v="Mid Range"/>
  </r>
  <r>
    <s v="Maruti Ritz VDi"/>
    <x v="1"/>
    <n v="225000"/>
    <n v="90000"/>
    <x v="1"/>
    <x v="0"/>
    <x v="0"/>
    <s v="Second Owner"/>
    <n v="14"/>
    <s v="Budget"/>
  </r>
  <r>
    <s v="Toyota Innova 2.5 VX (Diesel) 8 Seater BS IV"/>
    <x v="1"/>
    <n v="600000"/>
    <n v="170000"/>
    <x v="1"/>
    <x v="0"/>
    <x v="0"/>
    <s v="First Owner"/>
    <n v="14"/>
    <s v="Mid Range"/>
  </r>
  <r>
    <s v="Hyundai i20 Magna 1.4 CRDi (Diesel)"/>
    <x v="3"/>
    <n v="409999"/>
    <n v="80000"/>
    <x v="1"/>
    <x v="0"/>
    <x v="0"/>
    <s v="Second Owner"/>
    <n v="12"/>
    <s v="Budget"/>
  </r>
  <r>
    <s v="Hyundai i20 Magna 1.4 CRDi"/>
    <x v="3"/>
    <n v="409999"/>
    <n v="80000"/>
    <x v="1"/>
    <x v="0"/>
    <x v="0"/>
    <s v="Second Owner"/>
    <n v="12"/>
    <s v="Budget"/>
  </r>
  <r>
    <s v="Maruti 800 AC BSIII"/>
    <x v="11"/>
    <n v="110000"/>
    <n v="83000"/>
    <x v="0"/>
    <x v="0"/>
    <x v="0"/>
    <s v="Second Owner"/>
    <n v="17"/>
    <s v="Budget"/>
  </r>
  <r>
    <s v="Hyundai Creta 1.6 CRDi SX Option"/>
    <x v="4"/>
    <n v="865000"/>
    <n v="90000"/>
    <x v="1"/>
    <x v="0"/>
    <x v="0"/>
    <s v="First Owner"/>
    <n v="10"/>
    <s v="Mid Range"/>
  </r>
  <r>
    <s v="Renault KWID RXT"/>
    <x v="4"/>
    <n v="225000"/>
    <n v="40000"/>
    <x v="0"/>
    <x v="0"/>
    <x v="0"/>
    <s v="First Owner"/>
    <n v="10"/>
    <s v="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0CFF29-042F-4CAC-BFE3-AB9494E46BC0}"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5:F19" firstHeaderRow="1" firstDataRow="1" firstDataCol="1"/>
  <pivotFields count="10">
    <pivotField showAll="0"/>
    <pivotField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dataField="1" numFmtId="2" showAll="0"/>
    <pivotField showAll="0"/>
    <pivotField showAll="0"/>
    <pivotField axis="axisRow" showAll="0">
      <items count="4">
        <item x="1"/>
        <item x="0"/>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Average of selling_price" fld="2" subtotal="average" baseField="5" baseItem="0" numFmtId="2"/>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CC2798-8E38-409D-A796-94EC098B61ED}"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5:C43" firstHeaderRow="1" firstDataRow="1" firstDataCol="1"/>
  <pivotFields count="10">
    <pivotField showAll="0"/>
    <pivotField axis="axisRow" dataField="1" showAll="0" sortType="ascending">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numFmtId="2" showAll="0"/>
    <pivotField showAll="0"/>
    <pivotField showAll="0"/>
    <pivotField showAll="0"/>
    <pivotField showAll="0"/>
    <pivotField showAll="0"/>
    <pivotField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year" fld="1" subtotal="count" baseField="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563BE-3594-4559-A62D-CE3F36DE2E7A}"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F8" firstHeaderRow="1" firstDataRow="1" firstDataCol="1"/>
  <pivotFields count="10">
    <pivotField showAll="0"/>
    <pivotField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numFmtId="2" showAll="0"/>
    <pivotField showAll="0"/>
    <pivotField showAll="0"/>
    <pivotField showAll="0"/>
    <pivotField axis="axisRow" dataField="1"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transmission" fld="6"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7C61CE-25C9-4D21-8312-B45805A25909}"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C11" firstHeaderRow="1" firstDataRow="1" firstDataCol="1"/>
  <pivotFields count="10">
    <pivotField showAll="0"/>
    <pivotField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dataField="1" numFmtId="2" showAll="0"/>
    <pivotField showAll="0"/>
    <pivotField axis="axisRow" showAll="0">
      <items count="6">
        <item x="2"/>
        <item x="1"/>
        <item x="4"/>
        <item x="3"/>
        <item x="0"/>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selling_price" fld="2" subtotal="average" baseField="4" baseItem="0" numFmtId="2"/>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6B4319-B6C3-4361-9F46-6650A3E2C719}" sourceName="year">
  <pivotTables>
    <pivotTable tabId="6" name="PivotTable1"/>
    <pivotTable tabId="6" name="PivotTable2"/>
    <pivotTable tabId="6" name="PivotTable3"/>
    <pivotTable tabId="6" name="PivotTable4"/>
  </pivotTables>
  <data>
    <tabular pivotCacheId="1793415412">
      <items count="27">
        <i x="26" s="1"/>
        <i x="24" s="1"/>
        <i x="13" s="1"/>
        <i x="25" s="1"/>
        <i x="17" s="1"/>
        <i x="22" s="1"/>
        <i x="21" s="1"/>
        <i x="23" s="1"/>
        <i x="19" s="1"/>
        <i x="18" s="1"/>
        <i x="16" s="1"/>
        <i x="14" s="1"/>
        <i x="12" s="1"/>
        <i x="0" s="1"/>
        <i x="15" s="1"/>
        <i x="11" s="1"/>
        <i x="10" s="1"/>
        <i x="9" s="1"/>
        <i x="1" s="1"/>
        <i x="8" s="1"/>
        <i x="3" s="1"/>
        <i x="5" s="1"/>
        <i x="4" s="1"/>
        <i x="2" s="1"/>
        <i x="6" s="1"/>
        <i x="7"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25BD7C1-D949-40FA-8115-143DBCB6E1E6}"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B384-E8B0-45A4-B51B-6A7252CCC5A2}">
  <dimension ref="B1:K3581"/>
  <sheetViews>
    <sheetView tabSelected="1" workbookViewId="0">
      <selection activeCell="E32" sqref="E32"/>
    </sheetView>
  </sheetViews>
  <sheetFormatPr defaultRowHeight="15" x14ac:dyDescent="0.25"/>
  <cols>
    <col min="2" max="2" width="45.85546875" customWidth="1"/>
    <col min="3" max="3" width="10.5703125" customWidth="1"/>
    <col min="4" max="4" width="14.5703125" style="1" customWidth="1"/>
    <col min="5" max="5" width="12.28515625" customWidth="1"/>
    <col min="6" max="6" width="10.42578125" customWidth="1"/>
    <col min="7" max="7" width="12.85546875" customWidth="1"/>
    <col min="8" max="8" width="12.7109375" customWidth="1"/>
    <col min="9" max="9" width="14.42578125" customWidth="1"/>
    <col min="10" max="10" width="11.28515625" customWidth="1"/>
    <col min="11" max="11" width="14.7109375" customWidth="1"/>
  </cols>
  <sheetData>
    <row r="1" spans="2:11" x14ac:dyDescent="0.25">
      <c r="B1" s="12" t="s">
        <v>1545</v>
      </c>
      <c r="C1" s="11"/>
      <c r="D1" s="11"/>
      <c r="E1" s="11"/>
      <c r="F1" s="11"/>
      <c r="G1" s="11"/>
      <c r="H1" s="11"/>
      <c r="I1" s="11"/>
      <c r="J1" s="11"/>
      <c r="K1" s="11"/>
    </row>
    <row r="2" spans="2:11" x14ac:dyDescent="0.25">
      <c r="B2" s="11"/>
      <c r="C2" s="11"/>
      <c r="D2" s="11"/>
      <c r="E2" s="11"/>
      <c r="F2" s="11"/>
      <c r="G2" s="11"/>
      <c r="H2" s="11"/>
      <c r="I2" s="11"/>
      <c r="J2" s="11"/>
      <c r="K2" s="11"/>
    </row>
    <row r="4" spans="2:11" x14ac:dyDescent="0.25">
      <c r="B4" s="8" t="s">
        <v>0</v>
      </c>
      <c r="C4" s="8" t="s">
        <v>1</v>
      </c>
      <c r="D4" s="9" t="s">
        <v>2</v>
      </c>
      <c r="E4" s="8" t="s">
        <v>3</v>
      </c>
      <c r="F4" s="8" t="s">
        <v>4</v>
      </c>
      <c r="G4" s="8" t="s">
        <v>5</v>
      </c>
      <c r="H4" s="8" t="s">
        <v>6</v>
      </c>
      <c r="I4" s="8" t="s">
        <v>7</v>
      </c>
      <c r="J4" s="8" t="s">
        <v>1514</v>
      </c>
      <c r="K4" s="8" t="s">
        <v>1515</v>
      </c>
    </row>
    <row r="5" spans="2:11" x14ac:dyDescent="0.25">
      <c r="B5" t="s">
        <v>8</v>
      </c>
      <c r="C5">
        <v>2007</v>
      </c>
      <c r="D5" s="1">
        <v>60000</v>
      </c>
      <c r="E5">
        <v>70000</v>
      </c>
      <c r="F5" t="s">
        <v>9</v>
      </c>
      <c r="G5" t="s">
        <v>10</v>
      </c>
      <c r="H5" t="s">
        <v>11</v>
      </c>
      <c r="I5" t="s">
        <v>12</v>
      </c>
      <c r="J5">
        <f>2026 - C5</f>
        <v>19</v>
      </c>
      <c r="K5" t="str">
        <f>IF(D5&lt;500000,"Budget",IF(D5&lt;=1000000,"Mid Range","Premium"))</f>
        <v>Budget</v>
      </c>
    </row>
    <row r="6" spans="2:11" x14ac:dyDescent="0.25">
      <c r="B6" t="s">
        <v>13</v>
      </c>
      <c r="C6">
        <v>2007</v>
      </c>
      <c r="D6" s="1">
        <v>135000</v>
      </c>
      <c r="E6">
        <v>50000</v>
      </c>
      <c r="F6" t="s">
        <v>9</v>
      </c>
      <c r="G6" t="s">
        <v>10</v>
      </c>
      <c r="H6" t="s">
        <v>11</v>
      </c>
      <c r="I6" t="s">
        <v>12</v>
      </c>
      <c r="J6">
        <f t="shared" ref="J6:J69" si="0">2026 - C6</f>
        <v>19</v>
      </c>
      <c r="K6" t="str">
        <f t="shared" ref="K6:K69" si="1">IF(D6&lt;500000,"Budget",IF(D6&lt;=1000000,"Mid Range","Premium"))</f>
        <v>Budget</v>
      </c>
    </row>
    <row r="7" spans="2:11" x14ac:dyDescent="0.25">
      <c r="B7" t="s">
        <v>14</v>
      </c>
      <c r="C7">
        <v>2012</v>
      </c>
      <c r="D7" s="1">
        <v>600000</v>
      </c>
      <c r="E7">
        <v>100000</v>
      </c>
      <c r="F7" t="s">
        <v>15</v>
      </c>
      <c r="G7" t="s">
        <v>10</v>
      </c>
      <c r="H7" t="s">
        <v>11</v>
      </c>
      <c r="I7" t="s">
        <v>12</v>
      </c>
      <c r="J7">
        <f t="shared" si="0"/>
        <v>14</v>
      </c>
      <c r="K7" t="str">
        <f t="shared" si="1"/>
        <v>Mid Range</v>
      </c>
    </row>
    <row r="8" spans="2:11" x14ac:dyDescent="0.25">
      <c r="B8" t="s">
        <v>16</v>
      </c>
      <c r="C8">
        <v>2017</v>
      </c>
      <c r="D8" s="1">
        <v>250000</v>
      </c>
      <c r="E8">
        <v>46000</v>
      </c>
      <c r="F8" t="s">
        <v>9</v>
      </c>
      <c r="G8" t="s">
        <v>10</v>
      </c>
      <c r="H8" t="s">
        <v>11</v>
      </c>
      <c r="I8" t="s">
        <v>12</v>
      </c>
      <c r="J8">
        <f t="shared" si="0"/>
        <v>9</v>
      </c>
      <c r="K8" t="str">
        <f t="shared" si="1"/>
        <v>Budget</v>
      </c>
    </row>
    <row r="9" spans="2:11" x14ac:dyDescent="0.25">
      <c r="B9" t="s">
        <v>17</v>
      </c>
      <c r="C9">
        <v>2014</v>
      </c>
      <c r="D9" s="1">
        <v>450000</v>
      </c>
      <c r="E9">
        <v>141000</v>
      </c>
      <c r="F9" t="s">
        <v>15</v>
      </c>
      <c r="G9" t="s">
        <v>10</v>
      </c>
      <c r="H9" t="s">
        <v>11</v>
      </c>
      <c r="I9" t="s">
        <v>18</v>
      </c>
      <c r="J9">
        <f t="shared" si="0"/>
        <v>12</v>
      </c>
      <c r="K9" t="str">
        <f t="shared" si="1"/>
        <v>Budget</v>
      </c>
    </row>
    <row r="10" spans="2:11" x14ac:dyDescent="0.25">
      <c r="B10" t="s">
        <v>19</v>
      </c>
      <c r="C10">
        <v>2007</v>
      </c>
      <c r="D10" s="1">
        <v>140000</v>
      </c>
      <c r="E10">
        <v>125000</v>
      </c>
      <c r="F10" t="s">
        <v>9</v>
      </c>
      <c r="G10" t="s">
        <v>10</v>
      </c>
      <c r="H10" t="s">
        <v>11</v>
      </c>
      <c r="I10" t="s">
        <v>12</v>
      </c>
      <c r="J10">
        <f t="shared" si="0"/>
        <v>19</v>
      </c>
      <c r="K10" t="str">
        <f t="shared" si="1"/>
        <v>Budget</v>
      </c>
    </row>
    <row r="11" spans="2:11" x14ac:dyDescent="0.25">
      <c r="B11" t="s">
        <v>20</v>
      </c>
      <c r="C11">
        <v>2016</v>
      </c>
      <c r="D11" s="1">
        <v>550000</v>
      </c>
      <c r="E11">
        <v>25000</v>
      </c>
      <c r="F11" t="s">
        <v>9</v>
      </c>
      <c r="G11" t="s">
        <v>10</v>
      </c>
      <c r="H11" t="s">
        <v>11</v>
      </c>
      <c r="I11" t="s">
        <v>12</v>
      </c>
      <c r="J11">
        <f t="shared" si="0"/>
        <v>10</v>
      </c>
      <c r="K11" t="str">
        <f t="shared" si="1"/>
        <v>Mid Range</v>
      </c>
    </row>
    <row r="12" spans="2:11" x14ac:dyDescent="0.25">
      <c r="B12" t="s">
        <v>21</v>
      </c>
      <c r="C12">
        <v>2014</v>
      </c>
      <c r="D12" s="1">
        <v>240000</v>
      </c>
      <c r="E12">
        <v>60000</v>
      </c>
      <c r="F12" t="s">
        <v>9</v>
      </c>
      <c r="G12" t="s">
        <v>10</v>
      </c>
      <c r="H12" t="s">
        <v>11</v>
      </c>
      <c r="I12" t="s">
        <v>18</v>
      </c>
      <c r="J12">
        <f t="shared" si="0"/>
        <v>12</v>
      </c>
      <c r="K12" t="str">
        <f t="shared" si="1"/>
        <v>Budget</v>
      </c>
    </row>
    <row r="13" spans="2:11" x14ac:dyDescent="0.25">
      <c r="B13" t="s">
        <v>22</v>
      </c>
      <c r="C13">
        <v>2015</v>
      </c>
      <c r="D13" s="1">
        <v>850000</v>
      </c>
      <c r="E13">
        <v>25000</v>
      </c>
      <c r="F13" t="s">
        <v>9</v>
      </c>
      <c r="G13" t="s">
        <v>10</v>
      </c>
      <c r="H13" t="s">
        <v>11</v>
      </c>
      <c r="I13" t="s">
        <v>12</v>
      </c>
      <c r="J13">
        <f t="shared" si="0"/>
        <v>11</v>
      </c>
      <c r="K13" t="str">
        <f t="shared" si="1"/>
        <v>Mid Range</v>
      </c>
    </row>
    <row r="14" spans="2:11" x14ac:dyDescent="0.25">
      <c r="B14" t="s">
        <v>23</v>
      </c>
      <c r="C14">
        <v>2017</v>
      </c>
      <c r="D14" s="1">
        <v>365000</v>
      </c>
      <c r="E14">
        <v>78000</v>
      </c>
      <c r="F14" t="s">
        <v>24</v>
      </c>
      <c r="G14" t="s">
        <v>10</v>
      </c>
      <c r="H14" t="s">
        <v>11</v>
      </c>
      <c r="I14" t="s">
        <v>12</v>
      </c>
      <c r="J14">
        <f t="shared" si="0"/>
        <v>9</v>
      </c>
      <c r="K14" t="str">
        <f t="shared" si="1"/>
        <v>Budget</v>
      </c>
    </row>
    <row r="15" spans="2:11" x14ac:dyDescent="0.25">
      <c r="B15" t="s">
        <v>25</v>
      </c>
      <c r="C15">
        <v>2015</v>
      </c>
      <c r="D15" s="1">
        <v>260000</v>
      </c>
      <c r="E15">
        <v>35000</v>
      </c>
      <c r="F15" t="s">
        <v>9</v>
      </c>
      <c r="G15" t="s">
        <v>10</v>
      </c>
      <c r="H15" t="s">
        <v>11</v>
      </c>
      <c r="I15" t="s">
        <v>12</v>
      </c>
      <c r="J15">
        <f t="shared" si="0"/>
        <v>11</v>
      </c>
      <c r="K15" t="str">
        <f t="shared" si="1"/>
        <v>Budget</v>
      </c>
    </row>
    <row r="16" spans="2:11" x14ac:dyDescent="0.25">
      <c r="B16" t="s">
        <v>21</v>
      </c>
      <c r="C16">
        <v>2014</v>
      </c>
      <c r="D16" s="1">
        <v>250000</v>
      </c>
      <c r="E16">
        <v>100000</v>
      </c>
      <c r="F16" t="s">
        <v>9</v>
      </c>
      <c r="G16" t="s">
        <v>10</v>
      </c>
      <c r="H16" t="s">
        <v>11</v>
      </c>
      <c r="I16" t="s">
        <v>12</v>
      </c>
      <c r="J16">
        <f t="shared" si="0"/>
        <v>12</v>
      </c>
      <c r="K16" t="str">
        <f t="shared" si="1"/>
        <v>Budget</v>
      </c>
    </row>
    <row r="17" spans="2:11" x14ac:dyDescent="0.25">
      <c r="B17" t="s">
        <v>26</v>
      </c>
      <c r="C17">
        <v>2018</v>
      </c>
      <c r="D17" s="1">
        <v>1650000</v>
      </c>
      <c r="E17">
        <v>25000</v>
      </c>
      <c r="F17" t="s">
        <v>9</v>
      </c>
      <c r="G17" t="s">
        <v>27</v>
      </c>
      <c r="H17" t="s">
        <v>28</v>
      </c>
      <c r="I17" t="s">
        <v>12</v>
      </c>
      <c r="J17">
        <f t="shared" si="0"/>
        <v>8</v>
      </c>
      <c r="K17" t="str">
        <f t="shared" si="1"/>
        <v>Premium</v>
      </c>
    </row>
    <row r="18" spans="2:11" x14ac:dyDescent="0.25">
      <c r="B18" t="s">
        <v>29</v>
      </c>
      <c r="C18">
        <v>2015</v>
      </c>
      <c r="D18" s="1">
        <v>585000</v>
      </c>
      <c r="E18">
        <v>24000</v>
      </c>
      <c r="F18" t="s">
        <v>9</v>
      </c>
      <c r="G18" t="s">
        <v>27</v>
      </c>
      <c r="H18" t="s">
        <v>11</v>
      </c>
      <c r="I18" t="s">
        <v>12</v>
      </c>
      <c r="J18">
        <f t="shared" si="0"/>
        <v>11</v>
      </c>
      <c r="K18" t="str">
        <f t="shared" si="1"/>
        <v>Mid Range</v>
      </c>
    </row>
    <row r="19" spans="2:11" x14ac:dyDescent="0.25">
      <c r="B19" t="s">
        <v>30</v>
      </c>
      <c r="C19">
        <v>2019</v>
      </c>
      <c r="D19" s="1">
        <v>1195000</v>
      </c>
      <c r="E19">
        <v>5000</v>
      </c>
      <c r="F19" t="s">
        <v>15</v>
      </c>
      <c r="G19" t="s">
        <v>27</v>
      </c>
      <c r="H19" t="s">
        <v>11</v>
      </c>
      <c r="I19" t="s">
        <v>12</v>
      </c>
      <c r="J19">
        <f t="shared" si="0"/>
        <v>7</v>
      </c>
      <c r="K19" t="str">
        <f t="shared" si="1"/>
        <v>Premium</v>
      </c>
    </row>
    <row r="20" spans="2:11" x14ac:dyDescent="0.25">
      <c r="B20" t="s">
        <v>31</v>
      </c>
      <c r="C20">
        <v>2013</v>
      </c>
      <c r="D20" s="1">
        <v>390000</v>
      </c>
      <c r="E20">
        <v>33000</v>
      </c>
      <c r="F20" t="s">
        <v>15</v>
      </c>
      <c r="G20" t="s">
        <v>10</v>
      </c>
      <c r="H20" t="s">
        <v>11</v>
      </c>
      <c r="I20" t="s">
        <v>18</v>
      </c>
      <c r="J20">
        <f t="shared" si="0"/>
        <v>13</v>
      </c>
      <c r="K20" t="str">
        <f t="shared" si="1"/>
        <v>Budget</v>
      </c>
    </row>
    <row r="21" spans="2:11" x14ac:dyDescent="0.25">
      <c r="B21" t="s">
        <v>32</v>
      </c>
      <c r="C21">
        <v>2014</v>
      </c>
      <c r="D21" s="1">
        <v>1964999</v>
      </c>
      <c r="E21">
        <v>28000</v>
      </c>
      <c r="F21" t="s">
        <v>15</v>
      </c>
      <c r="G21" t="s">
        <v>27</v>
      </c>
      <c r="H21" t="s">
        <v>28</v>
      </c>
      <c r="I21" t="s">
        <v>12</v>
      </c>
      <c r="J21">
        <f t="shared" si="0"/>
        <v>12</v>
      </c>
      <c r="K21" t="str">
        <f t="shared" si="1"/>
        <v>Premium</v>
      </c>
    </row>
    <row r="22" spans="2:11" x14ac:dyDescent="0.25">
      <c r="B22" t="s">
        <v>33</v>
      </c>
      <c r="C22">
        <v>2013</v>
      </c>
      <c r="D22" s="1">
        <v>1425000</v>
      </c>
      <c r="E22">
        <v>59000</v>
      </c>
      <c r="F22" t="s">
        <v>15</v>
      </c>
      <c r="G22" t="s">
        <v>27</v>
      </c>
      <c r="H22" t="s">
        <v>28</v>
      </c>
      <c r="I22" t="s">
        <v>12</v>
      </c>
      <c r="J22">
        <f t="shared" si="0"/>
        <v>13</v>
      </c>
      <c r="K22" t="str">
        <f t="shared" si="1"/>
        <v>Premium</v>
      </c>
    </row>
    <row r="23" spans="2:11" x14ac:dyDescent="0.25">
      <c r="B23" t="s">
        <v>34</v>
      </c>
      <c r="C23">
        <v>2018</v>
      </c>
      <c r="D23" s="1">
        <v>975000</v>
      </c>
      <c r="E23">
        <v>4500</v>
      </c>
      <c r="F23" t="s">
        <v>15</v>
      </c>
      <c r="G23" t="s">
        <v>27</v>
      </c>
      <c r="H23" t="s">
        <v>28</v>
      </c>
      <c r="I23" t="s">
        <v>12</v>
      </c>
      <c r="J23">
        <f t="shared" si="0"/>
        <v>8</v>
      </c>
      <c r="K23" t="str">
        <f t="shared" si="1"/>
        <v>Mid Range</v>
      </c>
    </row>
    <row r="24" spans="2:11" x14ac:dyDescent="0.25">
      <c r="B24" t="s">
        <v>35</v>
      </c>
      <c r="C24">
        <v>2011</v>
      </c>
      <c r="D24" s="1">
        <v>1190000</v>
      </c>
      <c r="E24">
        <v>175900</v>
      </c>
      <c r="F24" t="s">
        <v>15</v>
      </c>
      <c r="G24" t="s">
        <v>27</v>
      </c>
      <c r="H24" t="s">
        <v>28</v>
      </c>
      <c r="I24" t="s">
        <v>12</v>
      </c>
      <c r="J24">
        <f t="shared" si="0"/>
        <v>15</v>
      </c>
      <c r="K24" t="str">
        <f t="shared" si="1"/>
        <v>Premium</v>
      </c>
    </row>
    <row r="25" spans="2:11" x14ac:dyDescent="0.25">
      <c r="B25" t="s">
        <v>36</v>
      </c>
      <c r="C25">
        <v>2018</v>
      </c>
      <c r="D25" s="1">
        <v>930000</v>
      </c>
      <c r="E25">
        <v>14500</v>
      </c>
      <c r="F25" t="s">
        <v>9</v>
      </c>
      <c r="G25" t="s">
        <v>27</v>
      </c>
      <c r="H25" t="s">
        <v>11</v>
      </c>
      <c r="I25" t="s">
        <v>12</v>
      </c>
      <c r="J25">
        <f t="shared" si="0"/>
        <v>8</v>
      </c>
      <c r="K25" t="str">
        <f t="shared" si="1"/>
        <v>Mid Range</v>
      </c>
    </row>
    <row r="26" spans="2:11" x14ac:dyDescent="0.25">
      <c r="B26" t="s">
        <v>37</v>
      </c>
      <c r="C26">
        <v>2018</v>
      </c>
      <c r="D26" s="1">
        <v>525000</v>
      </c>
      <c r="E26">
        <v>15000</v>
      </c>
      <c r="F26" t="s">
        <v>9</v>
      </c>
      <c r="G26" t="s">
        <v>10</v>
      </c>
      <c r="H26" t="s">
        <v>11</v>
      </c>
      <c r="I26" t="s">
        <v>12</v>
      </c>
      <c r="J26">
        <f t="shared" si="0"/>
        <v>8</v>
      </c>
      <c r="K26" t="str">
        <f t="shared" si="1"/>
        <v>Mid Range</v>
      </c>
    </row>
    <row r="27" spans="2:11" x14ac:dyDescent="0.25">
      <c r="B27" t="s">
        <v>38</v>
      </c>
      <c r="C27">
        <v>2013</v>
      </c>
      <c r="D27" s="1">
        <v>1735000</v>
      </c>
      <c r="E27">
        <v>50000</v>
      </c>
      <c r="F27" t="s">
        <v>15</v>
      </c>
      <c r="G27" t="s">
        <v>27</v>
      </c>
      <c r="H27" t="s">
        <v>28</v>
      </c>
      <c r="I27" t="s">
        <v>12</v>
      </c>
      <c r="J27">
        <f t="shared" si="0"/>
        <v>13</v>
      </c>
      <c r="K27" t="str">
        <f t="shared" si="1"/>
        <v>Premium</v>
      </c>
    </row>
    <row r="28" spans="2:11" x14ac:dyDescent="0.25">
      <c r="B28" t="s">
        <v>39</v>
      </c>
      <c r="C28">
        <v>2012</v>
      </c>
      <c r="D28" s="1">
        <v>1375000</v>
      </c>
      <c r="E28">
        <v>33800</v>
      </c>
      <c r="F28" t="s">
        <v>15</v>
      </c>
      <c r="G28" t="s">
        <v>27</v>
      </c>
      <c r="H28" t="s">
        <v>28</v>
      </c>
      <c r="I28" t="s">
        <v>18</v>
      </c>
      <c r="J28">
        <f t="shared" si="0"/>
        <v>14</v>
      </c>
      <c r="K28" t="str">
        <f t="shared" si="1"/>
        <v>Premium</v>
      </c>
    </row>
    <row r="29" spans="2:11" x14ac:dyDescent="0.25">
      <c r="B29" t="s">
        <v>40</v>
      </c>
      <c r="C29">
        <v>2011</v>
      </c>
      <c r="D29" s="1">
        <v>450000</v>
      </c>
      <c r="E29">
        <v>130400</v>
      </c>
      <c r="F29" t="s">
        <v>15</v>
      </c>
      <c r="G29" t="s">
        <v>27</v>
      </c>
      <c r="H29" t="s">
        <v>28</v>
      </c>
      <c r="I29" t="s">
        <v>18</v>
      </c>
      <c r="J29">
        <f t="shared" si="0"/>
        <v>15</v>
      </c>
      <c r="K29" t="str">
        <f t="shared" si="1"/>
        <v>Budget</v>
      </c>
    </row>
    <row r="30" spans="2:11" x14ac:dyDescent="0.25">
      <c r="B30" t="s">
        <v>41</v>
      </c>
      <c r="C30">
        <v>2016</v>
      </c>
      <c r="D30" s="1">
        <v>900000</v>
      </c>
      <c r="E30">
        <v>50000</v>
      </c>
      <c r="F30" t="s">
        <v>9</v>
      </c>
      <c r="G30" t="s">
        <v>10</v>
      </c>
      <c r="H30" t="s">
        <v>28</v>
      </c>
      <c r="I30" t="s">
        <v>12</v>
      </c>
      <c r="J30">
        <f t="shared" si="0"/>
        <v>10</v>
      </c>
      <c r="K30" t="str">
        <f t="shared" si="1"/>
        <v>Mid Range</v>
      </c>
    </row>
    <row r="31" spans="2:11" x14ac:dyDescent="0.25">
      <c r="B31" t="s">
        <v>42</v>
      </c>
      <c r="C31">
        <v>2015</v>
      </c>
      <c r="D31" s="1">
        <v>1300000</v>
      </c>
      <c r="E31">
        <v>80000</v>
      </c>
      <c r="F31" t="s">
        <v>15</v>
      </c>
      <c r="G31" t="s">
        <v>10</v>
      </c>
      <c r="H31" t="s">
        <v>11</v>
      </c>
      <c r="I31" t="s">
        <v>12</v>
      </c>
      <c r="J31">
        <f t="shared" si="0"/>
        <v>11</v>
      </c>
      <c r="K31" t="str">
        <f t="shared" si="1"/>
        <v>Premium</v>
      </c>
    </row>
    <row r="32" spans="2:11" x14ac:dyDescent="0.25">
      <c r="B32" t="s">
        <v>43</v>
      </c>
      <c r="C32">
        <v>2019</v>
      </c>
      <c r="D32" s="1">
        <v>1400000</v>
      </c>
      <c r="E32">
        <v>10000</v>
      </c>
      <c r="F32" t="s">
        <v>9</v>
      </c>
      <c r="G32" t="s">
        <v>10</v>
      </c>
      <c r="H32" t="s">
        <v>11</v>
      </c>
      <c r="I32" t="s">
        <v>12</v>
      </c>
      <c r="J32">
        <f t="shared" si="0"/>
        <v>7</v>
      </c>
      <c r="K32" t="str">
        <f t="shared" si="1"/>
        <v>Premium</v>
      </c>
    </row>
    <row r="33" spans="2:11" x14ac:dyDescent="0.25">
      <c r="B33" t="s">
        <v>44</v>
      </c>
      <c r="C33">
        <v>2010</v>
      </c>
      <c r="D33" s="1">
        <v>850000</v>
      </c>
      <c r="E33">
        <v>119000</v>
      </c>
      <c r="F33" t="s">
        <v>9</v>
      </c>
      <c r="G33" t="s">
        <v>27</v>
      </c>
      <c r="H33" t="s">
        <v>28</v>
      </c>
      <c r="I33" t="s">
        <v>12</v>
      </c>
      <c r="J33">
        <f t="shared" si="0"/>
        <v>16</v>
      </c>
      <c r="K33" t="str">
        <f t="shared" si="1"/>
        <v>Mid Range</v>
      </c>
    </row>
    <row r="34" spans="2:11" x14ac:dyDescent="0.25">
      <c r="B34" t="s">
        <v>45</v>
      </c>
      <c r="C34">
        <v>2014</v>
      </c>
      <c r="D34" s="1">
        <v>229999</v>
      </c>
      <c r="E34">
        <v>60000</v>
      </c>
      <c r="F34" t="s">
        <v>9</v>
      </c>
      <c r="G34" t="s">
        <v>10</v>
      </c>
      <c r="H34" t="s">
        <v>11</v>
      </c>
      <c r="I34" t="s">
        <v>46</v>
      </c>
      <c r="J34">
        <f t="shared" si="0"/>
        <v>12</v>
      </c>
      <c r="K34" t="str">
        <f t="shared" si="1"/>
        <v>Budget</v>
      </c>
    </row>
    <row r="35" spans="2:11" x14ac:dyDescent="0.25">
      <c r="B35" t="s">
        <v>47</v>
      </c>
      <c r="C35">
        <v>2013</v>
      </c>
      <c r="D35" s="1">
        <v>1550000</v>
      </c>
      <c r="E35">
        <v>75800</v>
      </c>
      <c r="F35" t="s">
        <v>15</v>
      </c>
      <c r="G35" t="s">
        <v>27</v>
      </c>
      <c r="H35" t="s">
        <v>28</v>
      </c>
      <c r="I35" t="s">
        <v>18</v>
      </c>
      <c r="J35">
        <f t="shared" si="0"/>
        <v>13</v>
      </c>
      <c r="K35" t="str">
        <f t="shared" si="1"/>
        <v>Premium</v>
      </c>
    </row>
    <row r="36" spans="2:11" x14ac:dyDescent="0.25">
      <c r="B36" t="s">
        <v>48</v>
      </c>
      <c r="C36">
        <v>2009</v>
      </c>
      <c r="D36" s="1">
        <v>1250000</v>
      </c>
      <c r="E36">
        <v>78000</v>
      </c>
      <c r="F36" t="s">
        <v>15</v>
      </c>
      <c r="G36" t="s">
        <v>27</v>
      </c>
      <c r="H36" t="s">
        <v>28</v>
      </c>
      <c r="I36" t="s">
        <v>49</v>
      </c>
      <c r="J36">
        <f t="shared" si="0"/>
        <v>17</v>
      </c>
      <c r="K36" t="str">
        <f t="shared" si="1"/>
        <v>Premium</v>
      </c>
    </row>
    <row r="37" spans="2:11" x14ac:dyDescent="0.25">
      <c r="B37" t="s">
        <v>50</v>
      </c>
      <c r="C37">
        <v>2012</v>
      </c>
      <c r="D37" s="1">
        <v>625000</v>
      </c>
      <c r="E37">
        <v>40000</v>
      </c>
      <c r="F37" t="s">
        <v>15</v>
      </c>
      <c r="G37" t="s">
        <v>10</v>
      </c>
      <c r="H37" t="s">
        <v>11</v>
      </c>
      <c r="I37" t="s">
        <v>12</v>
      </c>
      <c r="J37">
        <f t="shared" si="0"/>
        <v>14</v>
      </c>
      <c r="K37" t="str">
        <f t="shared" si="1"/>
        <v>Mid Range</v>
      </c>
    </row>
    <row r="38" spans="2:11" x14ac:dyDescent="0.25">
      <c r="B38" t="s">
        <v>51</v>
      </c>
      <c r="C38">
        <v>2014</v>
      </c>
      <c r="D38" s="1">
        <v>1050000</v>
      </c>
      <c r="E38">
        <v>50000</v>
      </c>
      <c r="F38" t="s">
        <v>15</v>
      </c>
      <c r="G38" t="s">
        <v>10</v>
      </c>
      <c r="H38" t="s">
        <v>11</v>
      </c>
      <c r="I38" t="s">
        <v>12</v>
      </c>
      <c r="J38">
        <f t="shared" si="0"/>
        <v>12</v>
      </c>
      <c r="K38" t="str">
        <f t="shared" si="1"/>
        <v>Premium</v>
      </c>
    </row>
    <row r="39" spans="2:11" x14ac:dyDescent="0.25">
      <c r="B39" t="s">
        <v>52</v>
      </c>
      <c r="C39">
        <v>2014</v>
      </c>
      <c r="D39" s="1">
        <v>560000</v>
      </c>
      <c r="E39">
        <v>74000</v>
      </c>
      <c r="F39" t="s">
        <v>15</v>
      </c>
      <c r="G39" t="s">
        <v>10</v>
      </c>
      <c r="H39" t="s">
        <v>11</v>
      </c>
      <c r="I39" t="s">
        <v>18</v>
      </c>
      <c r="J39">
        <f t="shared" si="0"/>
        <v>12</v>
      </c>
      <c r="K39" t="str">
        <f t="shared" si="1"/>
        <v>Mid Range</v>
      </c>
    </row>
    <row r="40" spans="2:11" x14ac:dyDescent="0.25">
      <c r="B40" t="s">
        <v>53</v>
      </c>
      <c r="C40">
        <v>2014</v>
      </c>
      <c r="D40" s="1">
        <v>290000</v>
      </c>
      <c r="E40">
        <v>64000</v>
      </c>
      <c r="F40" t="s">
        <v>9</v>
      </c>
      <c r="G40" t="s">
        <v>10</v>
      </c>
      <c r="H40" t="s">
        <v>11</v>
      </c>
      <c r="I40" t="s">
        <v>18</v>
      </c>
      <c r="J40">
        <f t="shared" si="0"/>
        <v>12</v>
      </c>
      <c r="K40" t="str">
        <f t="shared" si="1"/>
        <v>Budget</v>
      </c>
    </row>
    <row r="41" spans="2:11" x14ac:dyDescent="0.25">
      <c r="B41" t="s">
        <v>54</v>
      </c>
      <c r="C41">
        <v>2012</v>
      </c>
      <c r="D41" s="1">
        <v>275000</v>
      </c>
      <c r="E41">
        <v>60000</v>
      </c>
      <c r="F41" t="s">
        <v>9</v>
      </c>
      <c r="G41" t="s">
        <v>10</v>
      </c>
      <c r="H41" t="s">
        <v>11</v>
      </c>
      <c r="I41" t="s">
        <v>18</v>
      </c>
      <c r="J41">
        <f t="shared" si="0"/>
        <v>14</v>
      </c>
      <c r="K41" t="str">
        <f t="shared" si="1"/>
        <v>Budget</v>
      </c>
    </row>
    <row r="42" spans="2:11" x14ac:dyDescent="0.25">
      <c r="B42" t="s">
        <v>55</v>
      </c>
      <c r="C42">
        <v>2009</v>
      </c>
      <c r="D42" s="1">
        <v>411000</v>
      </c>
      <c r="E42">
        <v>120000</v>
      </c>
      <c r="F42" t="s">
        <v>15</v>
      </c>
      <c r="G42" t="s">
        <v>10</v>
      </c>
      <c r="H42" t="s">
        <v>11</v>
      </c>
      <c r="I42" t="s">
        <v>18</v>
      </c>
      <c r="J42">
        <f t="shared" si="0"/>
        <v>17</v>
      </c>
      <c r="K42" t="str">
        <f t="shared" si="1"/>
        <v>Budget</v>
      </c>
    </row>
    <row r="43" spans="2:11" x14ac:dyDescent="0.25">
      <c r="B43" t="s">
        <v>56</v>
      </c>
      <c r="C43">
        <v>2009</v>
      </c>
      <c r="D43" s="1">
        <v>150000</v>
      </c>
      <c r="E43">
        <v>79000</v>
      </c>
      <c r="F43" t="s">
        <v>9</v>
      </c>
      <c r="G43" t="s">
        <v>10</v>
      </c>
      <c r="H43" t="s">
        <v>11</v>
      </c>
      <c r="I43" t="s">
        <v>49</v>
      </c>
      <c r="J43">
        <f t="shared" si="0"/>
        <v>17</v>
      </c>
      <c r="K43" t="str">
        <f t="shared" si="1"/>
        <v>Budget</v>
      </c>
    </row>
    <row r="44" spans="2:11" x14ac:dyDescent="0.25">
      <c r="B44" t="s">
        <v>57</v>
      </c>
      <c r="C44">
        <v>2019</v>
      </c>
      <c r="D44" s="1">
        <v>500000</v>
      </c>
      <c r="E44">
        <v>15000</v>
      </c>
      <c r="F44" t="s">
        <v>9</v>
      </c>
      <c r="G44" t="s">
        <v>10</v>
      </c>
      <c r="H44" t="s">
        <v>11</v>
      </c>
      <c r="I44" t="s">
        <v>12</v>
      </c>
      <c r="J44">
        <f t="shared" si="0"/>
        <v>7</v>
      </c>
      <c r="K44" t="str">
        <f t="shared" si="1"/>
        <v>Mid Range</v>
      </c>
    </row>
    <row r="45" spans="2:11" x14ac:dyDescent="0.25">
      <c r="B45" t="s">
        <v>58</v>
      </c>
      <c r="C45">
        <v>2006</v>
      </c>
      <c r="D45" s="1">
        <v>100000</v>
      </c>
      <c r="E45">
        <v>80000</v>
      </c>
      <c r="F45" t="s">
        <v>9</v>
      </c>
      <c r="G45" t="s">
        <v>10</v>
      </c>
      <c r="H45" t="s">
        <v>11</v>
      </c>
      <c r="I45" t="s">
        <v>12</v>
      </c>
      <c r="J45">
        <f t="shared" si="0"/>
        <v>20</v>
      </c>
      <c r="K45" t="str">
        <f t="shared" si="1"/>
        <v>Budget</v>
      </c>
    </row>
    <row r="46" spans="2:11" x14ac:dyDescent="0.25">
      <c r="B46" t="s">
        <v>59</v>
      </c>
      <c r="C46">
        <v>2017</v>
      </c>
      <c r="D46" s="1">
        <v>725000</v>
      </c>
      <c r="E46">
        <v>18500</v>
      </c>
      <c r="F46" t="s">
        <v>15</v>
      </c>
      <c r="G46" t="s">
        <v>27</v>
      </c>
      <c r="H46" t="s">
        <v>11</v>
      </c>
      <c r="I46" t="s">
        <v>12</v>
      </c>
      <c r="J46">
        <f t="shared" si="0"/>
        <v>9</v>
      </c>
      <c r="K46" t="str">
        <f t="shared" si="1"/>
        <v>Mid Range</v>
      </c>
    </row>
    <row r="47" spans="2:11" x14ac:dyDescent="0.25">
      <c r="B47" t="s">
        <v>60</v>
      </c>
      <c r="C47">
        <v>2018</v>
      </c>
      <c r="D47" s="1">
        <v>401000</v>
      </c>
      <c r="E47">
        <v>10200</v>
      </c>
      <c r="F47" t="s">
        <v>9</v>
      </c>
      <c r="G47" t="s">
        <v>27</v>
      </c>
      <c r="H47" t="s">
        <v>11</v>
      </c>
      <c r="I47" t="s">
        <v>12</v>
      </c>
      <c r="J47">
        <f t="shared" si="0"/>
        <v>8</v>
      </c>
      <c r="K47" t="str">
        <f t="shared" si="1"/>
        <v>Budget</v>
      </c>
    </row>
    <row r="48" spans="2:11" x14ac:dyDescent="0.25">
      <c r="B48" t="s">
        <v>61</v>
      </c>
      <c r="C48">
        <v>2018</v>
      </c>
      <c r="D48" s="1">
        <v>750000</v>
      </c>
      <c r="E48">
        <v>29000</v>
      </c>
      <c r="F48" t="s">
        <v>15</v>
      </c>
      <c r="G48" t="s">
        <v>27</v>
      </c>
      <c r="H48" t="s">
        <v>11</v>
      </c>
      <c r="I48" t="s">
        <v>12</v>
      </c>
      <c r="J48">
        <f t="shared" si="0"/>
        <v>8</v>
      </c>
      <c r="K48" t="str">
        <f t="shared" si="1"/>
        <v>Mid Range</v>
      </c>
    </row>
    <row r="49" spans="2:11" x14ac:dyDescent="0.25">
      <c r="B49" t="s">
        <v>62</v>
      </c>
      <c r="C49">
        <v>2018</v>
      </c>
      <c r="D49" s="1">
        <v>310000</v>
      </c>
      <c r="E49">
        <v>28000</v>
      </c>
      <c r="F49" t="s">
        <v>9</v>
      </c>
      <c r="G49" t="s">
        <v>27</v>
      </c>
      <c r="H49" t="s">
        <v>11</v>
      </c>
      <c r="I49" t="s">
        <v>12</v>
      </c>
      <c r="J49">
        <f t="shared" si="0"/>
        <v>8</v>
      </c>
      <c r="K49" t="str">
        <f t="shared" si="1"/>
        <v>Budget</v>
      </c>
    </row>
    <row r="50" spans="2:11" x14ac:dyDescent="0.25">
      <c r="B50" t="s">
        <v>63</v>
      </c>
      <c r="C50">
        <v>2016</v>
      </c>
      <c r="D50" s="1">
        <v>665000</v>
      </c>
      <c r="E50">
        <v>46000</v>
      </c>
      <c r="F50" t="s">
        <v>15</v>
      </c>
      <c r="G50" t="s">
        <v>27</v>
      </c>
      <c r="H50" t="s">
        <v>11</v>
      </c>
      <c r="I50" t="s">
        <v>12</v>
      </c>
      <c r="J50">
        <f t="shared" si="0"/>
        <v>10</v>
      </c>
      <c r="K50" t="str">
        <f t="shared" si="1"/>
        <v>Mid Range</v>
      </c>
    </row>
    <row r="51" spans="2:11" x14ac:dyDescent="0.25">
      <c r="B51" t="s">
        <v>64</v>
      </c>
      <c r="C51">
        <v>2014</v>
      </c>
      <c r="D51" s="1">
        <v>465000</v>
      </c>
      <c r="E51">
        <v>70000</v>
      </c>
      <c r="F51" t="s">
        <v>15</v>
      </c>
      <c r="G51" t="s">
        <v>27</v>
      </c>
      <c r="H51" t="s">
        <v>11</v>
      </c>
      <c r="I51" t="s">
        <v>12</v>
      </c>
      <c r="J51">
        <f t="shared" si="0"/>
        <v>12</v>
      </c>
      <c r="K51" t="str">
        <f t="shared" si="1"/>
        <v>Budget</v>
      </c>
    </row>
    <row r="52" spans="2:11" x14ac:dyDescent="0.25">
      <c r="B52" t="s">
        <v>58</v>
      </c>
      <c r="C52">
        <v>2012</v>
      </c>
      <c r="D52" s="1">
        <v>160000</v>
      </c>
      <c r="E52">
        <v>60000</v>
      </c>
      <c r="F52" t="s">
        <v>9</v>
      </c>
      <c r="G52" t="s">
        <v>10</v>
      </c>
      <c r="H52" t="s">
        <v>11</v>
      </c>
      <c r="I52" t="s">
        <v>18</v>
      </c>
      <c r="J52">
        <f t="shared" si="0"/>
        <v>14</v>
      </c>
      <c r="K52" t="str">
        <f t="shared" si="1"/>
        <v>Budget</v>
      </c>
    </row>
    <row r="53" spans="2:11" x14ac:dyDescent="0.25">
      <c r="B53" t="s">
        <v>65</v>
      </c>
      <c r="C53">
        <v>1996</v>
      </c>
      <c r="D53" s="1">
        <v>250000</v>
      </c>
      <c r="E53">
        <v>35000</v>
      </c>
      <c r="F53" t="s">
        <v>15</v>
      </c>
      <c r="G53" t="s">
        <v>10</v>
      </c>
      <c r="H53" t="s">
        <v>11</v>
      </c>
      <c r="I53" t="s">
        <v>18</v>
      </c>
      <c r="J53">
        <f t="shared" si="0"/>
        <v>30</v>
      </c>
      <c r="K53" t="str">
        <f t="shared" si="1"/>
        <v>Budget</v>
      </c>
    </row>
    <row r="54" spans="2:11" x14ac:dyDescent="0.25">
      <c r="B54" t="s">
        <v>66</v>
      </c>
      <c r="C54">
        <v>2014</v>
      </c>
      <c r="D54" s="1">
        <v>675000</v>
      </c>
      <c r="E54">
        <v>90000</v>
      </c>
      <c r="F54" t="s">
        <v>15</v>
      </c>
      <c r="G54" t="s">
        <v>27</v>
      </c>
      <c r="H54" t="s">
        <v>11</v>
      </c>
      <c r="I54" t="s">
        <v>12</v>
      </c>
      <c r="J54">
        <f t="shared" si="0"/>
        <v>12</v>
      </c>
      <c r="K54" t="str">
        <f t="shared" si="1"/>
        <v>Mid Range</v>
      </c>
    </row>
    <row r="55" spans="2:11" x14ac:dyDescent="0.25">
      <c r="B55" t="s">
        <v>54</v>
      </c>
      <c r="C55">
        <v>2013</v>
      </c>
      <c r="D55" s="1">
        <v>300000</v>
      </c>
      <c r="E55">
        <v>80000</v>
      </c>
      <c r="F55" t="s">
        <v>9</v>
      </c>
      <c r="G55" t="s">
        <v>27</v>
      </c>
      <c r="H55" t="s">
        <v>11</v>
      </c>
      <c r="I55" t="s">
        <v>12</v>
      </c>
      <c r="J55">
        <f t="shared" si="0"/>
        <v>13</v>
      </c>
      <c r="K55" t="str">
        <f t="shared" si="1"/>
        <v>Budget</v>
      </c>
    </row>
    <row r="56" spans="2:11" x14ac:dyDescent="0.25">
      <c r="B56" t="s">
        <v>67</v>
      </c>
      <c r="C56">
        <v>2005</v>
      </c>
      <c r="D56" s="1">
        <v>70000</v>
      </c>
      <c r="E56">
        <v>80000</v>
      </c>
      <c r="F56" t="s">
        <v>15</v>
      </c>
      <c r="G56" t="s">
        <v>10</v>
      </c>
      <c r="H56" t="s">
        <v>11</v>
      </c>
      <c r="I56" t="s">
        <v>12</v>
      </c>
      <c r="J56">
        <f t="shared" si="0"/>
        <v>21</v>
      </c>
      <c r="K56" t="str">
        <f t="shared" si="1"/>
        <v>Budget</v>
      </c>
    </row>
    <row r="57" spans="2:11" x14ac:dyDescent="0.25">
      <c r="B57" t="s">
        <v>68</v>
      </c>
      <c r="C57">
        <v>2014</v>
      </c>
      <c r="D57" s="1">
        <v>240000</v>
      </c>
      <c r="E57">
        <v>73300</v>
      </c>
      <c r="F57" t="s">
        <v>9</v>
      </c>
      <c r="G57" t="s">
        <v>27</v>
      </c>
      <c r="H57" t="s">
        <v>11</v>
      </c>
      <c r="I57" t="s">
        <v>18</v>
      </c>
      <c r="J57">
        <f t="shared" si="0"/>
        <v>12</v>
      </c>
      <c r="K57" t="str">
        <f t="shared" si="1"/>
        <v>Budget</v>
      </c>
    </row>
    <row r="58" spans="2:11" x14ac:dyDescent="0.25">
      <c r="B58" t="s">
        <v>69</v>
      </c>
      <c r="C58">
        <v>2014</v>
      </c>
      <c r="D58" s="1">
        <v>525000</v>
      </c>
      <c r="E58">
        <v>92000</v>
      </c>
      <c r="F58" t="s">
        <v>15</v>
      </c>
      <c r="G58" t="s">
        <v>27</v>
      </c>
      <c r="H58" t="s">
        <v>11</v>
      </c>
      <c r="I58" t="s">
        <v>12</v>
      </c>
      <c r="J58">
        <f t="shared" si="0"/>
        <v>12</v>
      </c>
      <c r="K58" t="str">
        <f t="shared" si="1"/>
        <v>Mid Range</v>
      </c>
    </row>
    <row r="59" spans="2:11" x14ac:dyDescent="0.25">
      <c r="B59" t="s">
        <v>58</v>
      </c>
      <c r="C59">
        <v>2009</v>
      </c>
      <c r="D59" s="1">
        <v>151000</v>
      </c>
      <c r="E59">
        <v>66764</v>
      </c>
      <c r="F59" t="s">
        <v>9</v>
      </c>
      <c r="G59" t="s">
        <v>27</v>
      </c>
      <c r="H59" t="s">
        <v>11</v>
      </c>
      <c r="I59" t="s">
        <v>18</v>
      </c>
      <c r="J59">
        <f t="shared" si="0"/>
        <v>17</v>
      </c>
      <c r="K59" t="str">
        <f t="shared" si="1"/>
        <v>Budget</v>
      </c>
    </row>
    <row r="60" spans="2:11" x14ac:dyDescent="0.25">
      <c r="B60" t="s">
        <v>58</v>
      </c>
      <c r="C60">
        <v>2009</v>
      </c>
      <c r="D60" s="1">
        <v>140000</v>
      </c>
      <c r="E60">
        <v>100000</v>
      </c>
      <c r="F60" t="s">
        <v>9</v>
      </c>
      <c r="G60" t="s">
        <v>10</v>
      </c>
      <c r="H60" t="s">
        <v>11</v>
      </c>
      <c r="I60" t="s">
        <v>12</v>
      </c>
      <c r="J60">
        <f t="shared" si="0"/>
        <v>17</v>
      </c>
      <c r="K60" t="str">
        <f t="shared" si="1"/>
        <v>Budget</v>
      </c>
    </row>
    <row r="61" spans="2:11" x14ac:dyDescent="0.25">
      <c r="B61" t="s">
        <v>70</v>
      </c>
      <c r="C61">
        <v>2010</v>
      </c>
      <c r="D61" s="1">
        <v>280000</v>
      </c>
      <c r="E61">
        <v>350000</v>
      </c>
      <c r="F61" t="s">
        <v>15</v>
      </c>
      <c r="G61" t="s">
        <v>10</v>
      </c>
      <c r="H61" t="s">
        <v>11</v>
      </c>
      <c r="I61" t="s">
        <v>18</v>
      </c>
      <c r="J61">
        <f t="shared" si="0"/>
        <v>16</v>
      </c>
      <c r="K61" t="str">
        <f t="shared" si="1"/>
        <v>Budget</v>
      </c>
    </row>
    <row r="62" spans="2:11" x14ac:dyDescent="0.25">
      <c r="B62" t="s">
        <v>71</v>
      </c>
      <c r="C62">
        <v>2011</v>
      </c>
      <c r="D62" s="1">
        <v>350000</v>
      </c>
      <c r="E62">
        <v>230000</v>
      </c>
      <c r="F62" t="s">
        <v>15</v>
      </c>
      <c r="G62" t="s">
        <v>10</v>
      </c>
      <c r="H62" t="s">
        <v>11</v>
      </c>
      <c r="I62" t="s">
        <v>12</v>
      </c>
      <c r="J62">
        <f t="shared" si="0"/>
        <v>15</v>
      </c>
      <c r="K62" t="str">
        <f t="shared" si="1"/>
        <v>Budget</v>
      </c>
    </row>
    <row r="63" spans="2:11" x14ac:dyDescent="0.25">
      <c r="B63" t="s">
        <v>72</v>
      </c>
      <c r="C63">
        <v>2017</v>
      </c>
      <c r="D63" s="1">
        <v>570000</v>
      </c>
      <c r="E63">
        <v>60000</v>
      </c>
      <c r="F63" t="s">
        <v>15</v>
      </c>
      <c r="G63" t="s">
        <v>10</v>
      </c>
      <c r="H63" t="s">
        <v>11</v>
      </c>
      <c r="I63" t="s">
        <v>12</v>
      </c>
      <c r="J63">
        <f t="shared" si="0"/>
        <v>9</v>
      </c>
      <c r="K63" t="str">
        <f t="shared" si="1"/>
        <v>Mid Range</v>
      </c>
    </row>
    <row r="64" spans="2:11" x14ac:dyDescent="0.25">
      <c r="B64" t="s">
        <v>68</v>
      </c>
      <c r="C64">
        <v>2018</v>
      </c>
      <c r="D64" s="1">
        <v>300000</v>
      </c>
      <c r="E64">
        <v>31000</v>
      </c>
      <c r="F64" t="s">
        <v>9</v>
      </c>
      <c r="G64" t="s">
        <v>10</v>
      </c>
      <c r="H64" t="s">
        <v>11</v>
      </c>
      <c r="I64" t="s">
        <v>12</v>
      </c>
      <c r="J64">
        <f t="shared" si="0"/>
        <v>8</v>
      </c>
      <c r="K64" t="str">
        <f t="shared" si="1"/>
        <v>Budget</v>
      </c>
    </row>
    <row r="65" spans="2:11" x14ac:dyDescent="0.25">
      <c r="B65" t="s">
        <v>73</v>
      </c>
      <c r="C65">
        <v>2007</v>
      </c>
      <c r="D65" s="1">
        <v>100000</v>
      </c>
      <c r="E65">
        <v>39000</v>
      </c>
      <c r="F65" t="s">
        <v>15</v>
      </c>
      <c r="G65" t="s">
        <v>10</v>
      </c>
      <c r="H65" t="s">
        <v>11</v>
      </c>
      <c r="I65" t="s">
        <v>12</v>
      </c>
      <c r="J65">
        <f t="shared" si="0"/>
        <v>19</v>
      </c>
      <c r="K65" t="str">
        <f t="shared" si="1"/>
        <v>Budget</v>
      </c>
    </row>
    <row r="66" spans="2:11" x14ac:dyDescent="0.25">
      <c r="B66" t="s">
        <v>74</v>
      </c>
      <c r="C66">
        <v>2009</v>
      </c>
      <c r="D66" s="1">
        <v>500000</v>
      </c>
      <c r="E66">
        <v>120000</v>
      </c>
      <c r="F66" t="s">
        <v>15</v>
      </c>
      <c r="G66" t="s">
        <v>10</v>
      </c>
      <c r="H66" t="s">
        <v>11</v>
      </c>
      <c r="I66" t="s">
        <v>49</v>
      </c>
      <c r="J66">
        <f t="shared" si="0"/>
        <v>17</v>
      </c>
      <c r="K66" t="str">
        <f t="shared" si="1"/>
        <v>Mid Range</v>
      </c>
    </row>
    <row r="67" spans="2:11" x14ac:dyDescent="0.25">
      <c r="B67" t="s">
        <v>75</v>
      </c>
      <c r="C67">
        <v>2014</v>
      </c>
      <c r="D67" s="1">
        <v>125000</v>
      </c>
      <c r="E67">
        <v>166000</v>
      </c>
      <c r="F67" t="s">
        <v>15</v>
      </c>
      <c r="G67" t="s">
        <v>10</v>
      </c>
      <c r="H67" t="s">
        <v>11</v>
      </c>
      <c r="I67" t="s">
        <v>46</v>
      </c>
      <c r="J67">
        <f t="shared" si="0"/>
        <v>12</v>
      </c>
      <c r="K67" t="str">
        <f t="shared" si="1"/>
        <v>Budget</v>
      </c>
    </row>
    <row r="68" spans="2:11" x14ac:dyDescent="0.25">
      <c r="B68" t="s">
        <v>76</v>
      </c>
      <c r="C68">
        <v>2006</v>
      </c>
      <c r="D68" s="1">
        <v>130000</v>
      </c>
      <c r="E68">
        <v>110000</v>
      </c>
      <c r="F68" t="s">
        <v>9</v>
      </c>
      <c r="G68" t="s">
        <v>10</v>
      </c>
      <c r="H68" t="s">
        <v>11</v>
      </c>
      <c r="I68" t="s">
        <v>49</v>
      </c>
      <c r="J68">
        <f t="shared" si="0"/>
        <v>20</v>
      </c>
      <c r="K68" t="str">
        <f t="shared" si="1"/>
        <v>Budget</v>
      </c>
    </row>
    <row r="69" spans="2:11" x14ac:dyDescent="0.25">
      <c r="B69" t="s">
        <v>77</v>
      </c>
      <c r="C69">
        <v>2017</v>
      </c>
      <c r="D69" s="1">
        <v>925000</v>
      </c>
      <c r="E69">
        <v>35000</v>
      </c>
      <c r="F69" t="s">
        <v>15</v>
      </c>
      <c r="G69" t="s">
        <v>10</v>
      </c>
      <c r="H69" t="s">
        <v>11</v>
      </c>
      <c r="I69" t="s">
        <v>12</v>
      </c>
      <c r="J69">
        <f t="shared" si="0"/>
        <v>9</v>
      </c>
      <c r="K69" t="str">
        <f t="shared" si="1"/>
        <v>Mid Range</v>
      </c>
    </row>
    <row r="70" spans="2:11" x14ac:dyDescent="0.25">
      <c r="B70" t="s">
        <v>78</v>
      </c>
      <c r="C70">
        <v>2018</v>
      </c>
      <c r="D70" s="1">
        <v>750000</v>
      </c>
      <c r="E70">
        <v>60000</v>
      </c>
      <c r="F70" t="s">
        <v>15</v>
      </c>
      <c r="G70" t="s">
        <v>10</v>
      </c>
      <c r="H70" t="s">
        <v>11</v>
      </c>
      <c r="I70" t="s">
        <v>12</v>
      </c>
      <c r="J70">
        <f t="shared" ref="J70:J133" si="2">2026 - C70</f>
        <v>8</v>
      </c>
      <c r="K70" t="str">
        <f t="shared" ref="K70:K133" si="3">IF(D70&lt;500000,"Budget",IF(D70&lt;=1000000,"Mid Range","Premium"))</f>
        <v>Mid Range</v>
      </c>
    </row>
    <row r="71" spans="2:11" x14ac:dyDescent="0.25">
      <c r="B71" t="s">
        <v>79</v>
      </c>
      <c r="C71">
        <v>2007</v>
      </c>
      <c r="D71" s="1">
        <v>200000</v>
      </c>
      <c r="E71">
        <v>54000</v>
      </c>
      <c r="F71" t="s">
        <v>9</v>
      </c>
      <c r="G71" t="s">
        <v>10</v>
      </c>
      <c r="H71" t="s">
        <v>28</v>
      </c>
      <c r="I71" t="s">
        <v>18</v>
      </c>
      <c r="J71">
        <f t="shared" si="2"/>
        <v>19</v>
      </c>
      <c r="K71" t="str">
        <f t="shared" si="3"/>
        <v>Budget</v>
      </c>
    </row>
    <row r="72" spans="2:11" x14ac:dyDescent="0.25">
      <c r="B72" t="s">
        <v>80</v>
      </c>
      <c r="C72">
        <v>2010</v>
      </c>
      <c r="D72" s="1">
        <v>248000</v>
      </c>
      <c r="E72">
        <v>63000</v>
      </c>
      <c r="F72" t="s">
        <v>9</v>
      </c>
      <c r="G72" t="s">
        <v>10</v>
      </c>
      <c r="H72" t="s">
        <v>11</v>
      </c>
      <c r="I72" t="s">
        <v>18</v>
      </c>
      <c r="J72">
        <f t="shared" si="2"/>
        <v>16</v>
      </c>
      <c r="K72" t="str">
        <f t="shared" si="3"/>
        <v>Budget</v>
      </c>
    </row>
    <row r="73" spans="2:11" x14ac:dyDescent="0.25">
      <c r="B73" t="s">
        <v>81</v>
      </c>
      <c r="C73">
        <v>2014</v>
      </c>
      <c r="D73" s="1">
        <v>450000</v>
      </c>
      <c r="E73">
        <v>120000</v>
      </c>
      <c r="F73" t="s">
        <v>15</v>
      </c>
      <c r="G73" t="s">
        <v>10</v>
      </c>
      <c r="H73" t="s">
        <v>11</v>
      </c>
      <c r="I73" t="s">
        <v>18</v>
      </c>
      <c r="J73">
        <f t="shared" si="2"/>
        <v>12</v>
      </c>
      <c r="K73" t="str">
        <f t="shared" si="3"/>
        <v>Budget</v>
      </c>
    </row>
    <row r="74" spans="2:11" x14ac:dyDescent="0.25">
      <c r="B74" t="s">
        <v>82</v>
      </c>
      <c r="C74">
        <v>2005</v>
      </c>
      <c r="D74" s="1">
        <v>80000</v>
      </c>
      <c r="E74">
        <v>120000</v>
      </c>
      <c r="F74" t="s">
        <v>9</v>
      </c>
      <c r="G74" t="s">
        <v>10</v>
      </c>
      <c r="H74" t="s">
        <v>11</v>
      </c>
      <c r="I74" t="s">
        <v>49</v>
      </c>
      <c r="J74">
        <f t="shared" si="2"/>
        <v>21</v>
      </c>
      <c r="K74" t="str">
        <f t="shared" si="3"/>
        <v>Budget</v>
      </c>
    </row>
    <row r="75" spans="2:11" x14ac:dyDescent="0.25">
      <c r="B75" t="s">
        <v>83</v>
      </c>
      <c r="C75">
        <v>2014</v>
      </c>
      <c r="D75" s="1">
        <v>650000</v>
      </c>
      <c r="E75">
        <v>76000</v>
      </c>
      <c r="F75" t="s">
        <v>9</v>
      </c>
      <c r="G75" t="s">
        <v>10</v>
      </c>
      <c r="H75" t="s">
        <v>11</v>
      </c>
      <c r="I75" t="s">
        <v>18</v>
      </c>
      <c r="J75">
        <f t="shared" si="2"/>
        <v>12</v>
      </c>
      <c r="K75" t="str">
        <f t="shared" si="3"/>
        <v>Mid Range</v>
      </c>
    </row>
    <row r="76" spans="2:11" x14ac:dyDescent="0.25">
      <c r="B76" t="s">
        <v>84</v>
      </c>
      <c r="C76">
        <v>2015</v>
      </c>
      <c r="D76" s="1">
        <v>450000</v>
      </c>
      <c r="E76">
        <v>80000</v>
      </c>
      <c r="F76" t="s">
        <v>15</v>
      </c>
      <c r="G76" t="s">
        <v>10</v>
      </c>
      <c r="H76" t="s">
        <v>11</v>
      </c>
      <c r="I76" t="s">
        <v>12</v>
      </c>
      <c r="J76">
        <f t="shared" si="2"/>
        <v>11</v>
      </c>
      <c r="K76" t="str">
        <f t="shared" si="3"/>
        <v>Budget</v>
      </c>
    </row>
    <row r="77" spans="2:11" x14ac:dyDescent="0.25">
      <c r="B77" t="s">
        <v>85</v>
      </c>
      <c r="C77">
        <v>2019</v>
      </c>
      <c r="D77" s="1">
        <v>650000</v>
      </c>
      <c r="E77">
        <v>25000</v>
      </c>
      <c r="F77" t="s">
        <v>15</v>
      </c>
      <c r="G77" t="s">
        <v>10</v>
      </c>
      <c r="H77" t="s">
        <v>11</v>
      </c>
      <c r="I77" t="s">
        <v>12</v>
      </c>
      <c r="J77">
        <f t="shared" si="2"/>
        <v>7</v>
      </c>
      <c r="K77" t="str">
        <f t="shared" si="3"/>
        <v>Mid Range</v>
      </c>
    </row>
    <row r="78" spans="2:11" x14ac:dyDescent="0.25">
      <c r="B78" t="s">
        <v>86</v>
      </c>
      <c r="C78">
        <v>2016</v>
      </c>
      <c r="D78" s="1">
        <v>495000</v>
      </c>
      <c r="E78">
        <v>11958</v>
      </c>
      <c r="F78" t="s">
        <v>9</v>
      </c>
      <c r="G78" t="s">
        <v>27</v>
      </c>
      <c r="H78" t="s">
        <v>11</v>
      </c>
      <c r="I78" t="s">
        <v>12</v>
      </c>
      <c r="J78">
        <f t="shared" si="2"/>
        <v>10</v>
      </c>
      <c r="K78" t="str">
        <f t="shared" si="3"/>
        <v>Budget</v>
      </c>
    </row>
    <row r="79" spans="2:11" x14ac:dyDescent="0.25">
      <c r="B79" t="s">
        <v>87</v>
      </c>
      <c r="C79">
        <v>2015</v>
      </c>
      <c r="D79" s="1">
        <v>371000</v>
      </c>
      <c r="E79">
        <v>20000</v>
      </c>
      <c r="F79" t="s">
        <v>9</v>
      </c>
      <c r="G79" t="s">
        <v>27</v>
      </c>
      <c r="H79" t="s">
        <v>11</v>
      </c>
      <c r="I79" t="s">
        <v>12</v>
      </c>
      <c r="J79">
        <f t="shared" si="2"/>
        <v>11</v>
      </c>
      <c r="K79" t="str">
        <f t="shared" si="3"/>
        <v>Budget</v>
      </c>
    </row>
    <row r="80" spans="2:11" x14ac:dyDescent="0.25">
      <c r="B80" t="s">
        <v>88</v>
      </c>
      <c r="C80">
        <v>2017</v>
      </c>
      <c r="D80" s="1">
        <v>1025000</v>
      </c>
      <c r="E80">
        <v>9000</v>
      </c>
      <c r="F80" t="s">
        <v>9</v>
      </c>
      <c r="G80" t="s">
        <v>27</v>
      </c>
      <c r="H80" t="s">
        <v>11</v>
      </c>
      <c r="I80" t="s">
        <v>12</v>
      </c>
      <c r="J80">
        <f t="shared" si="2"/>
        <v>9</v>
      </c>
      <c r="K80" t="str">
        <f t="shared" si="3"/>
        <v>Premium</v>
      </c>
    </row>
    <row r="81" spans="2:11" x14ac:dyDescent="0.25">
      <c r="B81" t="s">
        <v>89</v>
      </c>
      <c r="C81">
        <v>2017</v>
      </c>
      <c r="D81" s="1">
        <v>8150000</v>
      </c>
      <c r="E81">
        <v>6500</v>
      </c>
      <c r="F81" t="s">
        <v>15</v>
      </c>
      <c r="G81" t="s">
        <v>27</v>
      </c>
      <c r="H81" t="s">
        <v>28</v>
      </c>
      <c r="I81" t="s">
        <v>12</v>
      </c>
      <c r="J81">
        <f t="shared" si="2"/>
        <v>9</v>
      </c>
      <c r="K81" t="str">
        <f t="shared" si="3"/>
        <v>Premium</v>
      </c>
    </row>
    <row r="82" spans="2:11" x14ac:dyDescent="0.25">
      <c r="B82" t="s">
        <v>90</v>
      </c>
      <c r="C82">
        <v>2015</v>
      </c>
      <c r="D82" s="1">
        <v>750000</v>
      </c>
      <c r="E82">
        <v>70000</v>
      </c>
      <c r="F82" t="s">
        <v>15</v>
      </c>
      <c r="G82" t="s">
        <v>10</v>
      </c>
      <c r="H82" t="s">
        <v>11</v>
      </c>
      <c r="I82" t="s">
        <v>12</v>
      </c>
      <c r="J82">
        <f t="shared" si="2"/>
        <v>11</v>
      </c>
      <c r="K82" t="str">
        <f t="shared" si="3"/>
        <v>Mid Range</v>
      </c>
    </row>
    <row r="83" spans="2:11" x14ac:dyDescent="0.25">
      <c r="B83" t="s">
        <v>91</v>
      </c>
      <c r="C83">
        <v>2013</v>
      </c>
      <c r="D83" s="1">
        <v>600000</v>
      </c>
      <c r="E83">
        <v>120000</v>
      </c>
      <c r="F83" t="s">
        <v>15</v>
      </c>
      <c r="G83" t="s">
        <v>10</v>
      </c>
      <c r="H83" t="s">
        <v>11</v>
      </c>
      <c r="I83" t="s">
        <v>12</v>
      </c>
      <c r="J83">
        <f t="shared" si="2"/>
        <v>13</v>
      </c>
      <c r="K83" t="str">
        <f t="shared" si="3"/>
        <v>Mid Range</v>
      </c>
    </row>
    <row r="84" spans="2:11" x14ac:dyDescent="0.25">
      <c r="B84" t="s">
        <v>92</v>
      </c>
      <c r="C84">
        <v>2007</v>
      </c>
      <c r="D84" s="1">
        <v>80000</v>
      </c>
      <c r="E84">
        <v>58000</v>
      </c>
      <c r="F84" t="s">
        <v>9</v>
      </c>
      <c r="G84" t="s">
        <v>27</v>
      </c>
      <c r="H84" t="s">
        <v>11</v>
      </c>
      <c r="I84" t="s">
        <v>18</v>
      </c>
      <c r="J84">
        <f t="shared" si="2"/>
        <v>19</v>
      </c>
      <c r="K84" t="str">
        <f t="shared" si="3"/>
        <v>Budget</v>
      </c>
    </row>
    <row r="85" spans="2:11" x14ac:dyDescent="0.25">
      <c r="B85" t="s">
        <v>93</v>
      </c>
      <c r="C85">
        <v>2013</v>
      </c>
      <c r="D85" s="1">
        <v>325000</v>
      </c>
      <c r="E85">
        <v>62200</v>
      </c>
      <c r="F85" t="s">
        <v>15</v>
      </c>
      <c r="G85" t="s">
        <v>27</v>
      </c>
      <c r="H85" t="s">
        <v>11</v>
      </c>
      <c r="I85" t="s">
        <v>12</v>
      </c>
      <c r="J85">
        <f t="shared" si="2"/>
        <v>13</v>
      </c>
      <c r="K85" t="str">
        <f t="shared" si="3"/>
        <v>Budget</v>
      </c>
    </row>
    <row r="86" spans="2:11" x14ac:dyDescent="0.25">
      <c r="B86" t="s">
        <v>94</v>
      </c>
      <c r="C86">
        <v>2014</v>
      </c>
      <c r="D86" s="1">
        <v>1470000</v>
      </c>
      <c r="E86">
        <v>34000</v>
      </c>
      <c r="F86" t="s">
        <v>15</v>
      </c>
      <c r="G86" t="s">
        <v>27</v>
      </c>
      <c r="H86" t="s">
        <v>28</v>
      </c>
      <c r="I86" t="s">
        <v>18</v>
      </c>
      <c r="J86">
        <f t="shared" si="2"/>
        <v>12</v>
      </c>
      <c r="K86" t="str">
        <f t="shared" si="3"/>
        <v>Premium</v>
      </c>
    </row>
    <row r="87" spans="2:11" x14ac:dyDescent="0.25">
      <c r="B87" t="s">
        <v>95</v>
      </c>
      <c r="C87">
        <v>2015</v>
      </c>
      <c r="D87" s="1">
        <v>350000</v>
      </c>
      <c r="E87">
        <v>53000</v>
      </c>
      <c r="F87" t="s">
        <v>15</v>
      </c>
      <c r="G87" t="s">
        <v>10</v>
      </c>
      <c r="H87" t="s">
        <v>11</v>
      </c>
      <c r="I87" t="s">
        <v>18</v>
      </c>
      <c r="J87">
        <f t="shared" si="2"/>
        <v>11</v>
      </c>
      <c r="K87" t="str">
        <f t="shared" si="3"/>
        <v>Budget</v>
      </c>
    </row>
    <row r="88" spans="2:11" x14ac:dyDescent="0.25">
      <c r="B88" t="s">
        <v>96</v>
      </c>
      <c r="C88">
        <v>2013</v>
      </c>
      <c r="D88" s="1">
        <v>2800000</v>
      </c>
      <c r="E88">
        <v>49000</v>
      </c>
      <c r="F88" t="s">
        <v>15</v>
      </c>
      <c r="G88" t="s">
        <v>27</v>
      </c>
      <c r="H88" t="s">
        <v>28</v>
      </c>
      <c r="I88" t="s">
        <v>12</v>
      </c>
      <c r="J88">
        <f t="shared" si="2"/>
        <v>13</v>
      </c>
      <c r="K88" t="str">
        <f t="shared" si="3"/>
        <v>Premium</v>
      </c>
    </row>
    <row r="89" spans="2:11" x14ac:dyDescent="0.25">
      <c r="B89" t="s">
        <v>97</v>
      </c>
      <c r="C89">
        <v>2017</v>
      </c>
      <c r="D89" s="1">
        <v>210000</v>
      </c>
      <c r="E89">
        <v>15000</v>
      </c>
      <c r="F89" t="s">
        <v>9</v>
      </c>
      <c r="G89" t="s">
        <v>27</v>
      </c>
      <c r="H89" t="s">
        <v>11</v>
      </c>
      <c r="I89" t="s">
        <v>18</v>
      </c>
      <c r="J89">
        <f t="shared" si="2"/>
        <v>9</v>
      </c>
      <c r="K89" t="str">
        <f t="shared" si="3"/>
        <v>Budget</v>
      </c>
    </row>
    <row r="90" spans="2:11" x14ac:dyDescent="0.25">
      <c r="B90" t="s">
        <v>98</v>
      </c>
      <c r="C90">
        <v>2013</v>
      </c>
      <c r="D90" s="1">
        <v>450000</v>
      </c>
      <c r="E90">
        <v>50000</v>
      </c>
      <c r="F90" t="s">
        <v>9</v>
      </c>
      <c r="G90" t="s">
        <v>10</v>
      </c>
      <c r="H90" t="s">
        <v>11</v>
      </c>
      <c r="I90" t="s">
        <v>12</v>
      </c>
      <c r="J90">
        <f t="shared" si="2"/>
        <v>13</v>
      </c>
      <c r="K90" t="str">
        <f t="shared" si="3"/>
        <v>Budget</v>
      </c>
    </row>
    <row r="91" spans="2:11" x14ac:dyDescent="0.25">
      <c r="B91" t="s">
        <v>99</v>
      </c>
      <c r="C91">
        <v>2013</v>
      </c>
      <c r="D91" s="1">
        <v>1150000</v>
      </c>
      <c r="E91">
        <v>53000</v>
      </c>
      <c r="F91" t="s">
        <v>15</v>
      </c>
      <c r="G91" t="s">
        <v>27</v>
      </c>
      <c r="H91" t="s">
        <v>28</v>
      </c>
      <c r="I91" t="s">
        <v>12</v>
      </c>
      <c r="J91">
        <f t="shared" si="2"/>
        <v>13</v>
      </c>
      <c r="K91" t="str">
        <f t="shared" si="3"/>
        <v>Premium</v>
      </c>
    </row>
    <row r="92" spans="2:11" x14ac:dyDescent="0.25">
      <c r="B92" t="s">
        <v>79</v>
      </c>
      <c r="C92">
        <v>2009</v>
      </c>
      <c r="D92" s="1">
        <v>210000</v>
      </c>
      <c r="E92">
        <v>63500</v>
      </c>
      <c r="F92" t="s">
        <v>9</v>
      </c>
      <c r="G92" t="s">
        <v>27</v>
      </c>
      <c r="H92" t="s">
        <v>28</v>
      </c>
      <c r="I92" t="s">
        <v>12</v>
      </c>
      <c r="J92">
        <f t="shared" si="2"/>
        <v>17</v>
      </c>
      <c r="K92" t="str">
        <f t="shared" si="3"/>
        <v>Budget</v>
      </c>
    </row>
    <row r="93" spans="2:11" x14ac:dyDescent="0.25">
      <c r="B93" t="s">
        <v>100</v>
      </c>
      <c r="C93">
        <v>2018</v>
      </c>
      <c r="D93" s="1">
        <v>4500000</v>
      </c>
      <c r="E93">
        <v>9800</v>
      </c>
      <c r="F93" t="s">
        <v>9</v>
      </c>
      <c r="G93" t="s">
        <v>27</v>
      </c>
      <c r="H93" t="s">
        <v>28</v>
      </c>
      <c r="I93" t="s">
        <v>12</v>
      </c>
      <c r="J93">
        <f t="shared" si="2"/>
        <v>8</v>
      </c>
      <c r="K93" t="str">
        <f t="shared" si="3"/>
        <v>Premium</v>
      </c>
    </row>
    <row r="94" spans="2:11" x14ac:dyDescent="0.25">
      <c r="B94" t="s">
        <v>101</v>
      </c>
      <c r="C94">
        <v>2017</v>
      </c>
      <c r="D94" s="1">
        <v>2750000</v>
      </c>
      <c r="E94">
        <v>13000</v>
      </c>
      <c r="F94" t="s">
        <v>15</v>
      </c>
      <c r="G94" t="s">
        <v>10</v>
      </c>
      <c r="H94" t="s">
        <v>28</v>
      </c>
      <c r="I94" t="s">
        <v>12</v>
      </c>
      <c r="J94">
        <f t="shared" si="2"/>
        <v>9</v>
      </c>
      <c r="K94" t="str">
        <f t="shared" si="3"/>
        <v>Premium</v>
      </c>
    </row>
    <row r="95" spans="2:11" x14ac:dyDescent="0.25">
      <c r="B95" t="s">
        <v>102</v>
      </c>
      <c r="C95">
        <v>2018</v>
      </c>
      <c r="D95" s="1">
        <v>1975000</v>
      </c>
      <c r="E95">
        <v>21000</v>
      </c>
      <c r="F95" t="s">
        <v>15</v>
      </c>
      <c r="G95" t="s">
        <v>27</v>
      </c>
      <c r="H95" t="s">
        <v>28</v>
      </c>
      <c r="I95" t="s">
        <v>12</v>
      </c>
      <c r="J95">
        <f t="shared" si="2"/>
        <v>8</v>
      </c>
      <c r="K95" t="str">
        <f t="shared" si="3"/>
        <v>Premium</v>
      </c>
    </row>
    <row r="96" spans="2:11" x14ac:dyDescent="0.25">
      <c r="B96" t="s">
        <v>103</v>
      </c>
      <c r="C96">
        <v>2008</v>
      </c>
      <c r="D96" s="1">
        <v>175000</v>
      </c>
      <c r="E96">
        <v>29173</v>
      </c>
      <c r="F96" t="s">
        <v>9</v>
      </c>
      <c r="G96" t="s">
        <v>27</v>
      </c>
      <c r="H96" t="s">
        <v>11</v>
      </c>
      <c r="I96" t="s">
        <v>12</v>
      </c>
      <c r="J96">
        <f t="shared" si="2"/>
        <v>18</v>
      </c>
      <c r="K96" t="str">
        <f t="shared" si="3"/>
        <v>Budget</v>
      </c>
    </row>
    <row r="97" spans="2:11" x14ac:dyDescent="0.25">
      <c r="B97" t="s">
        <v>104</v>
      </c>
      <c r="C97">
        <v>2012</v>
      </c>
      <c r="D97" s="1">
        <v>2500000</v>
      </c>
      <c r="E97">
        <v>48000</v>
      </c>
      <c r="F97" t="s">
        <v>15</v>
      </c>
      <c r="G97" t="s">
        <v>27</v>
      </c>
      <c r="H97" t="s">
        <v>28</v>
      </c>
      <c r="I97" t="s">
        <v>12</v>
      </c>
      <c r="J97">
        <f t="shared" si="2"/>
        <v>14</v>
      </c>
      <c r="K97" t="str">
        <f t="shared" si="3"/>
        <v>Premium</v>
      </c>
    </row>
    <row r="98" spans="2:11" x14ac:dyDescent="0.25">
      <c r="B98" t="s">
        <v>105</v>
      </c>
      <c r="C98">
        <v>2017</v>
      </c>
      <c r="D98" s="1">
        <v>628000</v>
      </c>
      <c r="E98">
        <v>120000</v>
      </c>
      <c r="F98" t="s">
        <v>15</v>
      </c>
      <c r="G98" t="s">
        <v>10</v>
      </c>
      <c r="H98" t="s">
        <v>11</v>
      </c>
      <c r="I98" t="s">
        <v>12</v>
      </c>
      <c r="J98">
        <f t="shared" si="2"/>
        <v>9</v>
      </c>
      <c r="K98" t="str">
        <f t="shared" si="3"/>
        <v>Mid Range</v>
      </c>
    </row>
    <row r="99" spans="2:11" x14ac:dyDescent="0.25">
      <c r="B99" t="s">
        <v>106</v>
      </c>
      <c r="C99">
        <v>2010</v>
      </c>
      <c r="D99" s="1">
        <v>600000</v>
      </c>
      <c r="E99">
        <v>100000</v>
      </c>
      <c r="F99" t="s">
        <v>15</v>
      </c>
      <c r="G99" t="s">
        <v>10</v>
      </c>
      <c r="H99" t="s">
        <v>11</v>
      </c>
      <c r="I99" t="s">
        <v>12</v>
      </c>
      <c r="J99">
        <f t="shared" si="2"/>
        <v>16</v>
      </c>
      <c r="K99" t="str">
        <f t="shared" si="3"/>
        <v>Mid Range</v>
      </c>
    </row>
    <row r="100" spans="2:11" x14ac:dyDescent="0.25">
      <c r="B100" t="s">
        <v>107</v>
      </c>
      <c r="C100">
        <v>2017</v>
      </c>
      <c r="D100" s="1">
        <v>399000</v>
      </c>
      <c r="E100">
        <v>30000</v>
      </c>
      <c r="F100" t="s">
        <v>9</v>
      </c>
      <c r="G100" t="s">
        <v>10</v>
      </c>
      <c r="H100" t="s">
        <v>11</v>
      </c>
      <c r="I100" t="s">
        <v>12</v>
      </c>
      <c r="J100">
        <f t="shared" si="2"/>
        <v>9</v>
      </c>
      <c r="K100" t="str">
        <f t="shared" si="3"/>
        <v>Budget</v>
      </c>
    </row>
    <row r="101" spans="2:11" x14ac:dyDescent="0.25">
      <c r="B101" t="s">
        <v>108</v>
      </c>
      <c r="C101">
        <v>2018</v>
      </c>
      <c r="D101" s="1">
        <v>750000</v>
      </c>
      <c r="E101">
        <v>87000</v>
      </c>
      <c r="F101" t="s">
        <v>15</v>
      </c>
      <c r="G101" t="s">
        <v>10</v>
      </c>
      <c r="H101" t="s">
        <v>11</v>
      </c>
      <c r="I101" t="s">
        <v>12</v>
      </c>
      <c r="J101">
        <f t="shared" si="2"/>
        <v>8</v>
      </c>
      <c r="K101" t="str">
        <f t="shared" si="3"/>
        <v>Mid Range</v>
      </c>
    </row>
    <row r="102" spans="2:11" x14ac:dyDescent="0.25">
      <c r="B102" t="s">
        <v>109</v>
      </c>
      <c r="C102">
        <v>2019</v>
      </c>
      <c r="D102" s="1">
        <v>750000</v>
      </c>
      <c r="E102">
        <v>15000</v>
      </c>
      <c r="F102" t="s">
        <v>9</v>
      </c>
      <c r="G102" t="s">
        <v>10</v>
      </c>
      <c r="H102" t="s">
        <v>11</v>
      </c>
      <c r="I102" t="s">
        <v>12</v>
      </c>
      <c r="J102">
        <f t="shared" si="2"/>
        <v>7</v>
      </c>
      <c r="K102" t="str">
        <f t="shared" si="3"/>
        <v>Mid Range</v>
      </c>
    </row>
    <row r="103" spans="2:11" x14ac:dyDescent="0.25">
      <c r="B103" t="s">
        <v>110</v>
      </c>
      <c r="C103">
        <v>2017</v>
      </c>
      <c r="D103" s="1">
        <v>315000</v>
      </c>
      <c r="E103">
        <v>16000</v>
      </c>
      <c r="F103" t="s">
        <v>9</v>
      </c>
      <c r="G103" t="s">
        <v>10</v>
      </c>
      <c r="H103" t="s">
        <v>11</v>
      </c>
      <c r="I103" t="s">
        <v>12</v>
      </c>
      <c r="J103">
        <f t="shared" si="2"/>
        <v>9</v>
      </c>
      <c r="K103" t="str">
        <f t="shared" si="3"/>
        <v>Budget</v>
      </c>
    </row>
    <row r="104" spans="2:11" x14ac:dyDescent="0.25">
      <c r="B104" t="s">
        <v>111</v>
      </c>
      <c r="C104">
        <v>2012</v>
      </c>
      <c r="D104" s="1">
        <v>600000</v>
      </c>
      <c r="E104">
        <v>60000</v>
      </c>
      <c r="F104" t="s">
        <v>15</v>
      </c>
      <c r="G104" t="s">
        <v>10</v>
      </c>
      <c r="H104" t="s">
        <v>11</v>
      </c>
      <c r="I104" t="s">
        <v>12</v>
      </c>
      <c r="J104">
        <f t="shared" si="2"/>
        <v>14</v>
      </c>
      <c r="K104" t="str">
        <f t="shared" si="3"/>
        <v>Mid Range</v>
      </c>
    </row>
    <row r="105" spans="2:11" x14ac:dyDescent="0.25">
      <c r="B105" t="s">
        <v>13</v>
      </c>
      <c r="C105">
        <v>2010</v>
      </c>
      <c r="D105" s="1">
        <v>100000</v>
      </c>
      <c r="E105">
        <v>60000</v>
      </c>
      <c r="F105" t="s">
        <v>9</v>
      </c>
      <c r="G105" t="s">
        <v>10</v>
      </c>
      <c r="H105" t="s">
        <v>11</v>
      </c>
      <c r="I105" t="s">
        <v>46</v>
      </c>
      <c r="J105">
        <f t="shared" si="2"/>
        <v>16</v>
      </c>
      <c r="K105" t="str">
        <f t="shared" si="3"/>
        <v>Budget</v>
      </c>
    </row>
    <row r="106" spans="2:11" x14ac:dyDescent="0.25">
      <c r="B106" t="s">
        <v>112</v>
      </c>
      <c r="C106">
        <v>2011</v>
      </c>
      <c r="D106" s="1">
        <v>250000</v>
      </c>
      <c r="E106">
        <v>110000</v>
      </c>
      <c r="F106" t="s">
        <v>9</v>
      </c>
      <c r="G106" t="s">
        <v>10</v>
      </c>
      <c r="H106" t="s">
        <v>11</v>
      </c>
      <c r="I106" t="s">
        <v>49</v>
      </c>
      <c r="J106">
        <f t="shared" si="2"/>
        <v>15</v>
      </c>
      <c r="K106" t="str">
        <f t="shared" si="3"/>
        <v>Budget</v>
      </c>
    </row>
    <row r="107" spans="2:11" x14ac:dyDescent="0.25">
      <c r="B107" t="s">
        <v>110</v>
      </c>
      <c r="C107">
        <v>2017</v>
      </c>
      <c r="D107" s="1">
        <v>350000</v>
      </c>
      <c r="E107">
        <v>25000</v>
      </c>
      <c r="F107" t="s">
        <v>9</v>
      </c>
      <c r="G107" t="s">
        <v>10</v>
      </c>
      <c r="H107" t="s">
        <v>11</v>
      </c>
      <c r="I107" t="s">
        <v>12</v>
      </c>
      <c r="J107">
        <f t="shared" si="2"/>
        <v>9</v>
      </c>
      <c r="K107" t="str">
        <f t="shared" si="3"/>
        <v>Budget</v>
      </c>
    </row>
    <row r="108" spans="2:11" x14ac:dyDescent="0.25">
      <c r="B108" t="s">
        <v>113</v>
      </c>
      <c r="C108">
        <v>2016</v>
      </c>
      <c r="D108" s="1">
        <v>780000</v>
      </c>
      <c r="E108">
        <v>60000</v>
      </c>
      <c r="F108" t="s">
        <v>15</v>
      </c>
      <c r="G108" t="s">
        <v>10</v>
      </c>
      <c r="H108" t="s">
        <v>11</v>
      </c>
      <c r="I108" t="s">
        <v>12</v>
      </c>
      <c r="J108">
        <f t="shared" si="2"/>
        <v>10</v>
      </c>
      <c r="K108" t="str">
        <f t="shared" si="3"/>
        <v>Mid Range</v>
      </c>
    </row>
    <row r="109" spans="2:11" x14ac:dyDescent="0.25">
      <c r="B109" t="s">
        <v>114</v>
      </c>
      <c r="C109">
        <v>2014</v>
      </c>
      <c r="D109" s="1">
        <v>434000</v>
      </c>
      <c r="E109">
        <v>79350</v>
      </c>
      <c r="F109" t="s">
        <v>15</v>
      </c>
      <c r="G109" t="s">
        <v>10</v>
      </c>
      <c r="H109" t="s">
        <v>11</v>
      </c>
      <c r="I109" t="s">
        <v>18</v>
      </c>
      <c r="J109">
        <f t="shared" si="2"/>
        <v>12</v>
      </c>
      <c r="K109" t="str">
        <f t="shared" si="3"/>
        <v>Budget</v>
      </c>
    </row>
    <row r="110" spans="2:11" x14ac:dyDescent="0.25">
      <c r="B110" t="s">
        <v>115</v>
      </c>
      <c r="C110">
        <v>2016</v>
      </c>
      <c r="D110" s="1">
        <v>690000</v>
      </c>
      <c r="E110">
        <v>80000</v>
      </c>
      <c r="F110" t="s">
        <v>9</v>
      </c>
      <c r="G110" t="s">
        <v>10</v>
      </c>
      <c r="H110" t="s">
        <v>28</v>
      </c>
      <c r="I110" t="s">
        <v>12</v>
      </c>
      <c r="J110">
        <f t="shared" si="2"/>
        <v>10</v>
      </c>
      <c r="K110" t="str">
        <f t="shared" si="3"/>
        <v>Mid Range</v>
      </c>
    </row>
    <row r="111" spans="2:11" x14ac:dyDescent="0.25">
      <c r="B111" t="s">
        <v>116</v>
      </c>
      <c r="C111">
        <v>2014</v>
      </c>
      <c r="D111" s="1">
        <v>555000</v>
      </c>
      <c r="E111">
        <v>90000</v>
      </c>
      <c r="F111" t="s">
        <v>15</v>
      </c>
      <c r="G111" t="s">
        <v>10</v>
      </c>
      <c r="H111" t="s">
        <v>11</v>
      </c>
      <c r="I111" t="s">
        <v>18</v>
      </c>
      <c r="J111">
        <f t="shared" si="2"/>
        <v>12</v>
      </c>
      <c r="K111" t="str">
        <f t="shared" si="3"/>
        <v>Mid Range</v>
      </c>
    </row>
    <row r="112" spans="2:11" x14ac:dyDescent="0.25">
      <c r="B112" t="s">
        <v>117</v>
      </c>
      <c r="C112">
        <v>2007</v>
      </c>
      <c r="D112" s="1">
        <v>120000</v>
      </c>
      <c r="E112">
        <v>90000</v>
      </c>
      <c r="F112" t="s">
        <v>9</v>
      </c>
      <c r="G112" t="s">
        <v>10</v>
      </c>
      <c r="H112" t="s">
        <v>11</v>
      </c>
      <c r="I112" t="s">
        <v>18</v>
      </c>
      <c r="J112">
        <f t="shared" si="2"/>
        <v>19</v>
      </c>
      <c r="K112" t="str">
        <f t="shared" si="3"/>
        <v>Budget</v>
      </c>
    </row>
    <row r="113" spans="2:11" x14ac:dyDescent="0.25">
      <c r="B113" t="s">
        <v>118</v>
      </c>
      <c r="C113">
        <v>2014</v>
      </c>
      <c r="D113" s="1">
        <v>500000</v>
      </c>
      <c r="E113">
        <v>120000</v>
      </c>
      <c r="F113" t="s">
        <v>15</v>
      </c>
      <c r="G113" t="s">
        <v>10</v>
      </c>
      <c r="H113" t="s">
        <v>11</v>
      </c>
      <c r="I113" t="s">
        <v>18</v>
      </c>
      <c r="J113">
        <f t="shared" si="2"/>
        <v>12</v>
      </c>
      <c r="K113" t="str">
        <f t="shared" si="3"/>
        <v>Mid Range</v>
      </c>
    </row>
    <row r="114" spans="2:11" x14ac:dyDescent="0.25">
      <c r="B114" t="s">
        <v>119</v>
      </c>
      <c r="C114">
        <v>2013</v>
      </c>
      <c r="D114" s="1">
        <v>165000</v>
      </c>
      <c r="E114">
        <v>60000</v>
      </c>
      <c r="F114" t="s">
        <v>15</v>
      </c>
      <c r="G114" t="s">
        <v>10</v>
      </c>
      <c r="H114" t="s">
        <v>11</v>
      </c>
      <c r="I114" t="s">
        <v>18</v>
      </c>
      <c r="J114">
        <f t="shared" si="2"/>
        <v>13</v>
      </c>
      <c r="K114" t="str">
        <f t="shared" si="3"/>
        <v>Budget</v>
      </c>
    </row>
    <row r="115" spans="2:11" x14ac:dyDescent="0.25">
      <c r="B115" t="s">
        <v>120</v>
      </c>
      <c r="C115">
        <v>2004</v>
      </c>
      <c r="D115" s="1">
        <v>95000</v>
      </c>
      <c r="E115">
        <v>50000</v>
      </c>
      <c r="F115" t="s">
        <v>9</v>
      </c>
      <c r="G115" t="s">
        <v>10</v>
      </c>
      <c r="H115" t="s">
        <v>11</v>
      </c>
      <c r="I115" t="s">
        <v>12</v>
      </c>
      <c r="J115">
        <f t="shared" si="2"/>
        <v>22</v>
      </c>
      <c r="K115" t="str">
        <f t="shared" si="3"/>
        <v>Budget</v>
      </c>
    </row>
    <row r="116" spans="2:11" x14ac:dyDescent="0.25">
      <c r="B116" t="s">
        <v>121</v>
      </c>
      <c r="C116">
        <v>2018</v>
      </c>
      <c r="D116" s="1">
        <v>550000</v>
      </c>
      <c r="E116">
        <v>20000</v>
      </c>
      <c r="F116" t="s">
        <v>9</v>
      </c>
      <c r="G116" t="s">
        <v>10</v>
      </c>
      <c r="H116" t="s">
        <v>11</v>
      </c>
      <c r="I116" t="s">
        <v>12</v>
      </c>
      <c r="J116">
        <f t="shared" si="2"/>
        <v>8</v>
      </c>
      <c r="K116" t="str">
        <f t="shared" si="3"/>
        <v>Mid Range</v>
      </c>
    </row>
    <row r="117" spans="2:11" x14ac:dyDescent="0.25">
      <c r="B117" t="s">
        <v>122</v>
      </c>
      <c r="C117">
        <v>2007</v>
      </c>
      <c r="D117" s="1">
        <v>100000</v>
      </c>
      <c r="E117">
        <v>110000</v>
      </c>
      <c r="F117" t="s">
        <v>15</v>
      </c>
      <c r="G117" t="s">
        <v>10</v>
      </c>
      <c r="H117" t="s">
        <v>11</v>
      </c>
      <c r="I117" t="s">
        <v>46</v>
      </c>
      <c r="J117">
        <f t="shared" si="2"/>
        <v>19</v>
      </c>
      <c r="K117" t="str">
        <f t="shared" si="3"/>
        <v>Budget</v>
      </c>
    </row>
    <row r="118" spans="2:11" x14ac:dyDescent="0.25">
      <c r="B118" t="s">
        <v>123</v>
      </c>
      <c r="C118">
        <v>2012</v>
      </c>
      <c r="D118" s="1">
        <v>100000</v>
      </c>
      <c r="E118">
        <v>50000</v>
      </c>
      <c r="F118" t="s">
        <v>9</v>
      </c>
      <c r="G118" t="s">
        <v>10</v>
      </c>
      <c r="H118" t="s">
        <v>11</v>
      </c>
      <c r="I118" t="s">
        <v>18</v>
      </c>
      <c r="J118">
        <f t="shared" si="2"/>
        <v>14</v>
      </c>
      <c r="K118" t="str">
        <f t="shared" si="3"/>
        <v>Budget</v>
      </c>
    </row>
    <row r="119" spans="2:11" x14ac:dyDescent="0.25">
      <c r="B119" t="s">
        <v>124</v>
      </c>
      <c r="C119">
        <v>2012</v>
      </c>
      <c r="D119" s="1">
        <v>500000</v>
      </c>
      <c r="E119">
        <v>100000</v>
      </c>
      <c r="F119" t="s">
        <v>15</v>
      </c>
      <c r="G119" t="s">
        <v>10</v>
      </c>
      <c r="H119" t="s">
        <v>11</v>
      </c>
      <c r="I119" t="s">
        <v>12</v>
      </c>
      <c r="J119">
        <f t="shared" si="2"/>
        <v>14</v>
      </c>
      <c r="K119" t="str">
        <f t="shared" si="3"/>
        <v>Mid Range</v>
      </c>
    </row>
    <row r="120" spans="2:11" x14ac:dyDescent="0.25">
      <c r="B120" t="s">
        <v>125</v>
      </c>
      <c r="C120">
        <v>2016</v>
      </c>
      <c r="D120" s="1">
        <v>800000</v>
      </c>
      <c r="E120">
        <v>70000</v>
      </c>
      <c r="F120" t="s">
        <v>15</v>
      </c>
      <c r="G120" t="s">
        <v>10</v>
      </c>
      <c r="H120" t="s">
        <v>11</v>
      </c>
      <c r="I120" t="s">
        <v>18</v>
      </c>
      <c r="J120">
        <f t="shared" si="2"/>
        <v>10</v>
      </c>
      <c r="K120" t="str">
        <f t="shared" si="3"/>
        <v>Mid Range</v>
      </c>
    </row>
    <row r="121" spans="2:11" x14ac:dyDescent="0.25">
      <c r="B121" t="s">
        <v>126</v>
      </c>
      <c r="C121">
        <v>2016</v>
      </c>
      <c r="D121" s="1">
        <v>840000</v>
      </c>
      <c r="E121">
        <v>70000</v>
      </c>
      <c r="F121" t="s">
        <v>15</v>
      </c>
      <c r="G121" t="s">
        <v>10</v>
      </c>
      <c r="H121" t="s">
        <v>11</v>
      </c>
      <c r="I121" t="s">
        <v>18</v>
      </c>
      <c r="J121">
        <f t="shared" si="2"/>
        <v>10</v>
      </c>
      <c r="K121" t="str">
        <f t="shared" si="3"/>
        <v>Mid Range</v>
      </c>
    </row>
    <row r="122" spans="2:11" x14ac:dyDescent="0.25">
      <c r="B122" t="s">
        <v>127</v>
      </c>
      <c r="C122">
        <v>2016</v>
      </c>
      <c r="D122" s="1">
        <v>490000</v>
      </c>
      <c r="E122">
        <v>50000</v>
      </c>
      <c r="F122" t="s">
        <v>9</v>
      </c>
      <c r="G122" t="s">
        <v>10</v>
      </c>
      <c r="H122" t="s">
        <v>11</v>
      </c>
      <c r="I122" t="s">
        <v>12</v>
      </c>
      <c r="J122">
        <f t="shared" si="2"/>
        <v>10</v>
      </c>
      <c r="K122" t="str">
        <f t="shared" si="3"/>
        <v>Budget</v>
      </c>
    </row>
    <row r="123" spans="2:11" x14ac:dyDescent="0.25">
      <c r="B123" t="s">
        <v>128</v>
      </c>
      <c r="C123">
        <v>2010</v>
      </c>
      <c r="D123" s="1">
        <v>125000</v>
      </c>
      <c r="E123">
        <v>81000</v>
      </c>
      <c r="F123" t="s">
        <v>15</v>
      </c>
      <c r="G123" t="s">
        <v>10</v>
      </c>
      <c r="H123" t="s">
        <v>11</v>
      </c>
      <c r="I123" t="s">
        <v>18</v>
      </c>
      <c r="J123">
        <f t="shared" si="2"/>
        <v>16</v>
      </c>
      <c r="K123" t="str">
        <f t="shared" si="3"/>
        <v>Budget</v>
      </c>
    </row>
    <row r="124" spans="2:11" x14ac:dyDescent="0.25">
      <c r="B124" t="s">
        <v>129</v>
      </c>
      <c r="C124">
        <v>2012</v>
      </c>
      <c r="D124" s="1">
        <v>400000</v>
      </c>
      <c r="E124">
        <v>120000</v>
      </c>
      <c r="F124" t="s">
        <v>15</v>
      </c>
      <c r="G124" t="s">
        <v>10</v>
      </c>
      <c r="H124" t="s">
        <v>11</v>
      </c>
      <c r="I124" t="s">
        <v>49</v>
      </c>
      <c r="J124">
        <f t="shared" si="2"/>
        <v>14</v>
      </c>
      <c r="K124" t="str">
        <f t="shared" si="3"/>
        <v>Budget</v>
      </c>
    </row>
    <row r="125" spans="2:11" x14ac:dyDescent="0.25">
      <c r="B125" t="s">
        <v>130</v>
      </c>
      <c r="C125">
        <v>2015</v>
      </c>
      <c r="D125" s="1">
        <v>1000000</v>
      </c>
      <c r="E125">
        <v>3600</v>
      </c>
      <c r="F125" t="s">
        <v>15</v>
      </c>
      <c r="G125" t="s">
        <v>27</v>
      </c>
      <c r="H125" t="s">
        <v>11</v>
      </c>
      <c r="I125" t="s">
        <v>12</v>
      </c>
      <c r="J125">
        <f t="shared" si="2"/>
        <v>11</v>
      </c>
      <c r="K125" t="str">
        <f t="shared" si="3"/>
        <v>Mid Range</v>
      </c>
    </row>
    <row r="126" spans="2:11" x14ac:dyDescent="0.25">
      <c r="B126" t="s">
        <v>131</v>
      </c>
      <c r="C126">
        <v>2015</v>
      </c>
      <c r="D126" s="1">
        <v>530000</v>
      </c>
      <c r="E126">
        <v>14272</v>
      </c>
      <c r="F126" t="s">
        <v>9</v>
      </c>
      <c r="G126" t="s">
        <v>27</v>
      </c>
      <c r="H126" t="s">
        <v>11</v>
      </c>
      <c r="I126" t="s">
        <v>12</v>
      </c>
      <c r="J126">
        <f t="shared" si="2"/>
        <v>11</v>
      </c>
      <c r="K126" t="str">
        <f t="shared" si="3"/>
        <v>Mid Range</v>
      </c>
    </row>
    <row r="127" spans="2:11" x14ac:dyDescent="0.25">
      <c r="B127" t="s">
        <v>132</v>
      </c>
      <c r="C127">
        <v>2017</v>
      </c>
      <c r="D127" s="1">
        <v>840000</v>
      </c>
      <c r="E127">
        <v>49213</v>
      </c>
      <c r="F127" t="s">
        <v>15</v>
      </c>
      <c r="G127" t="s">
        <v>27</v>
      </c>
      <c r="H127" t="s">
        <v>11</v>
      </c>
      <c r="I127" t="s">
        <v>12</v>
      </c>
      <c r="J127">
        <f t="shared" si="2"/>
        <v>9</v>
      </c>
      <c r="K127" t="str">
        <f t="shared" si="3"/>
        <v>Mid Range</v>
      </c>
    </row>
    <row r="128" spans="2:11" x14ac:dyDescent="0.25">
      <c r="B128" t="s">
        <v>133</v>
      </c>
      <c r="C128">
        <v>2015</v>
      </c>
      <c r="D128" s="1">
        <v>229999</v>
      </c>
      <c r="E128">
        <v>40000</v>
      </c>
      <c r="F128" t="s">
        <v>9</v>
      </c>
      <c r="G128" t="s">
        <v>10</v>
      </c>
      <c r="H128" t="s">
        <v>11</v>
      </c>
      <c r="I128" t="s">
        <v>12</v>
      </c>
      <c r="J128">
        <f t="shared" si="2"/>
        <v>11</v>
      </c>
      <c r="K128" t="str">
        <f t="shared" si="3"/>
        <v>Budget</v>
      </c>
    </row>
    <row r="129" spans="2:11" x14ac:dyDescent="0.25">
      <c r="B129" t="s">
        <v>134</v>
      </c>
      <c r="C129">
        <v>1998</v>
      </c>
      <c r="D129" s="1">
        <v>40000</v>
      </c>
      <c r="E129">
        <v>40000</v>
      </c>
      <c r="F129" t="s">
        <v>9</v>
      </c>
      <c r="G129" t="s">
        <v>10</v>
      </c>
      <c r="H129" t="s">
        <v>11</v>
      </c>
      <c r="I129" t="s">
        <v>46</v>
      </c>
      <c r="J129">
        <f t="shared" si="2"/>
        <v>28</v>
      </c>
      <c r="K129" t="str">
        <f t="shared" si="3"/>
        <v>Budget</v>
      </c>
    </row>
    <row r="130" spans="2:11" x14ac:dyDescent="0.25">
      <c r="B130" t="s">
        <v>135</v>
      </c>
      <c r="C130">
        <v>2012</v>
      </c>
      <c r="D130" s="1">
        <v>130000</v>
      </c>
      <c r="E130">
        <v>80000</v>
      </c>
      <c r="F130" t="s">
        <v>9</v>
      </c>
      <c r="G130" t="s">
        <v>10</v>
      </c>
      <c r="H130" t="s">
        <v>11</v>
      </c>
      <c r="I130" t="s">
        <v>12</v>
      </c>
      <c r="J130">
        <f t="shared" si="2"/>
        <v>14</v>
      </c>
      <c r="K130" t="str">
        <f t="shared" si="3"/>
        <v>Budget</v>
      </c>
    </row>
    <row r="131" spans="2:11" x14ac:dyDescent="0.25">
      <c r="B131" t="s">
        <v>136</v>
      </c>
      <c r="C131">
        <v>2015</v>
      </c>
      <c r="D131" s="1">
        <v>200000</v>
      </c>
      <c r="E131">
        <v>70000</v>
      </c>
      <c r="F131" t="s">
        <v>9</v>
      </c>
      <c r="G131" t="s">
        <v>10</v>
      </c>
      <c r="H131" t="s">
        <v>11</v>
      </c>
      <c r="I131" t="s">
        <v>12</v>
      </c>
      <c r="J131">
        <f t="shared" si="2"/>
        <v>11</v>
      </c>
      <c r="K131" t="str">
        <f t="shared" si="3"/>
        <v>Budget</v>
      </c>
    </row>
    <row r="132" spans="2:11" x14ac:dyDescent="0.25">
      <c r="B132" t="s">
        <v>137</v>
      </c>
      <c r="C132">
        <v>2011</v>
      </c>
      <c r="D132" s="1">
        <v>120000</v>
      </c>
      <c r="E132">
        <v>70000</v>
      </c>
      <c r="F132" t="s">
        <v>15</v>
      </c>
      <c r="G132" t="s">
        <v>10</v>
      </c>
      <c r="H132" t="s">
        <v>11</v>
      </c>
      <c r="I132" t="s">
        <v>12</v>
      </c>
      <c r="J132">
        <f t="shared" si="2"/>
        <v>15</v>
      </c>
      <c r="K132" t="str">
        <f t="shared" si="3"/>
        <v>Budget</v>
      </c>
    </row>
    <row r="133" spans="2:11" x14ac:dyDescent="0.25">
      <c r="B133" t="s">
        <v>138</v>
      </c>
      <c r="C133">
        <v>2003</v>
      </c>
      <c r="D133" s="1">
        <v>75000</v>
      </c>
      <c r="E133">
        <v>57000</v>
      </c>
      <c r="F133" t="s">
        <v>9</v>
      </c>
      <c r="G133" t="s">
        <v>10</v>
      </c>
      <c r="H133" t="s">
        <v>11</v>
      </c>
      <c r="I133" t="s">
        <v>12</v>
      </c>
      <c r="J133">
        <f t="shared" si="2"/>
        <v>23</v>
      </c>
      <c r="K133" t="str">
        <f t="shared" si="3"/>
        <v>Budget</v>
      </c>
    </row>
    <row r="134" spans="2:11" x14ac:dyDescent="0.25">
      <c r="B134" t="s">
        <v>139</v>
      </c>
      <c r="C134">
        <v>2016</v>
      </c>
      <c r="D134" s="1">
        <v>250000</v>
      </c>
      <c r="E134">
        <v>120000</v>
      </c>
      <c r="F134" t="s">
        <v>15</v>
      </c>
      <c r="G134" t="s">
        <v>10</v>
      </c>
      <c r="H134" t="s">
        <v>11</v>
      </c>
      <c r="I134" t="s">
        <v>12</v>
      </c>
      <c r="J134">
        <f t="shared" ref="J134:J197" si="4">2026 - C134</f>
        <v>10</v>
      </c>
      <c r="K134" t="str">
        <f t="shared" ref="K134:K197" si="5">IF(D134&lt;500000,"Budget",IF(D134&lt;=1000000,"Mid Range","Premium"))</f>
        <v>Budget</v>
      </c>
    </row>
    <row r="135" spans="2:11" x14ac:dyDescent="0.25">
      <c r="B135" t="s">
        <v>140</v>
      </c>
      <c r="C135">
        <v>2005</v>
      </c>
      <c r="D135" s="1">
        <v>100000</v>
      </c>
      <c r="E135">
        <v>30000</v>
      </c>
      <c r="F135" t="s">
        <v>9</v>
      </c>
      <c r="G135" t="s">
        <v>10</v>
      </c>
      <c r="H135" t="s">
        <v>11</v>
      </c>
      <c r="I135" t="s">
        <v>12</v>
      </c>
      <c r="J135">
        <f t="shared" si="4"/>
        <v>21</v>
      </c>
      <c r="K135" t="str">
        <f t="shared" si="5"/>
        <v>Budget</v>
      </c>
    </row>
    <row r="136" spans="2:11" x14ac:dyDescent="0.25">
      <c r="B136" t="s">
        <v>136</v>
      </c>
      <c r="C136">
        <v>2013</v>
      </c>
      <c r="D136" s="1">
        <v>280000</v>
      </c>
      <c r="E136">
        <v>3240</v>
      </c>
      <c r="F136" t="s">
        <v>9</v>
      </c>
      <c r="G136" t="s">
        <v>10</v>
      </c>
      <c r="H136" t="s">
        <v>11</v>
      </c>
      <c r="I136" t="s">
        <v>18</v>
      </c>
      <c r="J136">
        <f t="shared" si="4"/>
        <v>13</v>
      </c>
      <c r="K136" t="str">
        <f t="shared" si="5"/>
        <v>Budget</v>
      </c>
    </row>
    <row r="137" spans="2:11" x14ac:dyDescent="0.25">
      <c r="B137" t="s">
        <v>141</v>
      </c>
      <c r="C137">
        <v>2015</v>
      </c>
      <c r="D137" s="1">
        <v>540000</v>
      </c>
      <c r="E137">
        <v>5000</v>
      </c>
      <c r="F137" t="s">
        <v>9</v>
      </c>
      <c r="G137" t="s">
        <v>10</v>
      </c>
      <c r="H137" t="s">
        <v>11</v>
      </c>
      <c r="I137" t="s">
        <v>12</v>
      </c>
      <c r="J137">
        <f t="shared" si="4"/>
        <v>11</v>
      </c>
      <c r="K137" t="str">
        <f t="shared" si="5"/>
        <v>Mid Range</v>
      </c>
    </row>
    <row r="138" spans="2:11" x14ac:dyDescent="0.25">
      <c r="B138" t="s">
        <v>142</v>
      </c>
      <c r="C138">
        <v>2018</v>
      </c>
      <c r="D138" s="1">
        <v>700000</v>
      </c>
      <c r="E138">
        <v>10000</v>
      </c>
      <c r="F138" t="s">
        <v>9</v>
      </c>
      <c r="G138" t="s">
        <v>10</v>
      </c>
      <c r="H138" t="s">
        <v>11</v>
      </c>
      <c r="I138" t="s">
        <v>12</v>
      </c>
      <c r="J138">
        <f t="shared" si="4"/>
        <v>8</v>
      </c>
      <c r="K138" t="str">
        <f t="shared" si="5"/>
        <v>Mid Range</v>
      </c>
    </row>
    <row r="139" spans="2:11" x14ac:dyDescent="0.25">
      <c r="B139" t="s">
        <v>143</v>
      </c>
      <c r="C139">
        <v>2015</v>
      </c>
      <c r="D139" s="1">
        <v>525000</v>
      </c>
      <c r="E139">
        <v>100000</v>
      </c>
      <c r="F139" t="s">
        <v>15</v>
      </c>
      <c r="G139" t="s">
        <v>10</v>
      </c>
      <c r="H139" t="s">
        <v>11</v>
      </c>
      <c r="I139" t="s">
        <v>12</v>
      </c>
      <c r="J139">
        <f t="shared" si="4"/>
        <v>11</v>
      </c>
      <c r="K139" t="str">
        <f t="shared" si="5"/>
        <v>Mid Range</v>
      </c>
    </row>
    <row r="140" spans="2:11" x14ac:dyDescent="0.25">
      <c r="B140" t="s">
        <v>144</v>
      </c>
      <c r="C140">
        <v>2016</v>
      </c>
      <c r="D140" s="1">
        <v>430000</v>
      </c>
      <c r="E140">
        <v>80000</v>
      </c>
      <c r="F140" t="s">
        <v>15</v>
      </c>
      <c r="G140" t="s">
        <v>10</v>
      </c>
      <c r="H140" t="s">
        <v>11</v>
      </c>
      <c r="I140" t="s">
        <v>12</v>
      </c>
      <c r="J140">
        <f t="shared" si="4"/>
        <v>10</v>
      </c>
      <c r="K140" t="str">
        <f t="shared" si="5"/>
        <v>Budget</v>
      </c>
    </row>
    <row r="141" spans="2:11" x14ac:dyDescent="0.25">
      <c r="B141" t="s">
        <v>145</v>
      </c>
      <c r="C141">
        <v>2002</v>
      </c>
      <c r="D141" s="1">
        <v>65000</v>
      </c>
      <c r="E141">
        <v>70000</v>
      </c>
      <c r="F141" t="s">
        <v>9</v>
      </c>
      <c r="G141" t="s">
        <v>10</v>
      </c>
      <c r="H141" t="s">
        <v>11</v>
      </c>
      <c r="I141" t="s">
        <v>12</v>
      </c>
      <c r="J141">
        <f t="shared" si="4"/>
        <v>24</v>
      </c>
      <c r="K141" t="str">
        <f t="shared" si="5"/>
        <v>Budget</v>
      </c>
    </row>
    <row r="142" spans="2:11" x14ac:dyDescent="0.25">
      <c r="B142" t="s">
        <v>146</v>
      </c>
      <c r="C142">
        <v>2018</v>
      </c>
      <c r="D142" s="1">
        <v>800000</v>
      </c>
      <c r="E142">
        <v>35000</v>
      </c>
      <c r="F142" t="s">
        <v>15</v>
      </c>
      <c r="G142" t="s">
        <v>10</v>
      </c>
      <c r="H142" t="s">
        <v>11</v>
      </c>
      <c r="I142" t="s">
        <v>12</v>
      </c>
      <c r="J142">
        <f t="shared" si="4"/>
        <v>8</v>
      </c>
      <c r="K142" t="str">
        <f t="shared" si="5"/>
        <v>Mid Range</v>
      </c>
    </row>
    <row r="143" spans="2:11" x14ac:dyDescent="0.25">
      <c r="B143" t="s">
        <v>147</v>
      </c>
      <c r="C143">
        <v>2007</v>
      </c>
      <c r="D143" s="1">
        <v>75000</v>
      </c>
      <c r="E143">
        <v>114000</v>
      </c>
      <c r="F143" t="s">
        <v>9</v>
      </c>
      <c r="G143" t="s">
        <v>10</v>
      </c>
      <c r="H143" t="s">
        <v>11</v>
      </c>
      <c r="I143" t="s">
        <v>18</v>
      </c>
      <c r="J143">
        <f t="shared" si="4"/>
        <v>19</v>
      </c>
      <c r="K143" t="str">
        <f t="shared" si="5"/>
        <v>Budget</v>
      </c>
    </row>
    <row r="144" spans="2:11" x14ac:dyDescent="0.25">
      <c r="B144" t="s">
        <v>148</v>
      </c>
      <c r="C144">
        <v>2008</v>
      </c>
      <c r="D144" s="1">
        <v>210000</v>
      </c>
      <c r="E144">
        <v>53772</v>
      </c>
      <c r="F144" t="s">
        <v>9</v>
      </c>
      <c r="G144" t="s">
        <v>10</v>
      </c>
      <c r="H144" t="s">
        <v>11</v>
      </c>
      <c r="I144" t="s">
        <v>12</v>
      </c>
      <c r="J144">
        <f t="shared" si="4"/>
        <v>18</v>
      </c>
      <c r="K144" t="str">
        <f t="shared" si="5"/>
        <v>Budget</v>
      </c>
    </row>
    <row r="145" spans="2:11" x14ac:dyDescent="0.25">
      <c r="B145" t="s">
        <v>149</v>
      </c>
      <c r="C145">
        <v>2012</v>
      </c>
      <c r="D145" s="1">
        <v>195000</v>
      </c>
      <c r="E145">
        <v>140000</v>
      </c>
      <c r="F145" t="s">
        <v>15</v>
      </c>
      <c r="G145" t="s">
        <v>10</v>
      </c>
      <c r="H145" t="s">
        <v>11</v>
      </c>
      <c r="I145" t="s">
        <v>18</v>
      </c>
      <c r="J145">
        <f t="shared" si="4"/>
        <v>14</v>
      </c>
      <c r="K145" t="str">
        <f t="shared" si="5"/>
        <v>Budget</v>
      </c>
    </row>
    <row r="146" spans="2:11" x14ac:dyDescent="0.25">
      <c r="B146" t="s">
        <v>150</v>
      </c>
      <c r="C146">
        <v>2015</v>
      </c>
      <c r="D146" s="1">
        <v>400000</v>
      </c>
      <c r="E146">
        <v>120000</v>
      </c>
      <c r="F146" t="s">
        <v>15</v>
      </c>
      <c r="G146" t="s">
        <v>10</v>
      </c>
      <c r="H146" t="s">
        <v>11</v>
      </c>
      <c r="I146" t="s">
        <v>12</v>
      </c>
      <c r="J146">
        <f t="shared" si="4"/>
        <v>11</v>
      </c>
      <c r="K146" t="str">
        <f t="shared" si="5"/>
        <v>Budget</v>
      </c>
    </row>
    <row r="147" spans="2:11" x14ac:dyDescent="0.25">
      <c r="B147" t="s">
        <v>68</v>
      </c>
      <c r="C147">
        <v>2012</v>
      </c>
      <c r="D147" s="1">
        <v>170000</v>
      </c>
      <c r="E147">
        <v>60000</v>
      </c>
      <c r="F147" t="s">
        <v>9</v>
      </c>
      <c r="G147" t="s">
        <v>10</v>
      </c>
      <c r="H147" t="s">
        <v>11</v>
      </c>
      <c r="I147" t="s">
        <v>12</v>
      </c>
      <c r="J147">
        <f t="shared" si="4"/>
        <v>14</v>
      </c>
      <c r="K147" t="str">
        <f t="shared" si="5"/>
        <v>Budget</v>
      </c>
    </row>
    <row r="148" spans="2:11" x14ac:dyDescent="0.25">
      <c r="B148" t="s">
        <v>110</v>
      </c>
      <c r="C148">
        <v>2016</v>
      </c>
      <c r="D148" s="1">
        <v>225000</v>
      </c>
      <c r="E148">
        <v>25000</v>
      </c>
      <c r="F148" t="s">
        <v>9</v>
      </c>
      <c r="G148" t="s">
        <v>10</v>
      </c>
      <c r="H148" t="s">
        <v>11</v>
      </c>
      <c r="I148" t="s">
        <v>12</v>
      </c>
      <c r="J148">
        <f t="shared" si="4"/>
        <v>10</v>
      </c>
      <c r="K148" t="str">
        <f t="shared" si="5"/>
        <v>Budget</v>
      </c>
    </row>
    <row r="149" spans="2:11" x14ac:dyDescent="0.25">
      <c r="B149" t="s">
        <v>151</v>
      </c>
      <c r="C149">
        <v>2014</v>
      </c>
      <c r="D149" s="1">
        <v>210000</v>
      </c>
      <c r="E149">
        <v>90000</v>
      </c>
      <c r="F149" t="s">
        <v>152</v>
      </c>
      <c r="G149" t="s">
        <v>10</v>
      </c>
      <c r="H149" t="s">
        <v>11</v>
      </c>
      <c r="I149" t="s">
        <v>12</v>
      </c>
      <c r="J149">
        <f t="shared" si="4"/>
        <v>12</v>
      </c>
      <c r="K149" t="str">
        <f t="shared" si="5"/>
        <v>Budget</v>
      </c>
    </row>
    <row r="150" spans="2:11" x14ac:dyDescent="0.25">
      <c r="B150" t="s">
        <v>153</v>
      </c>
      <c r="C150">
        <v>2020</v>
      </c>
      <c r="D150" s="1">
        <v>240000</v>
      </c>
      <c r="E150">
        <v>120000</v>
      </c>
      <c r="F150" t="s">
        <v>9</v>
      </c>
      <c r="G150" t="s">
        <v>10</v>
      </c>
      <c r="H150" t="s">
        <v>11</v>
      </c>
      <c r="I150" t="s">
        <v>12</v>
      </c>
      <c r="J150">
        <f t="shared" si="4"/>
        <v>6</v>
      </c>
      <c r="K150" t="str">
        <f t="shared" si="5"/>
        <v>Budget</v>
      </c>
    </row>
    <row r="151" spans="2:11" x14ac:dyDescent="0.25">
      <c r="B151" t="s">
        <v>154</v>
      </c>
      <c r="C151">
        <v>2015</v>
      </c>
      <c r="D151" s="1">
        <v>300000</v>
      </c>
      <c r="E151">
        <v>175000</v>
      </c>
      <c r="F151" t="s">
        <v>15</v>
      </c>
      <c r="G151" t="s">
        <v>10</v>
      </c>
      <c r="H151" t="s">
        <v>11</v>
      </c>
      <c r="I151" t="s">
        <v>12</v>
      </c>
      <c r="J151">
        <f t="shared" si="4"/>
        <v>11</v>
      </c>
      <c r="K151" t="str">
        <f t="shared" si="5"/>
        <v>Budget</v>
      </c>
    </row>
    <row r="152" spans="2:11" x14ac:dyDescent="0.25">
      <c r="B152" t="s">
        <v>135</v>
      </c>
      <c r="C152">
        <v>2011</v>
      </c>
      <c r="D152" s="1">
        <v>99000</v>
      </c>
      <c r="E152">
        <v>100000</v>
      </c>
      <c r="F152" t="s">
        <v>9</v>
      </c>
      <c r="G152" t="s">
        <v>10</v>
      </c>
      <c r="H152" t="s">
        <v>11</v>
      </c>
      <c r="I152" t="s">
        <v>49</v>
      </c>
      <c r="J152">
        <f t="shared" si="4"/>
        <v>15</v>
      </c>
      <c r="K152" t="str">
        <f t="shared" si="5"/>
        <v>Budget</v>
      </c>
    </row>
    <row r="153" spans="2:11" x14ac:dyDescent="0.25">
      <c r="B153" t="s">
        <v>155</v>
      </c>
      <c r="C153">
        <v>2014</v>
      </c>
      <c r="D153" s="1">
        <v>620000</v>
      </c>
      <c r="E153">
        <v>36000</v>
      </c>
      <c r="F153" t="s">
        <v>9</v>
      </c>
      <c r="G153" t="s">
        <v>10</v>
      </c>
      <c r="H153" t="s">
        <v>11</v>
      </c>
      <c r="I153" t="s">
        <v>12</v>
      </c>
      <c r="J153">
        <f t="shared" si="4"/>
        <v>12</v>
      </c>
      <c r="K153" t="str">
        <f t="shared" si="5"/>
        <v>Mid Range</v>
      </c>
    </row>
    <row r="154" spans="2:11" x14ac:dyDescent="0.25">
      <c r="B154" t="s">
        <v>17</v>
      </c>
      <c r="C154">
        <v>2013</v>
      </c>
      <c r="D154" s="1">
        <v>500000</v>
      </c>
      <c r="E154">
        <v>30000</v>
      </c>
      <c r="F154" t="s">
        <v>15</v>
      </c>
      <c r="G154" t="s">
        <v>10</v>
      </c>
      <c r="H154" t="s">
        <v>11</v>
      </c>
      <c r="I154" t="s">
        <v>12</v>
      </c>
      <c r="J154">
        <f t="shared" si="4"/>
        <v>13</v>
      </c>
      <c r="K154" t="str">
        <f t="shared" si="5"/>
        <v>Mid Range</v>
      </c>
    </row>
    <row r="155" spans="2:11" x14ac:dyDescent="0.25">
      <c r="B155" t="s">
        <v>156</v>
      </c>
      <c r="C155">
        <v>2010</v>
      </c>
      <c r="D155" s="1">
        <v>2550000</v>
      </c>
      <c r="E155">
        <v>40000</v>
      </c>
      <c r="F155" t="s">
        <v>9</v>
      </c>
      <c r="G155" t="s">
        <v>10</v>
      </c>
      <c r="H155" t="s">
        <v>28</v>
      </c>
      <c r="I155" t="s">
        <v>18</v>
      </c>
      <c r="J155">
        <f t="shared" si="4"/>
        <v>16</v>
      </c>
      <c r="K155" t="str">
        <f t="shared" si="5"/>
        <v>Premium</v>
      </c>
    </row>
    <row r="156" spans="2:11" x14ac:dyDescent="0.25">
      <c r="B156" t="s">
        <v>157</v>
      </c>
      <c r="C156">
        <v>2013</v>
      </c>
      <c r="D156" s="1">
        <v>260000</v>
      </c>
      <c r="E156">
        <v>70000</v>
      </c>
      <c r="F156" t="s">
        <v>9</v>
      </c>
      <c r="G156" t="s">
        <v>10</v>
      </c>
      <c r="H156" t="s">
        <v>11</v>
      </c>
      <c r="I156" t="s">
        <v>18</v>
      </c>
      <c r="J156">
        <f t="shared" si="4"/>
        <v>13</v>
      </c>
      <c r="K156" t="str">
        <f t="shared" si="5"/>
        <v>Budget</v>
      </c>
    </row>
    <row r="157" spans="2:11" x14ac:dyDescent="0.25">
      <c r="B157" t="s">
        <v>158</v>
      </c>
      <c r="C157">
        <v>2017</v>
      </c>
      <c r="D157" s="1">
        <v>550000</v>
      </c>
      <c r="E157">
        <v>60000</v>
      </c>
      <c r="F157" t="s">
        <v>9</v>
      </c>
      <c r="G157" t="s">
        <v>10</v>
      </c>
      <c r="H157" t="s">
        <v>11</v>
      </c>
      <c r="I157" t="s">
        <v>12</v>
      </c>
      <c r="J157">
        <f t="shared" si="4"/>
        <v>9</v>
      </c>
      <c r="K157" t="str">
        <f t="shared" si="5"/>
        <v>Mid Range</v>
      </c>
    </row>
    <row r="158" spans="2:11" x14ac:dyDescent="0.25">
      <c r="B158" t="s">
        <v>159</v>
      </c>
      <c r="C158">
        <v>2011</v>
      </c>
      <c r="D158" s="1">
        <v>150000</v>
      </c>
      <c r="E158">
        <v>155500</v>
      </c>
      <c r="F158" t="s">
        <v>15</v>
      </c>
      <c r="G158" t="s">
        <v>10</v>
      </c>
      <c r="H158" t="s">
        <v>11</v>
      </c>
      <c r="I158" t="s">
        <v>12</v>
      </c>
      <c r="J158">
        <f t="shared" si="4"/>
        <v>15</v>
      </c>
      <c r="K158" t="str">
        <f t="shared" si="5"/>
        <v>Budget</v>
      </c>
    </row>
    <row r="159" spans="2:11" x14ac:dyDescent="0.25">
      <c r="B159" t="s">
        <v>160</v>
      </c>
      <c r="C159">
        <v>2011</v>
      </c>
      <c r="D159" s="1">
        <v>350000</v>
      </c>
      <c r="E159">
        <v>50000</v>
      </c>
      <c r="F159" t="s">
        <v>9</v>
      </c>
      <c r="G159" t="s">
        <v>10</v>
      </c>
      <c r="H159" t="s">
        <v>28</v>
      </c>
      <c r="I159" t="s">
        <v>18</v>
      </c>
      <c r="J159">
        <f t="shared" si="4"/>
        <v>15</v>
      </c>
      <c r="K159" t="str">
        <f t="shared" si="5"/>
        <v>Budget</v>
      </c>
    </row>
    <row r="160" spans="2:11" x14ac:dyDescent="0.25">
      <c r="B160" t="s">
        <v>161</v>
      </c>
      <c r="C160">
        <v>2016</v>
      </c>
      <c r="D160" s="1">
        <v>320000</v>
      </c>
      <c r="E160">
        <v>40000</v>
      </c>
      <c r="F160" t="s">
        <v>9</v>
      </c>
      <c r="G160" t="s">
        <v>10</v>
      </c>
      <c r="H160" t="s">
        <v>11</v>
      </c>
      <c r="I160" t="s">
        <v>12</v>
      </c>
      <c r="J160">
        <f t="shared" si="4"/>
        <v>10</v>
      </c>
      <c r="K160" t="str">
        <f t="shared" si="5"/>
        <v>Budget</v>
      </c>
    </row>
    <row r="161" spans="2:11" x14ac:dyDescent="0.25">
      <c r="B161" t="s">
        <v>162</v>
      </c>
      <c r="C161">
        <v>2015</v>
      </c>
      <c r="D161" s="1">
        <v>400000</v>
      </c>
      <c r="E161">
        <v>100000</v>
      </c>
      <c r="F161" t="s">
        <v>15</v>
      </c>
      <c r="G161" t="s">
        <v>10</v>
      </c>
      <c r="H161" t="s">
        <v>11</v>
      </c>
      <c r="I161" t="s">
        <v>49</v>
      </c>
      <c r="J161">
        <f t="shared" si="4"/>
        <v>11</v>
      </c>
      <c r="K161" t="str">
        <f t="shared" si="5"/>
        <v>Budget</v>
      </c>
    </row>
    <row r="162" spans="2:11" x14ac:dyDescent="0.25">
      <c r="B162" t="s">
        <v>58</v>
      </c>
      <c r="C162">
        <v>2012</v>
      </c>
      <c r="D162" s="1">
        <v>175000</v>
      </c>
      <c r="E162">
        <v>80000</v>
      </c>
      <c r="F162" t="s">
        <v>9</v>
      </c>
      <c r="G162" t="s">
        <v>10</v>
      </c>
      <c r="H162" t="s">
        <v>11</v>
      </c>
      <c r="I162" t="s">
        <v>49</v>
      </c>
      <c r="J162">
        <f t="shared" si="4"/>
        <v>14</v>
      </c>
      <c r="K162" t="str">
        <f t="shared" si="5"/>
        <v>Budget</v>
      </c>
    </row>
    <row r="163" spans="2:11" x14ac:dyDescent="0.25">
      <c r="B163" t="s">
        <v>161</v>
      </c>
      <c r="C163">
        <v>2011</v>
      </c>
      <c r="D163" s="1">
        <v>120000</v>
      </c>
      <c r="E163">
        <v>90000</v>
      </c>
      <c r="F163" t="s">
        <v>9</v>
      </c>
      <c r="G163" t="s">
        <v>10</v>
      </c>
      <c r="H163" t="s">
        <v>11</v>
      </c>
      <c r="I163" t="s">
        <v>18</v>
      </c>
      <c r="J163">
        <f t="shared" si="4"/>
        <v>15</v>
      </c>
      <c r="K163" t="str">
        <f t="shared" si="5"/>
        <v>Budget</v>
      </c>
    </row>
    <row r="164" spans="2:11" x14ac:dyDescent="0.25">
      <c r="B164" t="s">
        <v>163</v>
      </c>
      <c r="C164">
        <v>2013</v>
      </c>
      <c r="D164" s="1">
        <v>320000</v>
      </c>
      <c r="E164">
        <v>90000</v>
      </c>
      <c r="F164" t="s">
        <v>15</v>
      </c>
      <c r="G164" t="s">
        <v>10</v>
      </c>
      <c r="H164" t="s">
        <v>11</v>
      </c>
      <c r="I164" t="s">
        <v>18</v>
      </c>
      <c r="J164">
        <f t="shared" si="4"/>
        <v>13</v>
      </c>
      <c r="K164" t="str">
        <f t="shared" si="5"/>
        <v>Budget</v>
      </c>
    </row>
    <row r="165" spans="2:11" x14ac:dyDescent="0.25">
      <c r="B165" t="s">
        <v>164</v>
      </c>
      <c r="C165">
        <v>2006</v>
      </c>
      <c r="D165" s="1">
        <v>70000</v>
      </c>
      <c r="E165">
        <v>110000</v>
      </c>
      <c r="F165" t="s">
        <v>9</v>
      </c>
      <c r="G165" t="s">
        <v>10</v>
      </c>
      <c r="H165" t="s">
        <v>11</v>
      </c>
      <c r="I165" t="s">
        <v>49</v>
      </c>
      <c r="J165">
        <f t="shared" si="4"/>
        <v>20</v>
      </c>
      <c r="K165" t="str">
        <f t="shared" si="5"/>
        <v>Budget</v>
      </c>
    </row>
    <row r="166" spans="2:11" x14ac:dyDescent="0.25">
      <c r="B166" t="s">
        <v>165</v>
      </c>
      <c r="C166">
        <v>2019</v>
      </c>
      <c r="D166" s="1">
        <v>810000</v>
      </c>
      <c r="E166">
        <v>15000</v>
      </c>
      <c r="F166" t="s">
        <v>9</v>
      </c>
      <c r="G166" t="s">
        <v>10</v>
      </c>
      <c r="H166" t="s">
        <v>11</v>
      </c>
      <c r="I166" t="s">
        <v>12</v>
      </c>
      <c r="J166">
        <f t="shared" si="4"/>
        <v>7</v>
      </c>
      <c r="K166" t="str">
        <f t="shared" si="5"/>
        <v>Mid Range</v>
      </c>
    </row>
    <row r="167" spans="2:11" x14ac:dyDescent="0.25">
      <c r="B167" t="s">
        <v>8</v>
      </c>
      <c r="C167">
        <v>2007</v>
      </c>
      <c r="D167" s="1">
        <v>95000</v>
      </c>
      <c r="E167">
        <v>100000</v>
      </c>
      <c r="F167" t="s">
        <v>9</v>
      </c>
      <c r="G167" t="s">
        <v>10</v>
      </c>
      <c r="H167" t="s">
        <v>11</v>
      </c>
      <c r="I167" t="s">
        <v>18</v>
      </c>
      <c r="J167">
        <f t="shared" si="4"/>
        <v>19</v>
      </c>
      <c r="K167" t="str">
        <f t="shared" si="5"/>
        <v>Budget</v>
      </c>
    </row>
    <row r="168" spans="2:11" x14ac:dyDescent="0.25">
      <c r="B168" t="s">
        <v>166</v>
      </c>
      <c r="C168">
        <v>2020</v>
      </c>
      <c r="D168" s="1">
        <v>282000</v>
      </c>
      <c r="E168">
        <v>40000</v>
      </c>
      <c r="F168" t="s">
        <v>24</v>
      </c>
      <c r="G168" t="s">
        <v>10</v>
      </c>
      <c r="H168" t="s">
        <v>11</v>
      </c>
      <c r="I168" t="s">
        <v>12</v>
      </c>
      <c r="J168">
        <f t="shared" si="4"/>
        <v>6</v>
      </c>
      <c r="K168" t="str">
        <f t="shared" si="5"/>
        <v>Budget</v>
      </c>
    </row>
    <row r="169" spans="2:11" x14ac:dyDescent="0.25">
      <c r="B169" t="s">
        <v>167</v>
      </c>
      <c r="C169">
        <v>2004</v>
      </c>
      <c r="D169" s="1">
        <v>80000</v>
      </c>
      <c r="E169">
        <v>60000</v>
      </c>
      <c r="F169" t="s">
        <v>9</v>
      </c>
      <c r="G169" t="s">
        <v>10</v>
      </c>
      <c r="H169" t="s">
        <v>11</v>
      </c>
      <c r="I169" t="s">
        <v>18</v>
      </c>
      <c r="J169">
        <f t="shared" si="4"/>
        <v>22</v>
      </c>
      <c r="K169" t="str">
        <f t="shared" si="5"/>
        <v>Budget</v>
      </c>
    </row>
    <row r="170" spans="2:11" x14ac:dyDescent="0.25">
      <c r="B170" t="s">
        <v>168</v>
      </c>
      <c r="C170">
        <v>2013</v>
      </c>
      <c r="D170" s="1">
        <v>72000</v>
      </c>
      <c r="E170">
        <v>25000</v>
      </c>
      <c r="F170" t="s">
        <v>9</v>
      </c>
      <c r="G170" t="s">
        <v>10</v>
      </c>
      <c r="H170" t="s">
        <v>11</v>
      </c>
      <c r="I170" t="s">
        <v>12</v>
      </c>
      <c r="J170">
        <f t="shared" si="4"/>
        <v>13</v>
      </c>
      <c r="K170" t="str">
        <f t="shared" si="5"/>
        <v>Budget</v>
      </c>
    </row>
    <row r="171" spans="2:11" x14ac:dyDescent="0.25">
      <c r="B171" t="s">
        <v>141</v>
      </c>
      <c r="C171">
        <v>2016</v>
      </c>
      <c r="D171" s="1">
        <v>600000</v>
      </c>
      <c r="E171">
        <v>25000</v>
      </c>
      <c r="F171" t="s">
        <v>9</v>
      </c>
      <c r="G171" t="s">
        <v>10</v>
      </c>
      <c r="H171" t="s">
        <v>11</v>
      </c>
      <c r="I171" t="s">
        <v>12</v>
      </c>
      <c r="J171">
        <f t="shared" si="4"/>
        <v>10</v>
      </c>
      <c r="K171" t="str">
        <f t="shared" si="5"/>
        <v>Mid Range</v>
      </c>
    </row>
    <row r="172" spans="2:11" x14ac:dyDescent="0.25">
      <c r="B172" t="s">
        <v>169</v>
      </c>
      <c r="C172">
        <v>2015</v>
      </c>
      <c r="D172" s="1">
        <v>640000</v>
      </c>
      <c r="E172">
        <v>23000</v>
      </c>
      <c r="F172" t="s">
        <v>9</v>
      </c>
      <c r="G172" t="s">
        <v>10</v>
      </c>
      <c r="H172" t="s">
        <v>11</v>
      </c>
      <c r="I172" t="s">
        <v>12</v>
      </c>
      <c r="J172">
        <f t="shared" si="4"/>
        <v>11</v>
      </c>
      <c r="K172" t="str">
        <f t="shared" si="5"/>
        <v>Mid Range</v>
      </c>
    </row>
    <row r="173" spans="2:11" x14ac:dyDescent="0.25">
      <c r="B173" t="s">
        <v>170</v>
      </c>
      <c r="C173">
        <v>2018</v>
      </c>
      <c r="D173" s="1">
        <v>380000</v>
      </c>
      <c r="E173">
        <v>22155</v>
      </c>
      <c r="F173" t="s">
        <v>9</v>
      </c>
      <c r="G173" t="s">
        <v>10</v>
      </c>
      <c r="H173" t="s">
        <v>11</v>
      </c>
      <c r="I173" t="s">
        <v>12</v>
      </c>
      <c r="J173">
        <f t="shared" si="4"/>
        <v>8</v>
      </c>
      <c r="K173" t="str">
        <f t="shared" si="5"/>
        <v>Budget</v>
      </c>
    </row>
    <row r="174" spans="2:11" x14ac:dyDescent="0.25">
      <c r="B174" t="s">
        <v>171</v>
      </c>
      <c r="C174">
        <v>2018</v>
      </c>
      <c r="D174" s="1">
        <v>650000</v>
      </c>
      <c r="E174">
        <v>70000</v>
      </c>
      <c r="F174" t="s">
        <v>9</v>
      </c>
      <c r="G174" t="s">
        <v>10</v>
      </c>
      <c r="H174" t="s">
        <v>11</v>
      </c>
      <c r="I174" t="s">
        <v>12</v>
      </c>
      <c r="J174">
        <f t="shared" si="4"/>
        <v>8</v>
      </c>
      <c r="K174" t="str">
        <f t="shared" si="5"/>
        <v>Mid Range</v>
      </c>
    </row>
    <row r="175" spans="2:11" x14ac:dyDescent="0.25">
      <c r="B175" t="s">
        <v>172</v>
      </c>
      <c r="C175">
        <v>2009</v>
      </c>
      <c r="D175" s="1">
        <v>150000</v>
      </c>
      <c r="E175">
        <v>60000</v>
      </c>
      <c r="F175" t="s">
        <v>9</v>
      </c>
      <c r="G175" t="s">
        <v>10</v>
      </c>
      <c r="H175" t="s">
        <v>11</v>
      </c>
      <c r="I175" t="s">
        <v>18</v>
      </c>
      <c r="J175">
        <f t="shared" si="4"/>
        <v>17</v>
      </c>
      <c r="K175" t="str">
        <f t="shared" si="5"/>
        <v>Budget</v>
      </c>
    </row>
    <row r="176" spans="2:11" x14ac:dyDescent="0.25">
      <c r="B176" t="s">
        <v>173</v>
      </c>
      <c r="C176">
        <v>2009</v>
      </c>
      <c r="D176" s="1">
        <v>280000</v>
      </c>
      <c r="E176">
        <v>110000</v>
      </c>
      <c r="F176" t="s">
        <v>9</v>
      </c>
      <c r="G176" t="s">
        <v>10</v>
      </c>
      <c r="H176" t="s">
        <v>11</v>
      </c>
      <c r="I176" t="s">
        <v>18</v>
      </c>
      <c r="J176">
        <f t="shared" si="4"/>
        <v>17</v>
      </c>
      <c r="K176" t="str">
        <f t="shared" si="5"/>
        <v>Budget</v>
      </c>
    </row>
    <row r="177" spans="2:11" x14ac:dyDescent="0.25">
      <c r="B177" t="s">
        <v>174</v>
      </c>
      <c r="C177">
        <v>2018</v>
      </c>
      <c r="D177" s="1">
        <v>430000</v>
      </c>
      <c r="E177">
        <v>30000</v>
      </c>
      <c r="F177" t="s">
        <v>9</v>
      </c>
      <c r="G177" t="s">
        <v>10</v>
      </c>
      <c r="H177" t="s">
        <v>11</v>
      </c>
      <c r="I177" t="s">
        <v>12</v>
      </c>
      <c r="J177">
        <f t="shared" si="4"/>
        <v>8</v>
      </c>
      <c r="K177" t="str">
        <f t="shared" si="5"/>
        <v>Budget</v>
      </c>
    </row>
    <row r="178" spans="2:11" x14ac:dyDescent="0.25">
      <c r="B178" t="s">
        <v>105</v>
      </c>
      <c r="C178">
        <v>2019</v>
      </c>
      <c r="D178" s="1">
        <v>800000</v>
      </c>
      <c r="E178">
        <v>15000</v>
      </c>
      <c r="F178" t="s">
        <v>15</v>
      </c>
      <c r="G178" t="s">
        <v>10</v>
      </c>
      <c r="H178" t="s">
        <v>11</v>
      </c>
      <c r="I178" t="s">
        <v>12</v>
      </c>
      <c r="J178">
        <f t="shared" si="4"/>
        <v>7</v>
      </c>
      <c r="K178" t="str">
        <f t="shared" si="5"/>
        <v>Mid Range</v>
      </c>
    </row>
    <row r="179" spans="2:11" x14ac:dyDescent="0.25">
      <c r="B179" t="s">
        <v>175</v>
      </c>
      <c r="C179">
        <v>2003</v>
      </c>
      <c r="D179" s="1">
        <v>75000</v>
      </c>
      <c r="E179">
        <v>100000</v>
      </c>
      <c r="F179" t="s">
        <v>15</v>
      </c>
      <c r="G179" t="s">
        <v>10</v>
      </c>
      <c r="H179" t="s">
        <v>11</v>
      </c>
      <c r="I179" t="s">
        <v>18</v>
      </c>
      <c r="J179">
        <f t="shared" si="4"/>
        <v>23</v>
      </c>
      <c r="K179" t="str">
        <f t="shared" si="5"/>
        <v>Budget</v>
      </c>
    </row>
    <row r="180" spans="2:11" x14ac:dyDescent="0.25">
      <c r="B180" t="s">
        <v>176</v>
      </c>
      <c r="C180">
        <v>2016</v>
      </c>
      <c r="D180" s="1">
        <v>650000</v>
      </c>
      <c r="E180">
        <v>70000</v>
      </c>
      <c r="F180" t="s">
        <v>15</v>
      </c>
      <c r="G180" t="s">
        <v>10</v>
      </c>
      <c r="H180" t="s">
        <v>28</v>
      </c>
      <c r="I180" t="s">
        <v>12</v>
      </c>
      <c r="J180">
        <f t="shared" si="4"/>
        <v>10</v>
      </c>
      <c r="K180" t="str">
        <f t="shared" si="5"/>
        <v>Mid Range</v>
      </c>
    </row>
    <row r="181" spans="2:11" x14ac:dyDescent="0.25">
      <c r="B181" t="s">
        <v>177</v>
      </c>
      <c r="C181">
        <v>2017</v>
      </c>
      <c r="D181" s="1">
        <v>390000</v>
      </c>
      <c r="E181">
        <v>24000</v>
      </c>
      <c r="F181" t="s">
        <v>9</v>
      </c>
      <c r="G181" t="s">
        <v>10</v>
      </c>
      <c r="H181" t="s">
        <v>11</v>
      </c>
      <c r="I181" t="s">
        <v>12</v>
      </c>
      <c r="J181">
        <f t="shared" si="4"/>
        <v>9</v>
      </c>
      <c r="K181" t="str">
        <f t="shared" si="5"/>
        <v>Budget</v>
      </c>
    </row>
    <row r="182" spans="2:11" x14ac:dyDescent="0.25">
      <c r="B182" t="s">
        <v>178</v>
      </c>
      <c r="C182">
        <v>2005</v>
      </c>
      <c r="D182" s="1">
        <v>100000</v>
      </c>
      <c r="E182">
        <v>120000</v>
      </c>
      <c r="F182" t="s">
        <v>9</v>
      </c>
      <c r="G182" t="s">
        <v>10</v>
      </c>
      <c r="H182" t="s">
        <v>11</v>
      </c>
      <c r="I182" t="s">
        <v>18</v>
      </c>
      <c r="J182">
        <f t="shared" si="4"/>
        <v>21</v>
      </c>
      <c r="K182" t="str">
        <f t="shared" si="5"/>
        <v>Budget</v>
      </c>
    </row>
    <row r="183" spans="2:11" x14ac:dyDescent="0.25">
      <c r="B183" t="s">
        <v>33</v>
      </c>
      <c r="C183">
        <v>2013</v>
      </c>
      <c r="D183" s="1">
        <v>1500000</v>
      </c>
      <c r="E183">
        <v>35000</v>
      </c>
      <c r="F183" t="s">
        <v>15</v>
      </c>
      <c r="G183" t="s">
        <v>10</v>
      </c>
      <c r="H183" t="s">
        <v>28</v>
      </c>
      <c r="I183" t="s">
        <v>12</v>
      </c>
      <c r="J183">
        <f t="shared" si="4"/>
        <v>13</v>
      </c>
      <c r="K183" t="str">
        <f t="shared" si="5"/>
        <v>Premium</v>
      </c>
    </row>
    <row r="184" spans="2:11" x14ac:dyDescent="0.25">
      <c r="B184" t="s">
        <v>179</v>
      </c>
      <c r="C184">
        <v>2007</v>
      </c>
      <c r="D184" s="1">
        <v>175000</v>
      </c>
      <c r="E184">
        <v>78380</v>
      </c>
      <c r="F184" t="s">
        <v>9</v>
      </c>
      <c r="G184" t="s">
        <v>10</v>
      </c>
      <c r="H184" t="s">
        <v>11</v>
      </c>
      <c r="I184" t="s">
        <v>12</v>
      </c>
      <c r="J184">
        <f t="shared" si="4"/>
        <v>19</v>
      </c>
      <c r="K184" t="str">
        <f t="shared" si="5"/>
        <v>Budget</v>
      </c>
    </row>
    <row r="185" spans="2:11" x14ac:dyDescent="0.25">
      <c r="B185" t="s">
        <v>163</v>
      </c>
      <c r="C185">
        <v>2012</v>
      </c>
      <c r="D185" s="1">
        <v>434999</v>
      </c>
      <c r="E185">
        <v>110000</v>
      </c>
      <c r="F185" t="s">
        <v>15</v>
      </c>
      <c r="G185" t="s">
        <v>10</v>
      </c>
      <c r="H185" t="s">
        <v>11</v>
      </c>
      <c r="I185" t="s">
        <v>18</v>
      </c>
      <c r="J185">
        <f t="shared" si="4"/>
        <v>14</v>
      </c>
      <c r="K185" t="str">
        <f t="shared" si="5"/>
        <v>Budget</v>
      </c>
    </row>
    <row r="186" spans="2:11" x14ac:dyDescent="0.25">
      <c r="B186" t="s">
        <v>180</v>
      </c>
      <c r="C186">
        <v>2010</v>
      </c>
      <c r="D186" s="1">
        <v>170000</v>
      </c>
      <c r="E186">
        <v>90000</v>
      </c>
      <c r="F186" t="s">
        <v>15</v>
      </c>
      <c r="G186" t="s">
        <v>10</v>
      </c>
      <c r="H186" t="s">
        <v>11</v>
      </c>
      <c r="I186" t="s">
        <v>49</v>
      </c>
      <c r="J186">
        <f t="shared" si="4"/>
        <v>16</v>
      </c>
      <c r="K186" t="str">
        <f t="shared" si="5"/>
        <v>Budget</v>
      </c>
    </row>
    <row r="187" spans="2:11" x14ac:dyDescent="0.25">
      <c r="B187" t="s">
        <v>180</v>
      </c>
      <c r="C187">
        <v>2011</v>
      </c>
      <c r="D187" s="1">
        <v>190000</v>
      </c>
      <c r="E187">
        <v>90000</v>
      </c>
      <c r="F187" t="s">
        <v>15</v>
      </c>
      <c r="G187" t="s">
        <v>10</v>
      </c>
      <c r="H187" t="s">
        <v>11</v>
      </c>
      <c r="I187" t="s">
        <v>49</v>
      </c>
      <c r="J187">
        <f t="shared" si="4"/>
        <v>15</v>
      </c>
      <c r="K187" t="str">
        <f t="shared" si="5"/>
        <v>Budget</v>
      </c>
    </row>
    <row r="188" spans="2:11" x14ac:dyDescent="0.25">
      <c r="B188" t="s">
        <v>181</v>
      </c>
      <c r="C188">
        <v>2009</v>
      </c>
      <c r="D188" s="1">
        <v>250000</v>
      </c>
      <c r="E188">
        <v>150000</v>
      </c>
      <c r="F188" t="s">
        <v>15</v>
      </c>
      <c r="G188" t="s">
        <v>10</v>
      </c>
      <c r="H188" t="s">
        <v>11</v>
      </c>
      <c r="I188" t="s">
        <v>49</v>
      </c>
      <c r="J188">
        <f t="shared" si="4"/>
        <v>17</v>
      </c>
      <c r="K188" t="str">
        <f t="shared" si="5"/>
        <v>Budget</v>
      </c>
    </row>
    <row r="189" spans="2:11" x14ac:dyDescent="0.25">
      <c r="B189" t="s">
        <v>182</v>
      </c>
      <c r="C189">
        <v>2009</v>
      </c>
      <c r="D189" s="1">
        <v>229999</v>
      </c>
      <c r="E189">
        <v>230000</v>
      </c>
      <c r="F189" t="s">
        <v>15</v>
      </c>
      <c r="G189" t="s">
        <v>10</v>
      </c>
      <c r="H189" t="s">
        <v>11</v>
      </c>
      <c r="I189" t="s">
        <v>49</v>
      </c>
      <c r="J189">
        <f t="shared" si="4"/>
        <v>17</v>
      </c>
      <c r="K189" t="str">
        <f t="shared" si="5"/>
        <v>Budget</v>
      </c>
    </row>
    <row r="190" spans="2:11" x14ac:dyDescent="0.25">
      <c r="B190" t="s">
        <v>183</v>
      </c>
      <c r="C190">
        <v>2006</v>
      </c>
      <c r="D190" s="1">
        <v>140000</v>
      </c>
      <c r="E190">
        <v>70000</v>
      </c>
      <c r="F190" t="s">
        <v>9</v>
      </c>
      <c r="G190" t="s">
        <v>10</v>
      </c>
      <c r="H190" t="s">
        <v>11</v>
      </c>
      <c r="I190" t="s">
        <v>49</v>
      </c>
      <c r="J190">
        <f t="shared" si="4"/>
        <v>20</v>
      </c>
      <c r="K190" t="str">
        <f t="shared" si="5"/>
        <v>Budget</v>
      </c>
    </row>
    <row r="191" spans="2:11" x14ac:dyDescent="0.25">
      <c r="B191" t="s">
        <v>162</v>
      </c>
      <c r="C191">
        <v>2017</v>
      </c>
      <c r="D191" s="1">
        <v>600000</v>
      </c>
      <c r="E191">
        <v>80362</v>
      </c>
      <c r="F191" t="s">
        <v>15</v>
      </c>
      <c r="G191" t="s">
        <v>10</v>
      </c>
      <c r="H191" t="s">
        <v>11</v>
      </c>
      <c r="I191" t="s">
        <v>12</v>
      </c>
      <c r="J191">
        <f t="shared" si="4"/>
        <v>9</v>
      </c>
      <c r="K191" t="str">
        <f t="shared" si="5"/>
        <v>Mid Range</v>
      </c>
    </row>
    <row r="192" spans="2:11" x14ac:dyDescent="0.25">
      <c r="B192" t="s">
        <v>184</v>
      </c>
      <c r="C192">
        <v>2012</v>
      </c>
      <c r="D192" s="1">
        <v>280000</v>
      </c>
      <c r="E192">
        <v>110000</v>
      </c>
      <c r="F192" t="s">
        <v>9</v>
      </c>
      <c r="G192" t="s">
        <v>10</v>
      </c>
      <c r="H192" t="s">
        <v>11</v>
      </c>
      <c r="I192" t="s">
        <v>49</v>
      </c>
      <c r="J192">
        <f t="shared" si="4"/>
        <v>14</v>
      </c>
      <c r="K192" t="str">
        <f t="shared" si="5"/>
        <v>Budget</v>
      </c>
    </row>
    <row r="193" spans="2:11" x14ac:dyDescent="0.25">
      <c r="B193" t="s">
        <v>185</v>
      </c>
      <c r="C193">
        <v>2012</v>
      </c>
      <c r="D193" s="1">
        <v>150000</v>
      </c>
      <c r="E193">
        <v>60000</v>
      </c>
      <c r="F193" t="s">
        <v>15</v>
      </c>
      <c r="G193" t="s">
        <v>10</v>
      </c>
      <c r="H193" t="s">
        <v>11</v>
      </c>
      <c r="I193" t="s">
        <v>12</v>
      </c>
      <c r="J193">
        <f t="shared" si="4"/>
        <v>14</v>
      </c>
      <c r="K193" t="str">
        <f t="shared" si="5"/>
        <v>Budget</v>
      </c>
    </row>
    <row r="194" spans="2:11" x14ac:dyDescent="0.25">
      <c r="B194" t="s">
        <v>186</v>
      </c>
      <c r="C194">
        <v>2015</v>
      </c>
      <c r="D194" s="1">
        <v>650000</v>
      </c>
      <c r="E194">
        <v>50000</v>
      </c>
      <c r="F194" t="s">
        <v>15</v>
      </c>
      <c r="G194" t="s">
        <v>10</v>
      </c>
      <c r="H194" t="s">
        <v>28</v>
      </c>
      <c r="I194" t="s">
        <v>12</v>
      </c>
      <c r="J194">
        <f t="shared" si="4"/>
        <v>11</v>
      </c>
      <c r="K194" t="str">
        <f t="shared" si="5"/>
        <v>Mid Range</v>
      </c>
    </row>
    <row r="195" spans="2:11" x14ac:dyDescent="0.25">
      <c r="B195" t="s">
        <v>187</v>
      </c>
      <c r="C195">
        <v>2014</v>
      </c>
      <c r="D195" s="1">
        <v>210000</v>
      </c>
      <c r="E195">
        <v>40000</v>
      </c>
      <c r="F195" t="s">
        <v>9</v>
      </c>
      <c r="G195" t="s">
        <v>10</v>
      </c>
      <c r="H195" t="s">
        <v>11</v>
      </c>
      <c r="I195" t="s">
        <v>18</v>
      </c>
      <c r="J195">
        <f t="shared" si="4"/>
        <v>12</v>
      </c>
      <c r="K195" t="str">
        <f t="shared" si="5"/>
        <v>Budget</v>
      </c>
    </row>
    <row r="196" spans="2:11" x14ac:dyDescent="0.25">
      <c r="B196" t="s">
        <v>188</v>
      </c>
      <c r="C196">
        <v>2017</v>
      </c>
      <c r="D196" s="1">
        <v>2900000</v>
      </c>
      <c r="E196">
        <v>40000</v>
      </c>
      <c r="F196" t="s">
        <v>15</v>
      </c>
      <c r="G196" t="s">
        <v>10</v>
      </c>
      <c r="H196" t="s">
        <v>28</v>
      </c>
      <c r="I196" t="s">
        <v>12</v>
      </c>
      <c r="J196">
        <f t="shared" si="4"/>
        <v>9</v>
      </c>
      <c r="K196" t="str">
        <f t="shared" si="5"/>
        <v>Premium</v>
      </c>
    </row>
    <row r="197" spans="2:11" x14ac:dyDescent="0.25">
      <c r="B197" t="s">
        <v>154</v>
      </c>
      <c r="C197">
        <v>2013</v>
      </c>
      <c r="D197" s="1">
        <v>425000</v>
      </c>
      <c r="E197">
        <v>20000</v>
      </c>
      <c r="F197" t="s">
        <v>15</v>
      </c>
      <c r="G197" t="s">
        <v>27</v>
      </c>
      <c r="H197" t="s">
        <v>11</v>
      </c>
      <c r="I197" t="s">
        <v>12</v>
      </c>
      <c r="J197">
        <f t="shared" si="4"/>
        <v>13</v>
      </c>
      <c r="K197" t="str">
        <f t="shared" si="5"/>
        <v>Budget</v>
      </c>
    </row>
    <row r="198" spans="2:11" x14ac:dyDescent="0.25">
      <c r="B198" t="s">
        <v>189</v>
      </c>
      <c r="C198">
        <v>2014</v>
      </c>
      <c r="D198" s="1">
        <v>265000</v>
      </c>
      <c r="E198">
        <v>55000</v>
      </c>
      <c r="F198" t="s">
        <v>9</v>
      </c>
      <c r="G198" t="s">
        <v>27</v>
      </c>
      <c r="H198" t="s">
        <v>11</v>
      </c>
      <c r="I198" t="s">
        <v>12</v>
      </c>
      <c r="J198">
        <f t="shared" ref="J198:J261" si="6">2026 - C198</f>
        <v>12</v>
      </c>
      <c r="K198" t="str">
        <f t="shared" ref="K198:K261" si="7">IF(D198&lt;500000,"Budget",IF(D198&lt;=1000000,"Mid Range","Premium"))</f>
        <v>Budget</v>
      </c>
    </row>
    <row r="199" spans="2:11" x14ac:dyDescent="0.25">
      <c r="B199" t="s">
        <v>190</v>
      </c>
      <c r="C199">
        <v>2018</v>
      </c>
      <c r="D199" s="1">
        <v>890000</v>
      </c>
      <c r="E199">
        <v>1136</v>
      </c>
      <c r="F199" t="s">
        <v>9</v>
      </c>
      <c r="G199" t="s">
        <v>27</v>
      </c>
      <c r="H199" t="s">
        <v>11</v>
      </c>
      <c r="I199" t="s">
        <v>12</v>
      </c>
      <c r="J199">
        <f t="shared" si="6"/>
        <v>8</v>
      </c>
      <c r="K199" t="str">
        <f t="shared" si="7"/>
        <v>Mid Range</v>
      </c>
    </row>
    <row r="200" spans="2:11" x14ac:dyDescent="0.25">
      <c r="B200" t="s">
        <v>191</v>
      </c>
      <c r="C200">
        <v>2013</v>
      </c>
      <c r="D200" s="1">
        <v>365000</v>
      </c>
      <c r="E200">
        <v>55000</v>
      </c>
      <c r="F200" t="s">
        <v>9</v>
      </c>
      <c r="G200" t="s">
        <v>27</v>
      </c>
      <c r="H200" t="s">
        <v>11</v>
      </c>
      <c r="I200" t="s">
        <v>12</v>
      </c>
      <c r="J200">
        <f t="shared" si="6"/>
        <v>13</v>
      </c>
      <c r="K200" t="str">
        <f t="shared" si="7"/>
        <v>Budget</v>
      </c>
    </row>
    <row r="201" spans="2:11" x14ac:dyDescent="0.25">
      <c r="B201" t="s">
        <v>192</v>
      </c>
      <c r="C201">
        <v>2014</v>
      </c>
      <c r="D201" s="1">
        <v>350000</v>
      </c>
      <c r="E201">
        <v>43000</v>
      </c>
      <c r="F201" t="s">
        <v>9</v>
      </c>
      <c r="G201" t="s">
        <v>27</v>
      </c>
      <c r="H201" t="s">
        <v>11</v>
      </c>
      <c r="I201" t="s">
        <v>12</v>
      </c>
      <c r="J201">
        <f t="shared" si="6"/>
        <v>12</v>
      </c>
      <c r="K201" t="str">
        <f t="shared" si="7"/>
        <v>Budget</v>
      </c>
    </row>
    <row r="202" spans="2:11" x14ac:dyDescent="0.25">
      <c r="B202" t="s">
        <v>193</v>
      </c>
      <c r="C202">
        <v>2016</v>
      </c>
      <c r="D202" s="1">
        <v>685000</v>
      </c>
      <c r="E202">
        <v>60000</v>
      </c>
      <c r="F202" t="s">
        <v>15</v>
      </c>
      <c r="G202" t="s">
        <v>10</v>
      </c>
      <c r="H202" t="s">
        <v>11</v>
      </c>
      <c r="I202" t="s">
        <v>12</v>
      </c>
      <c r="J202">
        <f t="shared" si="6"/>
        <v>10</v>
      </c>
      <c r="K202" t="str">
        <f t="shared" si="7"/>
        <v>Mid Range</v>
      </c>
    </row>
    <row r="203" spans="2:11" x14ac:dyDescent="0.25">
      <c r="B203" t="s">
        <v>194</v>
      </c>
      <c r="C203">
        <v>2018</v>
      </c>
      <c r="D203" s="1">
        <v>940000</v>
      </c>
      <c r="E203">
        <v>2650</v>
      </c>
      <c r="F203" t="s">
        <v>15</v>
      </c>
      <c r="G203" t="s">
        <v>27</v>
      </c>
      <c r="H203" t="s">
        <v>11</v>
      </c>
      <c r="I203" t="s">
        <v>12</v>
      </c>
      <c r="J203">
        <f t="shared" si="6"/>
        <v>8</v>
      </c>
      <c r="K203" t="str">
        <f t="shared" si="7"/>
        <v>Mid Range</v>
      </c>
    </row>
    <row r="204" spans="2:11" x14ac:dyDescent="0.25">
      <c r="B204" t="s">
        <v>195</v>
      </c>
      <c r="C204">
        <v>2017</v>
      </c>
      <c r="D204" s="1">
        <v>1000000</v>
      </c>
      <c r="E204">
        <v>40000</v>
      </c>
      <c r="F204" t="s">
        <v>15</v>
      </c>
      <c r="G204" t="s">
        <v>10</v>
      </c>
      <c r="H204" t="s">
        <v>11</v>
      </c>
      <c r="I204" t="s">
        <v>12</v>
      </c>
      <c r="J204">
        <f t="shared" si="6"/>
        <v>9</v>
      </c>
      <c r="K204" t="str">
        <f t="shared" si="7"/>
        <v>Mid Range</v>
      </c>
    </row>
    <row r="205" spans="2:11" x14ac:dyDescent="0.25">
      <c r="B205" t="s">
        <v>196</v>
      </c>
      <c r="C205">
        <v>2019</v>
      </c>
      <c r="D205" s="1">
        <v>1150000</v>
      </c>
      <c r="E205">
        <v>15000</v>
      </c>
      <c r="F205" t="s">
        <v>9</v>
      </c>
      <c r="G205" t="s">
        <v>27</v>
      </c>
      <c r="H205" t="s">
        <v>11</v>
      </c>
      <c r="I205" t="s">
        <v>12</v>
      </c>
      <c r="J205">
        <f t="shared" si="6"/>
        <v>7</v>
      </c>
      <c r="K205" t="str">
        <f t="shared" si="7"/>
        <v>Premium</v>
      </c>
    </row>
    <row r="206" spans="2:11" x14ac:dyDescent="0.25">
      <c r="B206" t="s">
        <v>197</v>
      </c>
      <c r="C206">
        <v>2016</v>
      </c>
      <c r="D206" s="1">
        <v>450000</v>
      </c>
      <c r="E206">
        <v>115962</v>
      </c>
      <c r="F206" t="s">
        <v>15</v>
      </c>
      <c r="G206" t="s">
        <v>10</v>
      </c>
      <c r="H206" t="s">
        <v>11</v>
      </c>
      <c r="I206" t="s">
        <v>18</v>
      </c>
      <c r="J206">
        <f t="shared" si="6"/>
        <v>10</v>
      </c>
      <c r="K206" t="str">
        <f t="shared" si="7"/>
        <v>Budget</v>
      </c>
    </row>
    <row r="207" spans="2:11" x14ac:dyDescent="0.25">
      <c r="B207" t="s">
        <v>198</v>
      </c>
      <c r="C207">
        <v>2015</v>
      </c>
      <c r="D207" s="1">
        <v>590000</v>
      </c>
      <c r="E207">
        <v>65000</v>
      </c>
      <c r="F207" t="s">
        <v>15</v>
      </c>
      <c r="G207" t="s">
        <v>27</v>
      </c>
      <c r="H207" t="s">
        <v>11</v>
      </c>
      <c r="I207" t="s">
        <v>12</v>
      </c>
      <c r="J207">
        <f t="shared" si="6"/>
        <v>11</v>
      </c>
      <c r="K207" t="str">
        <f t="shared" si="7"/>
        <v>Mid Range</v>
      </c>
    </row>
    <row r="208" spans="2:11" x14ac:dyDescent="0.25">
      <c r="B208" t="s">
        <v>199</v>
      </c>
      <c r="C208">
        <v>2017</v>
      </c>
      <c r="D208" s="1">
        <v>800000</v>
      </c>
      <c r="E208">
        <v>40000</v>
      </c>
      <c r="F208" t="s">
        <v>15</v>
      </c>
      <c r="G208" t="s">
        <v>10</v>
      </c>
      <c r="H208" t="s">
        <v>11</v>
      </c>
      <c r="I208" t="s">
        <v>12</v>
      </c>
      <c r="J208">
        <f t="shared" si="6"/>
        <v>9</v>
      </c>
      <c r="K208" t="str">
        <f t="shared" si="7"/>
        <v>Mid Range</v>
      </c>
    </row>
    <row r="209" spans="2:11" x14ac:dyDescent="0.25">
      <c r="B209" t="s">
        <v>200</v>
      </c>
      <c r="C209">
        <v>2012</v>
      </c>
      <c r="D209" s="1">
        <v>385000</v>
      </c>
      <c r="E209">
        <v>58000</v>
      </c>
      <c r="F209" t="s">
        <v>15</v>
      </c>
      <c r="G209" t="s">
        <v>27</v>
      </c>
      <c r="H209" t="s">
        <v>11</v>
      </c>
      <c r="I209" t="s">
        <v>12</v>
      </c>
      <c r="J209">
        <f t="shared" si="6"/>
        <v>14</v>
      </c>
      <c r="K209" t="str">
        <f t="shared" si="7"/>
        <v>Budget</v>
      </c>
    </row>
    <row r="210" spans="2:11" x14ac:dyDescent="0.25">
      <c r="B210" t="s">
        <v>201</v>
      </c>
      <c r="C210">
        <v>2013</v>
      </c>
      <c r="D210" s="1">
        <v>2000000</v>
      </c>
      <c r="E210">
        <v>15000</v>
      </c>
      <c r="F210" t="s">
        <v>15</v>
      </c>
      <c r="G210" t="s">
        <v>10</v>
      </c>
      <c r="H210" t="s">
        <v>28</v>
      </c>
      <c r="I210" t="s">
        <v>12</v>
      </c>
      <c r="J210">
        <f t="shared" si="6"/>
        <v>13</v>
      </c>
      <c r="K210" t="str">
        <f t="shared" si="7"/>
        <v>Premium</v>
      </c>
    </row>
    <row r="211" spans="2:11" x14ac:dyDescent="0.25">
      <c r="B211" t="s">
        <v>136</v>
      </c>
      <c r="C211">
        <v>2012</v>
      </c>
      <c r="D211" s="1">
        <v>235000</v>
      </c>
      <c r="E211">
        <v>54000</v>
      </c>
      <c r="F211" t="s">
        <v>9</v>
      </c>
      <c r="G211" t="s">
        <v>27</v>
      </c>
      <c r="H211" t="s">
        <v>11</v>
      </c>
      <c r="I211" t="s">
        <v>12</v>
      </c>
      <c r="J211">
        <f t="shared" si="6"/>
        <v>14</v>
      </c>
      <c r="K211" t="str">
        <f t="shared" si="7"/>
        <v>Budget</v>
      </c>
    </row>
    <row r="212" spans="2:11" x14ac:dyDescent="0.25">
      <c r="B212" t="s">
        <v>202</v>
      </c>
      <c r="C212">
        <v>2017</v>
      </c>
      <c r="D212" s="1">
        <v>640000</v>
      </c>
      <c r="E212">
        <v>56000</v>
      </c>
      <c r="F212" t="s">
        <v>15</v>
      </c>
      <c r="G212" t="s">
        <v>27</v>
      </c>
      <c r="H212" t="s">
        <v>11</v>
      </c>
      <c r="I212" t="s">
        <v>12</v>
      </c>
      <c r="J212">
        <f t="shared" si="6"/>
        <v>9</v>
      </c>
      <c r="K212" t="str">
        <f t="shared" si="7"/>
        <v>Mid Range</v>
      </c>
    </row>
    <row r="213" spans="2:11" x14ac:dyDescent="0.25">
      <c r="B213" t="s">
        <v>172</v>
      </c>
      <c r="C213">
        <v>2006</v>
      </c>
      <c r="D213" s="1">
        <v>52000</v>
      </c>
      <c r="E213">
        <v>120000</v>
      </c>
      <c r="F213" t="s">
        <v>9</v>
      </c>
      <c r="G213" t="s">
        <v>10</v>
      </c>
      <c r="H213" t="s">
        <v>11</v>
      </c>
      <c r="I213" t="s">
        <v>49</v>
      </c>
      <c r="J213">
        <f t="shared" si="6"/>
        <v>20</v>
      </c>
      <c r="K213" t="str">
        <f t="shared" si="7"/>
        <v>Budget</v>
      </c>
    </row>
    <row r="214" spans="2:11" x14ac:dyDescent="0.25">
      <c r="B214" t="s">
        <v>203</v>
      </c>
      <c r="C214">
        <v>2009</v>
      </c>
      <c r="D214" s="1">
        <v>80000</v>
      </c>
      <c r="E214">
        <v>90000</v>
      </c>
      <c r="F214" t="s">
        <v>152</v>
      </c>
      <c r="G214" t="s">
        <v>10</v>
      </c>
      <c r="H214" t="s">
        <v>11</v>
      </c>
      <c r="I214" t="s">
        <v>18</v>
      </c>
      <c r="J214">
        <f t="shared" si="6"/>
        <v>17</v>
      </c>
      <c r="K214" t="str">
        <f t="shared" si="7"/>
        <v>Budget</v>
      </c>
    </row>
    <row r="215" spans="2:11" x14ac:dyDescent="0.25">
      <c r="B215" t="s">
        <v>172</v>
      </c>
      <c r="C215">
        <v>2012</v>
      </c>
      <c r="D215" s="1">
        <v>140000</v>
      </c>
      <c r="E215">
        <v>70000</v>
      </c>
      <c r="F215" t="s">
        <v>9</v>
      </c>
      <c r="G215" t="s">
        <v>10</v>
      </c>
      <c r="H215" t="s">
        <v>11</v>
      </c>
      <c r="I215" t="s">
        <v>18</v>
      </c>
      <c r="J215">
        <f t="shared" si="6"/>
        <v>14</v>
      </c>
      <c r="K215" t="str">
        <f t="shared" si="7"/>
        <v>Budget</v>
      </c>
    </row>
    <row r="216" spans="2:11" x14ac:dyDescent="0.25">
      <c r="B216" t="s">
        <v>204</v>
      </c>
      <c r="C216">
        <v>2008</v>
      </c>
      <c r="D216" s="1">
        <v>120000</v>
      </c>
      <c r="E216">
        <v>90000</v>
      </c>
      <c r="F216" t="s">
        <v>9</v>
      </c>
      <c r="G216" t="s">
        <v>10</v>
      </c>
      <c r="H216" t="s">
        <v>11</v>
      </c>
      <c r="I216" t="s">
        <v>18</v>
      </c>
      <c r="J216">
        <f t="shared" si="6"/>
        <v>18</v>
      </c>
      <c r="K216" t="str">
        <f t="shared" si="7"/>
        <v>Budget</v>
      </c>
    </row>
    <row r="217" spans="2:11" x14ac:dyDescent="0.25">
      <c r="B217" t="s">
        <v>205</v>
      </c>
      <c r="C217">
        <v>2008</v>
      </c>
      <c r="D217" s="1">
        <v>89999</v>
      </c>
      <c r="E217">
        <v>213000</v>
      </c>
      <c r="F217" t="s">
        <v>15</v>
      </c>
      <c r="G217" t="s">
        <v>10</v>
      </c>
      <c r="H217" t="s">
        <v>11</v>
      </c>
      <c r="I217" t="s">
        <v>12</v>
      </c>
      <c r="J217">
        <f t="shared" si="6"/>
        <v>18</v>
      </c>
      <c r="K217" t="str">
        <f t="shared" si="7"/>
        <v>Budget</v>
      </c>
    </row>
    <row r="218" spans="2:11" x14ac:dyDescent="0.25">
      <c r="B218" t="s">
        <v>206</v>
      </c>
      <c r="C218">
        <v>2012</v>
      </c>
      <c r="D218" s="1">
        <v>180000</v>
      </c>
      <c r="E218">
        <v>120000</v>
      </c>
      <c r="F218" t="s">
        <v>15</v>
      </c>
      <c r="G218" t="s">
        <v>10</v>
      </c>
      <c r="H218" t="s">
        <v>11</v>
      </c>
      <c r="I218" t="s">
        <v>12</v>
      </c>
      <c r="J218">
        <f t="shared" si="6"/>
        <v>14</v>
      </c>
      <c r="K218" t="str">
        <f t="shared" si="7"/>
        <v>Budget</v>
      </c>
    </row>
    <row r="219" spans="2:11" x14ac:dyDescent="0.25">
      <c r="B219" t="s">
        <v>207</v>
      </c>
      <c r="C219">
        <v>2017</v>
      </c>
      <c r="D219" s="1">
        <v>1500000</v>
      </c>
      <c r="E219">
        <v>20000</v>
      </c>
      <c r="F219" t="s">
        <v>15</v>
      </c>
      <c r="G219" t="s">
        <v>10</v>
      </c>
      <c r="H219" t="s">
        <v>11</v>
      </c>
      <c r="I219" t="s">
        <v>12</v>
      </c>
      <c r="J219">
        <f t="shared" si="6"/>
        <v>9</v>
      </c>
      <c r="K219" t="str">
        <f t="shared" si="7"/>
        <v>Premium</v>
      </c>
    </row>
    <row r="220" spans="2:11" x14ac:dyDescent="0.25">
      <c r="B220" t="s">
        <v>208</v>
      </c>
      <c r="C220">
        <v>2017</v>
      </c>
      <c r="D220" s="1">
        <v>700000</v>
      </c>
      <c r="E220">
        <v>10000</v>
      </c>
      <c r="F220" t="s">
        <v>9</v>
      </c>
      <c r="G220" t="s">
        <v>10</v>
      </c>
      <c r="H220" t="s">
        <v>11</v>
      </c>
      <c r="I220" t="s">
        <v>12</v>
      </c>
      <c r="J220">
        <f t="shared" si="6"/>
        <v>9</v>
      </c>
      <c r="K220" t="str">
        <f t="shared" si="7"/>
        <v>Mid Range</v>
      </c>
    </row>
    <row r="221" spans="2:11" x14ac:dyDescent="0.25">
      <c r="B221" t="s">
        <v>209</v>
      </c>
      <c r="C221">
        <v>2012</v>
      </c>
      <c r="D221" s="1">
        <v>285000</v>
      </c>
      <c r="E221">
        <v>80000</v>
      </c>
      <c r="F221" t="s">
        <v>15</v>
      </c>
      <c r="G221" t="s">
        <v>10</v>
      </c>
      <c r="H221" t="s">
        <v>11</v>
      </c>
      <c r="I221" t="s">
        <v>18</v>
      </c>
      <c r="J221">
        <f t="shared" si="6"/>
        <v>14</v>
      </c>
      <c r="K221" t="str">
        <f t="shared" si="7"/>
        <v>Budget</v>
      </c>
    </row>
    <row r="222" spans="2:11" x14ac:dyDescent="0.25">
      <c r="B222" t="s">
        <v>210</v>
      </c>
      <c r="C222">
        <v>2015</v>
      </c>
      <c r="D222" s="1">
        <v>390000</v>
      </c>
      <c r="E222">
        <v>90000</v>
      </c>
      <c r="F222" t="s">
        <v>9</v>
      </c>
      <c r="G222" t="s">
        <v>10</v>
      </c>
      <c r="H222" t="s">
        <v>11</v>
      </c>
      <c r="I222" t="s">
        <v>12</v>
      </c>
      <c r="J222">
        <f t="shared" si="6"/>
        <v>11</v>
      </c>
      <c r="K222" t="str">
        <f t="shared" si="7"/>
        <v>Budget</v>
      </c>
    </row>
    <row r="223" spans="2:11" x14ac:dyDescent="0.25">
      <c r="B223" t="s">
        <v>211</v>
      </c>
      <c r="C223">
        <v>2008</v>
      </c>
      <c r="D223" s="1">
        <v>125000</v>
      </c>
      <c r="E223">
        <v>80000</v>
      </c>
      <c r="F223" t="s">
        <v>9</v>
      </c>
      <c r="G223" t="s">
        <v>10</v>
      </c>
      <c r="H223" t="s">
        <v>11</v>
      </c>
      <c r="I223" t="s">
        <v>12</v>
      </c>
      <c r="J223">
        <f t="shared" si="6"/>
        <v>18</v>
      </c>
      <c r="K223" t="str">
        <f t="shared" si="7"/>
        <v>Budget</v>
      </c>
    </row>
    <row r="224" spans="2:11" x14ac:dyDescent="0.25">
      <c r="B224" t="s">
        <v>179</v>
      </c>
      <c r="C224">
        <v>2008</v>
      </c>
      <c r="D224" s="1">
        <v>225000</v>
      </c>
      <c r="E224">
        <v>60000</v>
      </c>
      <c r="F224" t="s">
        <v>9</v>
      </c>
      <c r="G224" t="s">
        <v>10</v>
      </c>
      <c r="H224" t="s">
        <v>11</v>
      </c>
      <c r="I224" t="s">
        <v>18</v>
      </c>
      <c r="J224">
        <f t="shared" si="6"/>
        <v>18</v>
      </c>
      <c r="K224" t="str">
        <f t="shared" si="7"/>
        <v>Budget</v>
      </c>
    </row>
    <row r="225" spans="2:11" x14ac:dyDescent="0.25">
      <c r="B225" t="s">
        <v>212</v>
      </c>
      <c r="C225">
        <v>2011</v>
      </c>
      <c r="D225" s="1">
        <v>175000</v>
      </c>
      <c r="E225">
        <v>139000</v>
      </c>
      <c r="F225" t="s">
        <v>9</v>
      </c>
      <c r="G225" t="s">
        <v>10</v>
      </c>
      <c r="H225" t="s">
        <v>11</v>
      </c>
      <c r="I225" t="s">
        <v>18</v>
      </c>
      <c r="J225">
        <f t="shared" si="6"/>
        <v>15</v>
      </c>
      <c r="K225" t="str">
        <f t="shared" si="7"/>
        <v>Budget</v>
      </c>
    </row>
    <row r="226" spans="2:11" x14ac:dyDescent="0.25">
      <c r="B226" t="s">
        <v>213</v>
      </c>
      <c r="C226">
        <v>2011</v>
      </c>
      <c r="D226" s="1">
        <v>1075000</v>
      </c>
      <c r="E226">
        <v>160000</v>
      </c>
      <c r="F226" t="s">
        <v>15</v>
      </c>
      <c r="G226" t="s">
        <v>10</v>
      </c>
      <c r="H226" t="s">
        <v>11</v>
      </c>
      <c r="I226" t="s">
        <v>18</v>
      </c>
      <c r="J226">
        <f t="shared" si="6"/>
        <v>15</v>
      </c>
      <c r="K226" t="str">
        <f t="shared" si="7"/>
        <v>Premium</v>
      </c>
    </row>
    <row r="227" spans="2:11" x14ac:dyDescent="0.25">
      <c r="B227" t="s">
        <v>214</v>
      </c>
      <c r="C227">
        <v>2014</v>
      </c>
      <c r="D227" s="1">
        <v>300000</v>
      </c>
      <c r="E227">
        <v>150000</v>
      </c>
      <c r="F227" t="s">
        <v>15</v>
      </c>
      <c r="G227" t="s">
        <v>10</v>
      </c>
      <c r="H227" t="s">
        <v>11</v>
      </c>
      <c r="I227" t="s">
        <v>12</v>
      </c>
      <c r="J227">
        <f t="shared" si="6"/>
        <v>12</v>
      </c>
      <c r="K227" t="str">
        <f t="shared" si="7"/>
        <v>Budget</v>
      </c>
    </row>
    <row r="228" spans="2:11" x14ac:dyDescent="0.25">
      <c r="B228" t="s">
        <v>215</v>
      </c>
      <c r="C228">
        <v>2010</v>
      </c>
      <c r="D228" s="1">
        <v>700000</v>
      </c>
      <c r="E228">
        <v>163000</v>
      </c>
      <c r="F228" t="s">
        <v>15</v>
      </c>
      <c r="G228" t="s">
        <v>10</v>
      </c>
      <c r="H228" t="s">
        <v>11</v>
      </c>
      <c r="I228" t="s">
        <v>46</v>
      </c>
      <c r="J228">
        <f t="shared" si="6"/>
        <v>16</v>
      </c>
      <c r="K228" t="str">
        <f t="shared" si="7"/>
        <v>Mid Range</v>
      </c>
    </row>
    <row r="229" spans="2:11" x14ac:dyDescent="0.25">
      <c r="B229" t="s">
        <v>216</v>
      </c>
      <c r="C229">
        <v>2009</v>
      </c>
      <c r="D229" s="1">
        <v>90000</v>
      </c>
      <c r="E229">
        <v>120000</v>
      </c>
      <c r="F229" t="s">
        <v>15</v>
      </c>
      <c r="G229" t="s">
        <v>27</v>
      </c>
      <c r="H229" t="s">
        <v>11</v>
      </c>
      <c r="I229" t="s">
        <v>12</v>
      </c>
      <c r="J229">
        <f t="shared" si="6"/>
        <v>17</v>
      </c>
      <c r="K229" t="str">
        <f t="shared" si="7"/>
        <v>Budget</v>
      </c>
    </row>
    <row r="230" spans="2:11" x14ac:dyDescent="0.25">
      <c r="B230" t="s">
        <v>217</v>
      </c>
      <c r="C230">
        <v>2011</v>
      </c>
      <c r="D230" s="1">
        <v>120000</v>
      </c>
      <c r="E230">
        <v>120000</v>
      </c>
      <c r="F230" t="s">
        <v>15</v>
      </c>
      <c r="G230" t="s">
        <v>10</v>
      </c>
      <c r="H230" t="s">
        <v>11</v>
      </c>
      <c r="I230" t="s">
        <v>18</v>
      </c>
      <c r="J230">
        <f t="shared" si="6"/>
        <v>15</v>
      </c>
      <c r="K230" t="str">
        <f t="shared" si="7"/>
        <v>Budget</v>
      </c>
    </row>
    <row r="231" spans="2:11" x14ac:dyDescent="0.25">
      <c r="B231" t="s">
        <v>218</v>
      </c>
      <c r="C231">
        <v>2012</v>
      </c>
      <c r="D231" s="1">
        <v>220000</v>
      </c>
      <c r="E231">
        <v>100000</v>
      </c>
      <c r="F231" t="s">
        <v>15</v>
      </c>
      <c r="G231" t="s">
        <v>10</v>
      </c>
      <c r="H231" t="s">
        <v>11</v>
      </c>
      <c r="I231" t="s">
        <v>18</v>
      </c>
      <c r="J231">
        <f t="shared" si="6"/>
        <v>14</v>
      </c>
      <c r="K231" t="str">
        <f t="shared" si="7"/>
        <v>Budget</v>
      </c>
    </row>
    <row r="232" spans="2:11" x14ac:dyDescent="0.25">
      <c r="B232" t="s">
        <v>219</v>
      </c>
      <c r="C232">
        <v>2015</v>
      </c>
      <c r="D232" s="1">
        <v>300000</v>
      </c>
      <c r="E232">
        <v>140000</v>
      </c>
      <c r="F232" t="s">
        <v>15</v>
      </c>
      <c r="G232" t="s">
        <v>27</v>
      </c>
      <c r="H232" t="s">
        <v>11</v>
      </c>
      <c r="I232" t="s">
        <v>12</v>
      </c>
      <c r="J232">
        <f t="shared" si="6"/>
        <v>11</v>
      </c>
      <c r="K232" t="str">
        <f t="shared" si="7"/>
        <v>Budget</v>
      </c>
    </row>
    <row r="233" spans="2:11" x14ac:dyDescent="0.25">
      <c r="B233" t="s">
        <v>220</v>
      </c>
      <c r="C233">
        <v>2010</v>
      </c>
      <c r="D233" s="1">
        <v>180000</v>
      </c>
      <c r="E233">
        <v>87000</v>
      </c>
      <c r="F233" t="s">
        <v>15</v>
      </c>
      <c r="G233" t="s">
        <v>27</v>
      </c>
      <c r="H233" t="s">
        <v>11</v>
      </c>
      <c r="I233" t="s">
        <v>18</v>
      </c>
      <c r="J233">
        <f t="shared" si="6"/>
        <v>16</v>
      </c>
      <c r="K233" t="str">
        <f t="shared" si="7"/>
        <v>Budget</v>
      </c>
    </row>
    <row r="234" spans="2:11" x14ac:dyDescent="0.25">
      <c r="B234" t="s">
        <v>134</v>
      </c>
      <c r="C234">
        <v>2013</v>
      </c>
      <c r="D234" s="1">
        <v>170000</v>
      </c>
      <c r="E234">
        <v>70000</v>
      </c>
      <c r="F234" t="s">
        <v>9</v>
      </c>
      <c r="G234" t="s">
        <v>10</v>
      </c>
      <c r="H234" t="s">
        <v>11</v>
      </c>
      <c r="I234" t="s">
        <v>12</v>
      </c>
      <c r="J234">
        <f t="shared" si="6"/>
        <v>13</v>
      </c>
      <c r="K234" t="str">
        <f t="shared" si="7"/>
        <v>Budget</v>
      </c>
    </row>
    <row r="235" spans="2:11" x14ac:dyDescent="0.25">
      <c r="B235" t="s">
        <v>192</v>
      </c>
      <c r="C235">
        <v>2015</v>
      </c>
      <c r="D235" s="1">
        <v>300000</v>
      </c>
      <c r="E235">
        <v>50000</v>
      </c>
      <c r="F235" t="s">
        <v>9</v>
      </c>
      <c r="G235" t="s">
        <v>10</v>
      </c>
      <c r="H235" t="s">
        <v>11</v>
      </c>
      <c r="I235" t="s">
        <v>18</v>
      </c>
      <c r="J235">
        <f t="shared" si="6"/>
        <v>11</v>
      </c>
      <c r="K235" t="str">
        <f t="shared" si="7"/>
        <v>Budget</v>
      </c>
    </row>
    <row r="236" spans="2:11" x14ac:dyDescent="0.25">
      <c r="B236" t="s">
        <v>221</v>
      </c>
      <c r="C236">
        <v>2014</v>
      </c>
      <c r="D236" s="1">
        <v>1050000</v>
      </c>
      <c r="E236">
        <v>70000</v>
      </c>
      <c r="F236" t="s">
        <v>15</v>
      </c>
      <c r="G236" t="s">
        <v>10</v>
      </c>
      <c r="H236" t="s">
        <v>11</v>
      </c>
      <c r="I236" t="s">
        <v>12</v>
      </c>
      <c r="J236">
        <f t="shared" si="6"/>
        <v>12</v>
      </c>
      <c r="K236" t="str">
        <f t="shared" si="7"/>
        <v>Premium</v>
      </c>
    </row>
    <row r="237" spans="2:11" x14ac:dyDescent="0.25">
      <c r="B237" t="s">
        <v>222</v>
      </c>
      <c r="C237">
        <v>2018</v>
      </c>
      <c r="D237" s="1">
        <v>465000</v>
      </c>
      <c r="E237">
        <v>25000</v>
      </c>
      <c r="F237" t="s">
        <v>15</v>
      </c>
      <c r="G237" t="s">
        <v>10</v>
      </c>
      <c r="H237" t="s">
        <v>11</v>
      </c>
      <c r="I237" t="s">
        <v>12</v>
      </c>
      <c r="J237">
        <f t="shared" si="6"/>
        <v>8</v>
      </c>
      <c r="K237" t="str">
        <f t="shared" si="7"/>
        <v>Budget</v>
      </c>
    </row>
    <row r="238" spans="2:11" x14ac:dyDescent="0.25">
      <c r="B238" t="s">
        <v>185</v>
      </c>
      <c r="C238">
        <v>2011</v>
      </c>
      <c r="D238" s="1">
        <v>130000</v>
      </c>
      <c r="E238">
        <v>80000</v>
      </c>
      <c r="F238" t="s">
        <v>15</v>
      </c>
      <c r="G238" t="s">
        <v>10</v>
      </c>
      <c r="H238" t="s">
        <v>11</v>
      </c>
      <c r="I238" t="s">
        <v>18</v>
      </c>
      <c r="J238">
        <f t="shared" si="6"/>
        <v>15</v>
      </c>
      <c r="K238" t="str">
        <f t="shared" si="7"/>
        <v>Budget</v>
      </c>
    </row>
    <row r="239" spans="2:11" x14ac:dyDescent="0.25">
      <c r="B239" t="s">
        <v>223</v>
      </c>
      <c r="C239">
        <v>2018</v>
      </c>
      <c r="D239" s="1">
        <v>434999</v>
      </c>
      <c r="E239">
        <v>10000</v>
      </c>
      <c r="F239" t="s">
        <v>9</v>
      </c>
      <c r="G239" t="s">
        <v>10</v>
      </c>
      <c r="H239" t="s">
        <v>11</v>
      </c>
      <c r="I239" t="s">
        <v>12</v>
      </c>
      <c r="J239">
        <f t="shared" si="6"/>
        <v>8</v>
      </c>
      <c r="K239" t="str">
        <f t="shared" si="7"/>
        <v>Budget</v>
      </c>
    </row>
    <row r="240" spans="2:11" x14ac:dyDescent="0.25">
      <c r="B240" t="s">
        <v>57</v>
      </c>
      <c r="C240">
        <v>2018</v>
      </c>
      <c r="D240" s="1">
        <v>500000</v>
      </c>
      <c r="E240">
        <v>32000</v>
      </c>
      <c r="F240" t="s">
        <v>9</v>
      </c>
      <c r="G240" t="s">
        <v>10</v>
      </c>
      <c r="H240" t="s">
        <v>11</v>
      </c>
      <c r="I240" t="s">
        <v>12</v>
      </c>
      <c r="J240">
        <f t="shared" si="6"/>
        <v>8</v>
      </c>
      <c r="K240" t="str">
        <f t="shared" si="7"/>
        <v>Mid Range</v>
      </c>
    </row>
    <row r="241" spans="2:11" x14ac:dyDescent="0.25">
      <c r="B241" t="s">
        <v>224</v>
      </c>
      <c r="C241">
        <v>2018</v>
      </c>
      <c r="D241" s="1">
        <v>200000</v>
      </c>
      <c r="E241">
        <v>10000</v>
      </c>
      <c r="F241" t="s">
        <v>9</v>
      </c>
      <c r="G241" t="s">
        <v>10</v>
      </c>
      <c r="H241" t="s">
        <v>11</v>
      </c>
      <c r="I241" t="s">
        <v>12</v>
      </c>
      <c r="J241">
        <f t="shared" si="6"/>
        <v>8</v>
      </c>
      <c r="K241" t="str">
        <f t="shared" si="7"/>
        <v>Budget</v>
      </c>
    </row>
    <row r="242" spans="2:11" x14ac:dyDescent="0.25">
      <c r="B242" t="s">
        <v>225</v>
      </c>
      <c r="C242">
        <v>2017</v>
      </c>
      <c r="D242" s="1">
        <v>625000</v>
      </c>
      <c r="E242">
        <v>52000</v>
      </c>
      <c r="F242" t="s">
        <v>9</v>
      </c>
      <c r="G242" t="s">
        <v>27</v>
      </c>
      <c r="H242" t="s">
        <v>11</v>
      </c>
      <c r="I242" t="s">
        <v>12</v>
      </c>
      <c r="J242">
        <f t="shared" si="6"/>
        <v>9</v>
      </c>
      <c r="K242" t="str">
        <f t="shared" si="7"/>
        <v>Mid Range</v>
      </c>
    </row>
    <row r="243" spans="2:11" x14ac:dyDescent="0.25">
      <c r="B243" t="s">
        <v>226</v>
      </c>
      <c r="C243">
        <v>2006</v>
      </c>
      <c r="D243" s="1">
        <v>110000</v>
      </c>
      <c r="E243">
        <v>120000</v>
      </c>
      <c r="F243" t="s">
        <v>15</v>
      </c>
      <c r="G243" t="s">
        <v>10</v>
      </c>
      <c r="H243" t="s">
        <v>11</v>
      </c>
      <c r="I243" t="s">
        <v>49</v>
      </c>
      <c r="J243">
        <f t="shared" si="6"/>
        <v>20</v>
      </c>
      <c r="K243" t="str">
        <f t="shared" si="7"/>
        <v>Budget</v>
      </c>
    </row>
    <row r="244" spans="2:11" x14ac:dyDescent="0.25">
      <c r="B244" t="s">
        <v>227</v>
      </c>
      <c r="C244">
        <v>2019</v>
      </c>
      <c r="D244" s="1">
        <v>800000</v>
      </c>
      <c r="E244">
        <v>11240</v>
      </c>
      <c r="F244" t="s">
        <v>9</v>
      </c>
      <c r="G244" t="s">
        <v>10</v>
      </c>
      <c r="H244" t="s">
        <v>11</v>
      </c>
      <c r="I244" t="s">
        <v>12</v>
      </c>
      <c r="J244">
        <f t="shared" si="6"/>
        <v>7</v>
      </c>
      <c r="K244" t="str">
        <f t="shared" si="7"/>
        <v>Mid Range</v>
      </c>
    </row>
    <row r="245" spans="2:11" x14ac:dyDescent="0.25">
      <c r="B245" t="s">
        <v>228</v>
      </c>
      <c r="C245">
        <v>2017</v>
      </c>
      <c r="D245" s="1">
        <v>490000</v>
      </c>
      <c r="E245">
        <v>66000</v>
      </c>
      <c r="F245" t="s">
        <v>15</v>
      </c>
      <c r="G245" t="s">
        <v>27</v>
      </c>
      <c r="H245" t="s">
        <v>11</v>
      </c>
      <c r="I245" t="s">
        <v>12</v>
      </c>
      <c r="J245">
        <f t="shared" si="6"/>
        <v>9</v>
      </c>
      <c r="K245" t="str">
        <f t="shared" si="7"/>
        <v>Budget</v>
      </c>
    </row>
    <row r="246" spans="2:11" x14ac:dyDescent="0.25">
      <c r="B246" t="s">
        <v>197</v>
      </c>
      <c r="C246">
        <v>2017</v>
      </c>
      <c r="D246" s="1">
        <v>880000</v>
      </c>
      <c r="E246">
        <v>64000</v>
      </c>
      <c r="F246" t="s">
        <v>15</v>
      </c>
      <c r="G246" t="s">
        <v>27</v>
      </c>
      <c r="H246" t="s">
        <v>11</v>
      </c>
      <c r="I246" t="s">
        <v>12</v>
      </c>
      <c r="J246">
        <f t="shared" si="6"/>
        <v>9</v>
      </c>
      <c r="K246" t="str">
        <f t="shared" si="7"/>
        <v>Mid Range</v>
      </c>
    </row>
    <row r="247" spans="2:11" x14ac:dyDescent="0.25">
      <c r="B247" t="s">
        <v>229</v>
      </c>
      <c r="C247">
        <v>2013</v>
      </c>
      <c r="D247" s="1">
        <v>290000</v>
      </c>
      <c r="E247">
        <v>49000</v>
      </c>
      <c r="F247" t="s">
        <v>9</v>
      </c>
      <c r="G247" t="s">
        <v>10</v>
      </c>
      <c r="H247" t="s">
        <v>11</v>
      </c>
      <c r="I247" t="s">
        <v>12</v>
      </c>
      <c r="J247">
        <f t="shared" si="6"/>
        <v>13</v>
      </c>
      <c r="K247" t="str">
        <f t="shared" si="7"/>
        <v>Budget</v>
      </c>
    </row>
    <row r="248" spans="2:11" x14ac:dyDescent="0.25">
      <c r="B248" t="s">
        <v>230</v>
      </c>
      <c r="C248">
        <v>2006</v>
      </c>
      <c r="D248" s="1">
        <v>115999</v>
      </c>
      <c r="E248">
        <v>100000</v>
      </c>
      <c r="F248" t="s">
        <v>15</v>
      </c>
      <c r="G248" t="s">
        <v>10</v>
      </c>
      <c r="H248" t="s">
        <v>11</v>
      </c>
      <c r="I248" t="s">
        <v>18</v>
      </c>
      <c r="J248">
        <f t="shared" si="6"/>
        <v>20</v>
      </c>
      <c r="K248" t="str">
        <f t="shared" si="7"/>
        <v>Budget</v>
      </c>
    </row>
    <row r="249" spans="2:11" x14ac:dyDescent="0.25">
      <c r="B249" t="s">
        <v>110</v>
      </c>
      <c r="C249">
        <v>2018</v>
      </c>
      <c r="D249" s="1">
        <v>360000</v>
      </c>
      <c r="E249">
        <v>26500</v>
      </c>
      <c r="F249" t="s">
        <v>9</v>
      </c>
      <c r="G249" t="s">
        <v>10</v>
      </c>
      <c r="H249" t="s">
        <v>11</v>
      </c>
      <c r="I249" t="s">
        <v>12</v>
      </c>
      <c r="J249">
        <f t="shared" si="6"/>
        <v>8</v>
      </c>
      <c r="K249" t="str">
        <f t="shared" si="7"/>
        <v>Budget</v>
      </c>
    </row>
    <row r="250" spans="2:11" x14ac:dyDescent="0.25">
      <c r="B250" t="s">
        <v>8</v>
      </c>
      <c r="C250">
        <v>2002</v>
      </c>
      <c r="D250" s="1">
        <v>65000</v>
      </c>
      <c r="E250">
        <v>100000</v>
      </c>
      <c r="F250" t="s">
        <v>9</v>
      </c>
      <c r="G250" t="s">
        <v>10</v>
      </c>
      <c r="H250" t="s">
        <v>11</v>
      </c>
      <c r="I250" t="s">
        <v>18</v>
      </c>
      <c r="J250">
        <f t="shared" si="6"/>
        <v>24</v>
      </c>
      <c r="K250" t="str">
        <f t="shared" si="7"/>
        <v>Budget</v>
      </c>
    </row>
    <row r="251" spans="2:11" x14ac:dyDescent="0.25">
      <c r="B251" t="s">
        <v>231</v>
      </c>
      <c r="C251">
        <v>2017</v>
      </c>
      <c r="D251" s="1">
        <v>685000</v>
      </c>
      <c r="E251">
        <v>72000</v>
      </c>
      <c r="F251" t="s">
        <v>15</v>
      </c>
      <c r="G251" t="s">
        <v>27</v>
      </c>
      <c r="H251" t="s">
        <v>11</v>
      </c>
      <c r="I251" t="s">
        <v>12</v>
      </c>
      <c r="J251">
        <f t="shared" si="6"/>
        <v>9</v>
      </c>
      <c r="K251" t="str">
        <f t="shared" si="7"/>
        <v>Mid Range</v>
      </c>
    </row>
    <row r="252" spans="2:11" x14ac:dyDescent="0.25">
      <c r="B252" t="s">
        <v>232</v>
      </c>
      <c r="C252">
        <v>2009</v>
      </c>
      <c r="D252" s="1">
        <v>300000</v>
      </c>
      <c r="E252">
        <v>50000</v>
      </c>
      <c r="F252" t="s">
        <v>9</v>
      </c>
      <c r="G252" t="s">
        <v>10</v>
      </c>
      <c r="H252" t="s">
        <v>11</v>
      </c>
      <c r="I252" t="s">
        <v>12</v>
      </c>
      <c r="J252">
        <f t="shared" si="6"/>
        <v>17</v>
      </c>
      <c r="K252" t="str">
        <f t="shared" si="7"/>
        <v>Budget</v>
      </c>
    </row>
    <row r="253" spans="2:11" x14ac:dyDescent="0.25">
      <c r="B253" t="s">
        <v>233</v>
      </c>
      <c r="C253">
        <v>2017</v>
      </c>
      <c r="D253" s="1">
        <v>680000</v>
      </c>
      <c r="E253">
        <v>44000</v>
      </c>
      <c r="F253" t="s">
        <v>15</v>
      </c>
      <c r="G253" t="s">
        <v>27</v>
      </c>
      <c r="H253" t="s">
        <v>11</v>
      </c>
      <c r="I253" t="s">
        <v>12</v>
      </c>
      <c r="J253">
        <f t="shared" si="6"/>
        <v>9</v>
      </c>
      <c r="K253" t="str">
        <f t="shared" si="7"/>
        <v>Mid Range</v>
      </c>
    </row>
    <row r="254" spans="2:11" x14ac:dyDescent="0.25">
      <c r="B254" t="s">
        <v>234</v>
      </c>
      <c r="C254">
        <v>2017</v>
      </c>
      <c r="D254" s="1">
        <v>1000000</v>
      </c>
      <c r="E254">
        <v>60000</v>
      </c>
      <c r="F254" t="s">
        <v>15</v>
      </c>
      <c r="G254" t="s">
        <v>10</v>
      </c>
      <c r="H254" t="s">
        <v>11</v>
      </c>
      <c r="I254" t="s">
        <v>18</v>
      </c>
      <c r="J254">
        <f t="shared" si="6"/>
        <v>9</v>
      </c>
      <c r="K254" t="str">
        <f t="shared" si="7"/>
        <v>Mid Range</v>
      </c>
    </row>
    <row r="255" spans="2:11" x14ac:dyDescent="0.25">
      <c r="B255" t="s">
        <v>235</v>
      </c>
      <c r="C255">
        <v>2002</v>
      </c>
      <c r="D255" s="1">
        <v>100000</v>
      </c>
      <c r="E255">
        <v>120000</v>
      </c>
      <c r="F255" t="s">
        <v>15</v>
      </c>
      <c r="G255" t="s">
        <v>10</v>
      </c>
      <c r="H255" t="s">
        <v>11</v>
      </c>
      <c r="I255" t="s">
        <v>12</v>
      </c>
      <c r="J255">
        <f t="shared" si="6"/>
        <v>24</v>
      </c>
      <c r="K255" t="str">
        <f t="shared" si="7"/>
        <v>Budget</v>
      </c>
    </row>
    <row r="256" spans="2:11" x14ac:dyDescent="0.25">
      <c r="B256" t="s">
        <v>182</v>
      </c>
      <c r="C256">
        <v>2010</v>
      </c>
      <c r="D256" s="1">
        <v>160000</v>
      </c>
      <c r="E256">
        <v>130000</v>
      </c>
      <c r="F256" t="s">
        <v>15</v>
      </c>
      <c r="G256" t="s">
        <v>10</v>
      </c>
      <c r="H256" t="s">
        <v>11</v>
      </c>
      <c r="I256" t="s">
        <v>12</v>
      </c>
      <c r="J256">
        <f t="shared" si="6"/>
        <v>16</v>
      </c>
      <c r="K256" t="str">
        <f t="shared" si="7"/>
        <v>Budget</v>
      </c>
    </row>
    <row r="257" spans="2:11" x14ac:dyDescent="0.25">
      <c r="B257" t="s">
        <v>63</v>
      </c>
      <c r="C257">
        <v>2017</v>
      </c>
      <c r="D257" s="1">
        <v>450000</v>
      </c>
      <c r="E257">
        <v>70000</v>
      </c>
      <c r="F257" t="s">
        <v>15</v>
      </c>
      <c r="G257" t="s">
        <v>10</v>
      </c>
      <c r="H257" t="s">
        <v>11</v>
      </c>
      <c r="I257" t="s">
        <v>12</v>
      </c>
      <c r="J257">
        <f t="shared" si="6"/>
        <v>9</v>
      </c>
      <c r="K257" t="str">
        <f t="shared" si="7"/>
        <v>Budget</v>
      </c>
    </row>
    <row r="258" spans="2:11" x14ac:dyDescent="0.25">
      <c r="B258" t="s">
        <v>236</v>
      </c>
      <c r="C258">
        <v>2014</v>
      </c>
      <c r="D258" s="1">
        <v>600000</v>
      </c>
      <c r="E258">
        <v>20000</v>
      </c>
      <c r="F258" t="s">
        <v>9</v>
      </c>
      <c r="G258" t="s">
        <v>10</v>
      </c>
      <c r="H258" t="s">
        <v>11</v>
      </c>
      <c r="I258" t="s">
        <v>12</v>
      </c>
      <c r="J258">
        <f t="shared" si="6"/>
        <v>12</v>
      </c>
      <c r="K258" t="str">
        <f t="shared" si="7"/>
        <v>Mid Range</v>
      </c>
    </row>
    <row r="259" spans="2:11" x14ac:dyDescent="0.25">
      <c r="B259" t="s">
        <v>237</v>
      </c>
      <c r="C259">
        <v>2009</v>
      </c>
      <c r="D259" s="1">
        <v>180000</v>
      </c>
      <c r="E259">
        <v>60000</v>
      </c>
      <c r="F259" t="s">
        <v>15</v>
      </c>
      <c r="G259" t="s">
        <v>10</v>
      </c>
      <c r="H259" t="s">
        <v>11</v>
      </c>
      <c r="I259" t="s">
        <v>18</v>
      </c>
      <c r="J259">
        <f t="shared" si="6"/>
        <v>17</v>
      </c>
      <c r="K259" t="str">
        <f t="shared" si="7"/>
        <v>Budget</v>
      </c>
    </row>
    <row r="260" spans="2:11" x14ac:dyDescent="0.25">
      <c r="B260" t="s">
        <v>58</v>
      </c>
      <c r="C260">
        <v>2007</v>
      </c>
      <c r="D260" s="1">
        <v>100000</v>
      </c>
      <c r="E260">
        <v>195000</v>
      </c>
      <c r="F260" t="s">
        <v>9</v>
      </c>
      <c r="G260" t="s">
        <v>10</v>
      </c>
      <c r="H260" t="s">
        <v>11</v>
      </c>
      <c r="I260" t="s">
        <v>12</v>
      </c>
      <c r="J260">
        <f t="shared" si="6"/>
        <v>19</v>
      </c>
      <c r="K260" t="str">
        <f t="shared" si="7"/>
        <v>Budget</v>
      </c>
    </row>
    <row r="261" spans="2:11" x14ac:dyDescent="0.25">
      <c r="B261" t="s">
        <v>58</v>
      </c>
      <c r="C261">
        <v>2010</v>
      </c>
      <c r="D261" s="1">
        <v>120000</v>
      </c>
      <c r="E261">
        <v>90000</v>
      </c>
      <c r="F261" t="s">
        <v>9</v>
      </c>
      <c r="G261" t="s">
        <v>10</v>
      </c>
      <c r="H261" t="s">
        <v>11</v>
      </c>
      <c r="I261" t="s">
        <v>18</v>
      </c>
      <c r="J261">
        <f t="shared" si="6"/>
        <v>16</v>
      </c>
      <c r="K261" t="str">
        <f t="shared" si="7"/>
        <v>Budget</v>
      </c>
    </row>
    <row r="262" spans="2:11" x14ac:dyDescent="0.25">
      <c r="B262" t="s">
        <v>238</v>
      </c>
      <c r="C262">
        <v>2006</v>
      </c>
      <c r="D262" s="1">
        <v>130000</v>
      </c>
      <c r="E262">
        <v>80000</v>
      </c>
      <c r="F262" t="s">
        <v>9</v>
      </c>
      <c r="G262" t="s">
        <v>10</v>
      </c>
      <c r="H262" t="s">
        <v>11</v>
      </c>
      <c r="I262" t="s">
        <v>49</v>
      </c>
      <c r="J262">
        <f t="shared" ref="J262:J325" si="8">2026 - C262</f>
        <v>20</v>
      </c>
      <c r="K262" t="str">
        <f t="shared" ref="K262:K325" si="9">IF(D262&lt;500000,"Budget",IF(D262&lt;=1000000,"Mid Range","Premium"))</f>
        <v>Budget</v>
      </c>
    </row>
    <row r="263" spans="2:11" x14ac:dyDescent="0.25">
      <c r="B263" t="s">
        <v>239</v>
      </c>
      <c r="C263">
        <v>2011</v>
      </c>
      <c r="D263" s="1">
        <v>160000</v>
      </c>
      <c r="E263">
        <v>155000</v>
      </c>
      <c r="F263" t="s">
        <v>9</v>
      </c>
      <c r="G263" t="s">
        <v>10</v>
      </c>
      <c r="H263" t="s">
        <v>11</v>
      </c>
      <c r="I263" t="s">
        <v>12</v>
      </c>
      <c r="J263">
        <f t="shared" si="8"/>
        <v>15</v>
      </c>
      <c r="K263" t="str">
        <f t="shared" si="9"/>
        <v>Budget</v>
      </c>
    </row>
    <row r="264" spans="2:11" x14ac:dyDescent="0.25">
      <c r="B264" t="s">
        <v>105</v>
      </c>
      <c r="C264">
        <v>2019</v>
      </c>
      <c r="D264" s="1">
        <v>860000</v>
      </c>
      <c r="E264">
        <v>35000</v>
      </c>
      <c r="F264" t="s">
        <v>15</v>
      </c>
      <c r="G264" t="s">
        <v>10</v>
      </c>
      <c r="H264" t="s">
        <v>11</v>
      </c>
      <c r="I264" t="s">
        <v>12</v>
      </c>
      <c r="J264">
        <f t="shared" si="8"/>
        <v>7</v>
      </c>
      <c r="K264" t="str">
        <f t="shared" si="9"/>
        <v>Mid Range</v>
      </c>
    </row>
    <row r="265" spans="2:11" x14ac:dyDescent="0.25">
      <c r="B265" t="s">
        <v>240</v>
      </c>
      <c r="C265">
        <v>2018</v>
      </c>
      <c r="D265" s="1">
        <v>650000</v>
      </c>
      <c r="E265">
        <v>20000</v>
      </c>
      <c r="F265" t="s">
        <v>9</v>
      </c>
      <c r="G265" t="s">
        <v>10</v>
      </c>
      <c r="H265" t="s">
        <v>11</v>
      </c>
      <c r="I265" t="s">
        <v>18</v>
      </c>
      <c r="J265">
        <f t="shared" si="8"/>
        <v>8</v>
      </c>
      <c r="K265" t="str">
        <f t="shared" si="9"/>
        <v>Mid Range</v>
      </c>
    </row>
    <row r="266" spans="2:11" x14ac:dyDescent="0.25">
      <c r="B266" t="s">
        <v>13</v>
      </c>
      <c r="C266">
        <v>2010</v>
      </c>
      <c r="D266" s="1">
        <v>100000</v>
      </c>
      <c r="E266">
        <v>80000</v>
      </c>
      <c r="F266" t="s">
        <v>9</v>
      </c>
      <c r="G266" t="s">
        <v>10</v>
      </c>
      <c r="H266" t="s">
        <v>11</v>
      </c>
      <c r="I266" t="s">
        <v>18</v>
      </c>
      <c r="J266">
        <f t="shared" si="8"/>
        <v>16</v>
      </c>
      <c r="K266" t="str">
        <f t="shared" si="9"/>
        <v>Budget</v>
      </c>
    </row>
    <row r="267" spans="2:11" x14ac:dyDescent="0.25">
      <c r="B267" t="s">
        <v>241</v>
      </c>
      <c r="C267">
        <v>2017</v>
      </c>
      <c r="D267" s="1">
        <v>282000</v>
      </c>
      <c r="E267">
        <v>20000</v>
      </c>
      <c r="F267" t="s">
        <v>9</v>
      </c>
      <c r="G267" t="s">
        <v>10</v>
      </c>
      <c r="H267" t="s">
        <v>11</v>
      </c>
      <c r="I267" t="s">
        <v>12</v>
      </c>
      <c r="J267">
        <f t="shared" si="8"/>
        <v>9</v>
      </c>
      <c r="K267" t="str">
        <f t="shared" si="9"/>
        <v>Budget</v>
      </c>
    </row>
    <row r="268" spans="2:11" x14ac:dyDescent="0.25">
      <c r="B268" t="s">
        <v>242</v>
      </c>
      <c r="C268">
        <v>2009</v>
      </c>
      <c r="D268" s="1">
        <v>300000</v>
      </c>
      <c r="E268">
        <v>50000</v>
      </c>
      <c r="F268" t="s">
        <v>9</v>
      </c>
      <c r="G268" t="s">
        <v>10</v>
      </c>
      <c r="H268" t="s">
        <v>11</v>
      </c>
      <c r="I268" t="s">
        <v>12</v>
      </c>
      <c r="J268">
        <f t="shared" si="8"/>
        <v>17</v>
      </c>
      <c r="K268" t="str">
        <f t="shared" si="9"/>
        <v>Budget</v>
      </c>
    </row>
    <row r="269" spans="2:11" x14ac:dyDescent="0.25">
      <c r="B269" t="s">
        <v>173</v>
      </c>
      <c r="C269">
        <v>2010</v>
      </c>
      <c r="D269" s="1">
        <v>270000</v>
      </c>
      <c r="E269">
        <v>110000</v>
      </c>
      <c r="F269" t="s">
        <v>9</v>
      </c>
      <c r="G269" t="s">
        <v>10</v>
      </c>
      <c r="H269" t="s">
        <v>11</v>
      </c>
      <c r="I269" t="s">
        <v>18</v>
      </c>
      <c r="J269">
        <f t="shared" si="8"/>
        <v>16</v>
      </c>
      <c r="K269" t="str">
        <f t="shared" si="9"/>
        <v>Budget</v>
      </c>
    </row>
    <row r="270" spans="2:11" x14ac:dyDescent="0.25">
      <c r="B270" t="s">
        <v>243</v>
      </c>
      <c r="C270">
        <v>2013</v>
      </c>
      <c r="D270" s="1">
        <v>550000</v>
      </c>
      <c r="E270">
        <v>29000</v>
      </c>
      <c r="F270" t="s">
        <v>15</v>
      </c>
      <c r="G270" t="s">
        <v>10</v>
      </c>
      <c r="H270" t="s">
        <v>11</v>
      </c>
      <c r="I270" t="s">
        <v>12</v>
      </c>
      <c r="J270">
        <f t="shared" si="8"/>
        <v>13</v>
      </c>
      <c r="K270" t="str">
        <f t="shared" si="9"/>
        <v>Mid Range</v>
      </c>
    </row>
    <row r="271" spans="2:11" x14ac:dyDescent="0.25">
      <c r="B271" t="s">
        <v>244</v>
      </c>
      <c r="C271">
        <v>2013</v>
      </c>
      <c r="D271" s="1">
        <v>450000</v>
      </c>
      <c r="E271">
        <v>120000</v>
      </c>
      <c r="F271" t="s">
        <v>15</v>
      </c>
      <c r="G271" t="s">
        <v>10</v>
      </c>
      <c r="H271" t="s">
        <v>11</v>
      </c>
      <c r="I271" t="s">
        <v>12</v>
      </c>
      <c r="J271">
        <f t="shared" si="8"/>
        <v>13</v>
      </c>
      <c r="K271" t="str">
        <f t="shared" si="9"/>
        <v>Budget</v>
      </c>
    </row>
    <row r="272" spans="2:11" x14ac:dyDescent="0.25">
      <c r="B272" t="s">
        <v>245</v>
      </c>
      <c r="C272">
        <v>2011</v>
      </c>
      <c r="D272" s="1">
        <v>430000</v>
      </c>
      <c r="E272">
        <v>70000</v>
      </c>
      <c r="F272" t="s">
        <v>15</v>
      </c>
      <c r="G272" t="s">
        <v>10</v>
      </c>
      <c r="H272" t="s">
        <v>11</v>
      </c>
      <c r="I272" t="s">
        <v>18</v>
      </c>
      <c r="J272">
        <f t="shared" si="8"/>
        <v>15</v>
      </c>
      <c r="K272" t="str">
        <f t="shared" si="9"/>
        <v>Budget</v>
      </c>
    </row>
    <row r="273" spans="2:11" x14ac:dyDescent="0.25">
      <c r="B273" t="s">
        <v>246</v>
      </c>
      <c r="C273">
        <v>2013</v>
      </c>
      <c r="D273" s="1">
        <v>350000</v>
      </c>
      <c r="E273">
        <v>40000</v>
      </c>
      <c r="F273" t="s">
        <v>9</v>
      </c>
      <c r="G273" t="s">
        <v>10</v>
      </c>
      <c r="H273" t="s">
        <v>11</v>
      </c>
      <c r="I273" t="s">
        <v>12</v>
      </c>
      <c r="J273">
        <f t="shared" si="8"/>
        <v>13</v>
      </c>
      <c r="K273" t="str">
        <f t="shared" si="9"/>
        <v>Budget</v>
      </c>
    </row>
    <row r="274" spans="2:11" x14ac:dyDescent="0.25">
      <c r="B274" t="s">
        <v>247</v>
      </c>
      <c r="C274">
        <v>2017</v>
      </c>
      <c r="D274" s="1">
        <v>350000</v>
      </c>
      <c r="E274">
        <v>20000</v>
      </c>
      <c r="F274" t="s">
        <v>9</v>
      </c>
      <c r="G274" t="s">
        <v>10</v>
      </c>
      <c r="H274" t="s">
        <v>11</v>
      </c>
      <c r="I274" t="s">
        <v>12</v>
      </c>
      <c r="J274">
        <f t="shared" si="8"/>
        <v>9</v>
      </c>
      <c r="K274" t="str">
        <f t="shared" si="9"/>
        <v>Budget</v>
      </c>
    </row>
    <row r="275" spans="2:11" x14ac:dyDescent="0.25">
      <c r="B275" t="s">
        <v>248</v>
      </c>
      <c r="C275">
        <v>2013</v>
      </c>
      <c r="D275" s="1">
        <v>229999</v>
      </c>
      <c r="E275">
        <v>50000</v>
      </c>
      <c r="F275" t="s">
        <v>9</v>
      </c>
      <c r="G275" t="s">
        <v>10</v>
      </c>
      <c r="H275" t="s">
        <v>11</v>
      </c>
      <c r="I275" t="s">
        <v>18</v>
      </c>
      <c r="J275">
        <f t="shared" si="8"/>
        <v>13</v>
      </c>
      <c r="K275" t="str">
        <f t="shared" si="9"/>
        <v>Budget</v>
      </c>
    </row>
    <row r="276" spans="2:11" x14ac:dyDescent="0.25">
      <c r="B276" t="s">
        <v>249</v>
      </c>
      <c r="C276">
        <v>2013</v>
      </c>
      <c r="D276" s="1">
        <v>110000</v>
      </c>
      <c r="E276">
        <v>50000</v>
      </c>
      <c r="F276" t="s">
        <v>9</v>
      </c>
      <c r="G276" t="s">
        <v>10</v>
      </c>
      <c r="H276" t="s">
        <v>11</v>
      </c>
      <c r="I276" t="s">
        <v>12</v>
      </c>
      <c r="J276">
        <f t="shared" si="8"/>
        <v>13</v>
      </c>
      <c r="K276" t="str">
        <f t="shared" si="9"/>
        <v>Budget</v>
      </c>
    </row>
    <row r="277" spans="2:11" x14ac:dyDescent="0.25">
      <c r="B277" t="s">
        <v>250</v>
      </c>
      <c r="C277">
        <v>2012</v>
      </c>
      <c r="D277" s="1">
        <v>395000</v>
      </c>
      <c r="E277">
        <v>49000</v>
      </c>
      <c r="F277" t="s">
        <v>9</v>
      </c>
      <c r="G277" t="s">
        <v>10</v>
      </c>
      <c r="H277" t="s">
        <v>11</v>
      </c>
      <c r="I277" t="s">
        <v>18</v>
      </c>
      <c r="J277">
        <f t="shared" si="8"/>
        <v>14</v>
      </c>
      <c r="K277" t="str">
        <f t="shared" si="9"/>
        <v>Budget</v>
      </c>
    </row>
    <row r="278" spans="2:11" x14ac:dyDescent="0.25">
      <c r="B278" t="s">
        <v>251</v>
      </c>
      <c r="C278">
        <v>2011</v>
      </c>
      <c r="D278" s="1">
        <v>650000</v>
      </c>
      <c r="E278">
        <v>70000</v>
      </c>
      <c r="F278" t="s">
        <v>15</v>
      </c>
      <c r="G278" t="s">
        <v>10</v>
      </c>
      <c r="H278" t="s">
        <v>28</v>
      </c>
      <c r="I278" t="s">
        <v>18</v>
      </c>
      <c r="J278">
        <f t="shared" si="8"/>
        <v>15</v>
      </c>
      <c r="K278" t="str">
        <f t="shared" si="9"/>
        <v>Mid Range</v>
      </c>
    </row>
    <row r="279" spans="2:11" x14ac:dyDescent="0.25">
      <c r="B279" t="s">
        <v>252</v>
      </c>
      <c r="C279">
        <v>2011</v>
      </c>
      <c r="D279" s="1">
        <v>350000</v>
      </c>
      <c r="E279">
        <v>90000</v>
      </c>
      <c r="F279" t="s">
        <v>15</v>
      </c>
      <c r="G279" t="s">
        <v>10</v>
      </c>
      <c r="H279" t="s">
        <v>11</v>
      </c>
      <c r="I279" t="s">
        <v>18</v>
      </c>
      <c r="J279">
        <f t="shared" si="8"/>
        <v>15</v>
      </c>
      <c r="K279" t="str">
        <f t="shared" si="9"/>
        <v>Budget</v>
      </c>
    </row>
    <row r="280" spans="2:11" x14ac:dyDescent="0.25">
      <c r="B280" t="s">
        <v>253</v>
      </c>
      <c r="C280">
        <v>2020</v>
      </c>
      <c r="D280" s="1">
        <v>1400000</v>
      </c>
      <c r="E280">
        <v>25000</v>
      </c>
      <c r="F280" t="s">
        <v>15</v>
      </c>
      <c r="G280" t="s">
        <v>27</v>
      </c>
      <c r="H280" t="s">
        <v>11</v>
      </c>
      <c r="I280" t="s">
        <v>12</v>
      </c>
      <c r="J280">
        <f t="shared" si="8"/>
        <v>6</v>
      </c>
      <c r="K280" t="str">
        <f t="shared" si="9"/>
        <v>Premium</v>
      </c>
    </row>
    <row r="281" spans="2:11" x14ac:dyDescent="0.25">
      <c r="B281" t="s">
        <v>254</v>
      </c>
      <c r="C281">
        <v>2018</v>
      </c>
      <c r="D281" s="1">
        <v>360000</v>
      </c>
      <c r="E281">
        <v>4000</v>
      </c>
      <c r="F281" t="s">
        <v>9</v>
      </c>
      <c r="G281" t="s">
        <v>10</v>
      </c>
      <c r="H281" t="s">
        <v>11</v>
      </c>
      <c r="I281" t="s">
        <v>12</v>
      </c>
      <c r="J281">
        <f t="shared" si="8"/>
        <v>8</v>
      </c>
      <c r="K281" t="str">
        <f t="shared" si="9"/>
        <v>Budget</v>
      </c>
    </row>
    <row r="282" spans="2:11" x14ac:dyDescent="0.25">
      <c r="B282" t="s">
        <v>255</v>
      </c>
      <c r="C282">
        <v>2018</v>
      </c>
      <c r="D282" s="1">
        <v>1300000</v>
      </c>
      <c r="E282">
        <v>10000</v>
      </c>
      <c r="F282" t="s">
        <v>15</v>
      </c>
      <c r="G282" t="s">
        <v>10</v>
      </c>
      <c r="H282" t="s">
        <v>11</v>
      </c>
      <c r="I282" t="s">
        <v>12</v>
      </c>
      <c r="J282">
        <f t="shared" si="8"/>
        <v>8</v>
      </c>
      <c r="K282" t="str">
        <f t="shared" si="9"/>
        <v>Premium</v>
      </c>
    </row>
    <row r="283" spans="2:11" x14ac:dyDescent="0.25">
      <c r="B283" t="s">
        <v>256</v>
      </c>
      <c r="C283">
        <v>2015</v>
      </c>
      <c r="D283" s="1">
        <v>800000</v>
      </c>
      <c r="E283">
        <v>15000</v>
      </c>
      <c r="F283" t="s">
        <v>15</v>
      </c>
      <c r="G283" t="s">
        <v>10</v>
      </c>
      <c r="H283" t="s">
        <v>11</v>
      </c>
      <c r="I283" t="s">
        <v>12</v>
      </c>
      <c r="J283">
        <f t="shared" si="8"/>
        <v>11</v>
      </c>
      <c r="K283" t="str">
        <f t="shared" si="9"/>
        <v>Mid Range</v>
      </c>
    </row>
    <row r="284" spans="2:11" x14ac:dyDescent="0.25">
      <c r="B284" t="s">
        <v>68</v>
      </c>
      <c r="C284">
        <v>2018</v>
      </c>
      <c r="D284" s="1">
        <v>229999</v>
      </c>
      <c r="E284">
        <v>30000</v>
      </c>
      <c r="F284" t="s">
        <v>9</v>
      </c>
      <c r="G284" t="s">
        <v>10</v>
      </c>
      <c r="H284" t="s">
        <v>11</v>
      </c>
      <c r="I284" t="s">
        <v>12</v>
      </c>
      <c r="J284">
        <f t="shared" si="8"/>
        <v>8</v>
      </c>
      <c r="K284" t="str">
        <f t="shared" si="9"/>
        <v>Budget</v>
      </c>
    </row>
    <row r="285" spans="2:11" x14ac:dyDescent="0.25">
      <c r="B285" t="s">
        <v>257</v>
      </c>
      <c r="C285">
        <v>2014</v>
      </c>
      <c r="D285" s="1">
        <v>315000</v>
      </c>
      <c r="E285">
        <v>41000</v>
      </c>
      <c r="F285" t="s">
        <v>9</v>
      </c>
      <c r="G285" t="s">
        <v>27</v>
      </c>
      <c r="H285" t="s">
        <v>11</v>
      </c>
      <c r="I285" t="s">
        <v>12</v>
      </c>
      <c r="J285">
        <f t="shared" si="8"/>
        <v>12</v>
      </c>
      <c r="K285" t="str">
        <f t="shared" si="9"/>
        <v>Budget</v>
      </c>
    </row>
    <row r="286" spans="2:11" x14ac:dyDescent="0.25">
      <c r="B286" t="s">
        <v>258</v>
      </c>
      <c r="C286">
        <v>2012</v>
      </c>
      <c r="D286" s="1">
        <v>125000</v>
      </c>
      <c r="E286">
        <v>28000</v>
      </c>
      <c r="F286" t="s">
        <v>9</v>
      </c>
      <c r="G286" t="s">
        <v>10</v>
      </c>
      <c r="H286" t="s">
        <v>11</v>
      </c>
      <c r="I286" t="s">
        <v>12</v>
      </c>
      <c r="J286">
        <f t="shared" si="8"/>
        <v>14</v>
      </c>
      <c r="K286" t="str">
        <f t="shared" si="9"/>
        <v>Budget</v>
      </c>
    </row>
    <row r="287" spans="2:11" x14ac:dyDescent="0.25">
      <c r="B287" t="s">
        <v>259</v>
      </c>
      <c r="C287">
        <v>2019</v>
      </c>
      <c r="D287" s="1">
        <v>700000</v>
      </c>
      <c r="E287">
        <v>16000</v>
      </c>
      <c r="F287" t="s">
        <v>9</v>
      </c>
      <c r="G287" t="s">
        <v>10</v>
      </c>
      <c r="H287" t="s">
        <v>11</v>
      </c>
      <c r="I287" t="s">
        <v>12</v>
      </c>
      <c r="J287">
        <f t="shared" si="8"/>
        <v>7</v>
      </c>
      <c r="K287" t="str">
        <f t="shared" si="9"/>
        <v>Mid Range</v>
      </c>
    </row>
    <row r="288" spans="2:11" x14ac:dyDescent="0.25">
      <c r="B288" t="s">
        <v>260</v>
      </c>
      <c r="C288">
        <v>2015</v>
      </c>
      <c r="D288" s="1">
        <v>160000</v>
      </c>
      <c r="E288">
        <v>70000</v>
      </c>
      <c r="F288" t="s">
        <v>9</v>
      </c>
      <c r="G288" t="s">
        <v>10</v>
      </c>
      <c r="H288" t="s">
        <v>11</v>
      </c>
      <c r="I288" t="s">
        <v>12</v>
      </c>
      <c r="J288">
        <f t="shared" si="8"/>
        <v>11</v>
      </c>
      <c r="K288" t="str">
        <f t="shared" si="9"/>
        <v>Budget</v>
      </c>
    </row>
    <row r="289" spans="2:11" x14ac:dyDescent="0.25">
      <c r="B289" t="s">
        <v>261</v>
      </c>
      <c r="C289">
        <v>2017</v>
      </c>
      <c r="D289" s="1">
        <v>530000</v>
      </c>
      <c r="E289">
        <v>10832</v>
      </c>
      <c r="F289" t="s">
        <v>9</v>
      </c>
      <c r="G289" t="s">
        <v>27</v>
      </c>
      <c r="H289" t="s">
        <v>11</v>
      </c>
      <c r="I289" t="s">
        <v>12</v>
      </c>
      <c r="J289">
        <f t="shared" si="8"/>
        <v>9</v>
      </c>
      <c r="K289" t="str">
        <f t="shared" si="9"/>
        <v>Mid Range</v>
      </c>
    </row>
    <row r="290" spans="2:11" x14ac:dyDescent="0.25">
      <c r="B290" t="s">
        <v>262</v>
      </c>
      <c r="C290">
        <v>2018</v>
      </c>
      <c r="D290" s="1">
        <v>624000</v>
      </c>
      <c r="E290">
        <v>14681</v>
      </c>
      <c r="F290" t="s">
        <v>15</v>
      </c>
      <c r="G290" t="s">
        <v>27</v>
      </c>
      <c r="H290" t="s">
        <v>11</v>
      </c>
      <c r="I290" t="s">
        <v>12</v>
      </c>
      <c r="J290">
        <f t="shared" si="8"/>
        <v>8</v>
      </c>
      <c r="K290" t="str">
        <f t="shared" si="9"/>
        <v>Mid Range</v>
      </c>
    </row>
    <row r="291" spans="2:11" x14ac:dyDescent="0.25">
      <c r="B291" t="s">
        <v>212</v>
      </c>
      <c r="C291">
        <v>2009</v>
      </c>
      <c r="D291" s="1">
        <v>250000</v>
      </c>
      <c r="E291">
        <v>50000</v>
      </c>
      <c r="F291" t="s">
        <v>9</v>
      </c>
      <c r="G291" t="s">
        <v>10</v>
      </c>
      <c r="H291" t="s">
        <v>11</v>
      </c>
      <c r="I291" t="s">
        <v>12</v>
      </c>
      <c r="J291">
        <f t="shared" si="8"/>
        <v>17</v>
      </c>
      <c r="K291" t="str">
        <f t="shared" si="9"/>
        <v>Budget</v>
      </c>
    </row>
    <row r="292" spans="2:11" x14ac:dyDescent="0.25">
      <c r="B292" t="s">
        <v>252</v>
      </c>
      <c r="C292">
        <v>2016</v>
      </c>
      <c r="D292" s="1">
        <v>585000</v>
      </c>
      <c r="E292">
        <v>51000</v>
      </c>
      <c r="F292" t="s">
        <v>15</v>
      </c>
      <c r="G292" t="s">
        <v>27</v>
      </c>
      <c r="H292" t="s">
        <v>11</v>
      </c>
      <c r="I292" t="s">
        <v>12</v>
      </c>
      <c r="J292">
        <f t="shared" si="8"/>
        <v>10</v>
      </c>
      <c r="K292" t="str">
        <f t="shared" si="9"/>
        <v>Mid Range</v>
      </c>
    </row>
    <row r="293" spans="2:11" x14ac:dyDescent="0.25">
      <c r="B293" t="s">
        <v>263</v>
      </c>
      <c r="C293">
        <v>2015</v>
      </c>
      <c r="D293" s="1">
        <v>500000</v>
      </c>
      <c r="E293">
        <v>25000</v>
      </c>
      <c r="F293" t="s">
        <v>9</v>
      </c>
      <c r="G293" t="s">
        <v>10</v>
      </c>
      <c r="H293" t="s">
        <v>11</v>
      </c>
      <c r="I293" t="s">
        <v>12</v>
      </c>
      <c r="J293">
        <f t="shared" si="8"/>
        <v>11</v>
      </c>
      <c r="K293" t="str">
        <f t="shared" si="9"/>
        <v>Mid Range</v>
      </c>
    </row>
    <row r="294" spans="2:11" x14ac:dyDescent="0.25">
      <c r="B294" t="s">
        <v>264</v>
      </c>
      <c r="C294">
        <v>2014</v>
      </c>
      <c r="D294" s="1">
        <v>350000</v>
      </c>
      <c r="E294">
        <v>30000</v>
      </c>
      <c r="F294" t="s">
        <v>9</v>
      </c>
      <c r="G294" t="s">
        <v>10</v>
      </c>
      <c r="H294" t="s">
        <v>11</v>
      </c>
      <c r="I294" t="s">
        <v>12</v>
      </c>
      <c r="J294">
        <f t="shared" si="8"/>
        <v>12</v>
      </c>
      <c r="K294" t="str">
        <f t="shared" si="9"/>
        <v>Budget</v>
      </c>
    </row>
    <row r="295" spans="2:11" x14ac:dyDescent="0.25">
      <c r="B295" t="s">
        <v>265</v>
      </c>
      <c r="C295">
        <v>2014</v>
      </c>
      <c r="D295" s="1">
        <v>495000</v>
      </c>
      <c r="E295">
        <v>80000</v>
      </c>
      <c r="F295" t="s">
        <v>15</v>
      </c>
      <c r="G295" t="s">
        <v>27</v>
      </c>
      <c r="H295" t="s">
        <v>11</v>
      </c>
      <c r="I295" t="s">
        <v>12</v>
      </c>
      <c r="J295">
        <f t="shared" si="8"/>
        <v>12</v>
      </c>
      <c r="K295" t="str">
        <f t="shared" si="9"/>
        <v>Budget</v>
      </c>
    </row>
    <row r="296" spans="2:11" x14ac:dyDescent="0.25">
      <c r="B296" t="s">
        <v>57</v>
      </c>
      <c r="C296">
        <v>2017</v>
      </c>
      <c r="D296" s="1">
        <v>500000</v>
      </c>
      <c r="E296">
        <v>50000</v>
      </c>
      <c r="F296" t="s">
        <v>9</v>
      </c>
      <c r="G296" t="s">
        <v>10</v>
      </c>
      <c r="H296" t="s">
        <v>11</v>
      </c>
      <c r="I296" t="s">
        <v>12</v>
      </c>
      <c r="J296">
        <f t="shared" si="8"/>
        <v>9</v>
      </c>
      <c r="K296" t="str">
        <f t="shared" si="9"/>
        <v>Mid Range</v>
      </c>
    </row>
    <row r="297" spans="2:11" x14ac:dyDescent="0.25">
      <c r="B297" t="s">
        <v>266</v>
      </c>
      <c r="C297">
        <v>2015</v>
      </c>
      <c r="D297" s="1">
        <v>430000</v>
      </c>
      <c r="E297">
        <v>200000</v>
      </c>
      <c r="F297" t="s">
        <v>15</v>
      </c>
      <c r="G297" t="s">
        <v>10</v>
      </c>
      <c r="H297" t="s">
        <v>11</v>
      </c>
      <c r="I297" t="s">
        <v>12</v>
      </c>
      <c r="J297">
        <f t="shared" si="8"/>
        <v>11</v>
      </c>
      <c r="K297" t="str">
        <f t="shared" si="9"/>
        <v>Budget</v>
      </c>
    </row>
    <row r="298" spans="2:11" x14ac:dyDescent="0.25">
      <c r="B298" t="s">
        <v>267</v>
      </c>
      <c r="C298">
        <v>2013</v>
      </c>
      <c r="D298" s="1">
        <v>345000</v>
      </c>
      <c r="E298">
        <v>44000</v>
      </c>
      <c r="F298" t="s">
        <v>9</v>
      </c>
      <c r="G298" t="s">
        <v>27</v>
      </c>
      <c r="H298" t="s">
        <v>11</v>
      </c>
      <c r="I298" t="s">
        <v>12</v>
      </c>
      <c r="J298">
        <f t="shared" si="8"/>
        <v>13</v>
      </c>
      <c r="K298" t="str">
        <f t="shared" si="9"/>
        <v>Budget</v>
      </c>
    </row>
    <row r="299" spans="2:11" x14ac:dyDescent="0.25">
      <c r="B299" t="s">
        <v>268</v>
      </c>
      <c r="C299">
        <v>2015</v>
      </c>
      <c r="D299" s="1">
        <v>500000</v>
      </c>
      <c r="E299">
        <v>10000</v>
      </c>
      <c r="F299" t="s">
        <v>9</v>
      </c>
      <c r="G299" t="s">
        <v>10</v>
      </c>
      <c r="H299" t="s">
        <v>11</v>
      </c>
      <c r="I299" t="s">
        <v>12</v>
      </c>
      <c r="J299">
        <f t="shared" si="8"/>
        <v>11</v>
      </c>
      <c r="K299" t="str">
        <f t="shared" si="9"/>
        <v>Mid Range</v>
      </c>
    </row>
    <row r="300" spans="2:11" x14ac:dyDescent="0.25">
      <c r="B300" t="s">
        <v>254</v>
      </c>
      <c r="C300">
        <v>2019</v>
      </c>
      <c r="D300" s="1">
        <v>425000</v>
      </c>
      <c r="E300">
        <v>19600</v>
      </c>
      <c r="F300" t="s">
        <v>9</v>
      </c>
      <c r="G300" t="s">
        <v>10</v>
      </c>
      <c r="H300" t="s">
        <v>11</v>
      </c>
      <c r="I300" t="s">
        <v>12</v>
      </c>
      <c r="J300">
        <f t="shared" si="8"/>
        <v>7</v>
      </c>
      <c r="K300" t="str">
        <f t="shared" si="9"/>
        <v>Budget</v>
      </c>
    </row>
    <row r="301" spans="2:11" x14ac:dyDescent="0.25">
      <c r="B301" t="s">
        <v>153</v>
      </c>
      <c r="C301">
        <v>2005</v>
      </c>
      <c r="D301" s="1">
        <v>80000</v>
      </c>
      <c r="E301">
        <v>40000</v>
      </c>
      <c r="F301" t="s">
        <v>9</v>
      </c>
      <c r="G301" t="s">
        <v>10</v>
      </c>
      <c r="H301" t="s">
        <v>11</v>
      </c>
      <c r="I301" t="s">
        <v>18</v>
      </c>
      <c r="J301">
        <f t="shared" si="8"/>
        <v>21</v>
      </c>
      <c r="K301" t="str">
        <f t="shared" si="9"/>
        <v>Budget</v>
      </c>
    </row>
    <row r="302" spans="2:11" x14ac:dyDescent="0.25">
      <c r="B302" t="s">
        <v>218</v>
      </c>
      <c r="C302">
        <v>2011</v>
      </c>
      <c r="D302" s="1">
        <v>106000</v>
      </c>
      <c r="E302">
        <v>50000</v>
      </c>
      <c r="F302" t="s">
        <v>15</v>
      </c>
      <c r="G302" t="s">
        <v>10</v>
      </c>
      <c r="H302" t="s">
        <v>11</v>
      </c>
      <c r="I302" t="s">
        <v>12</v>
      </c>
      <c r="J302">
        <f t="shared" si="8"/>
        <v>15</v>
      </c>
      <c r="K302" t="str">
        <f t="shared" si="9"/>
        <v>Budget</v>
      </c>
    </row>
    <row r="303" spans="2:11" x14ac:dyDescent="0.25">
      <c r="B303" t="s">
        <v>269</v>
      </c>
      <c r="C303">
        <v>2009</v>
      </c>
      <c r="D303" s="1">
        <v>180000</v>
      </c>
      <c r="E303">
        <v>46730</v>
      </c>
      <c r="F303" t="s">
        <v>9</v>
      </c>
      <c r="G303" t="s">
        <v>10</v>
      </c>
      <c r="H303" t="s">
        <v>11</v>
      </c>
      <c r="I303" t="s">
        <v>12</v>
      </c>
      <c r="J303">
        <f t="shared" si="8"/>
        <v>17</v>
      </c>
      <c r="K303" t="str">
        <f t="shared" si="9"/>
        <v>Budget</v>
      </c>
    </row>
    <row r="304" spans="2:11" x14ac:dyDescent="0.25">
      <c r="B304" t="s">
        <v>270</v>
      </c>
      <c r="C304">
        <v>2015</v>
      </c>
      <c r="D304" s="1">
        <v>250000</v>
      </c>
      <c r="E304">
        <v>40000</v>
      </c>
      <c r="F304" t="s">
        <v>9</v>
      </c>
      <c r="G304" t="s">
        <v>10</v>
      </c>
      <c r="H304" t="s">
        <v>11</v>
      </c>
      <c r="I304" t="s">
        <v>18</v>
      </c>
      <c r="J304">
        <f t="shared" si="8"/>
        <v>11</v>
      </c>
      <c r="K304" t="str">
        <f t="shared" si="9"/>
        <v>Budget</v>
      </c>
    </row>
    <row r="305" spans="2:11" x14ac:dyDescent="0.25">
      <c r="B305" t="s">
        <v>271</v>
      </c>
      <c r="C305">
        <v>2011</v>
      </c>
      <c r="D305" s="1">
        <v>350000</v>
      </c>
      <c r="E305">
        <v>80000</v>
      </c>
      <c r="F305" t="s">
        <v>15</v>
      </c>
      <c r="G305" t="s">
        <v>10</v>
      </c>
      <c r="H305" t="s">
        <v>11</v>
      </c>
      <c r="I305" t="s">
        <v>12</v>
      </c>
      <c r="J305">
        <f t="shared" si="8"/>
        <v>15</v>
      </c>
      <c r="K305" t="str">
        <f t="shared" si="9"/>
        <v>Budget</v>
      </c>
    </row>
    <row r="306" spans="2:11" x14ac:dyDescent="0.25">
      <c r="B306" t="s">
        <v>272</v>
      </c>
      <c r="C306">
        <v>2002</v>
      </c>
      <c r="D306" s="1">
        <v>60000</v>
      </c>
      <c r="E306">
        <v>80000</v>
      </c>
      <c r="F306" t="s">
        <v>9</v>
      </c>
      <c r="G306" t="s">
        <v>10</v>
      </c>
      <c r="H306" t="s">
        <v>11</v>
      </c>
      <c r="I306" t="s">
        <v>18</v>
      </c>
      <c r="J306">
        <f t="shared" si="8"/>
        <v>24</v>
      </c>
      <c r="K306" t="str">
        <f t="shared" si="9"/>
        <v>Budget</v>
      </c>
    </row>
    <row r="307" spans="2:11" x14ac:dyDescent="0.25">
      <c r="B307" t="s">
        <v>273</v>
      </c>
      <c r="C307">
        <v>2018</v>
      </c>
      <c r="D307" s="1">
        <v>900000</v>
      </c>
      <c r="E307">
        <v>24000</v>
      </c>
      <c r="F307" t="s">
        <v>15</v>
      </c>
      <c r="G307" t="s">
        <v>10</v>
      </c>
      <c r="H307" t="s">
        <v>11</v>
      </c>
      <c r="I307" t="s">
        <v>12</v>
      </c>
      <c r="J307">
        <f t="shared" si="8"/>
        <v>8</v>
      </c>
      <c r="K307" t="str">
        <f t="shared" si="9"/>
        <v>Mid Range</v>
      </c>
    </row>
    <row r="308" spans="2:11" x14ac:dyDescent="0.25">
      <c r="B308" t="s">
        <v>274</v>
      </c>
      <c r="C308">
        <v>2017</v>
      </c>
      <c r="D308" s="1">
        <v>700000</v>
      </c>
      <c r="E308">
        <v>21170</v>
      </c>
      <c r="F308" t="s">
        <v>15</v>
      </c>
      <c r="G308" t="s">
        <v>27</v>
      </c>
      <c r="H308" t="s">
        <v>11</v>
      </c>
      <c r="I308" t="s">
        <v>12</v>
      </c>
      <c r="J308">
        <f t="shared" si="8"/>
        <v>9</v>
      </c>
      <c r="K308" t="str">
        <f t="shared" si="9"/>
        <v>Mid Range</v>
      </c>
    </row>
    <row r="309" spans="2:11" x14ac:dyDescent="0.25">
      <c r="B309" t="s">
        <v>275</v>
      </c>
      <c r="C309">
        <v>2013</v>
      </c>
      <c r="D309" s="1">
        <v>2000000</v>
      </c>
      <c r="E309">
        <v>167223</v>
      </c>
      <c r="F309" t="s">
        <v>15</v>
      </c>
      <c r="G309" t="s">
        <v>27</v>
      </c>
      <c r="H309" t="s">
        <v>28</v>
      </c>
      <c r="I309" t="s">
        <v>12</v>
      </c>
      <c r="J309">
        <f t="shared" si="8"/>
        <v>13</v>
      </c>
      <c r="K309" t="str">
        <f t="shared" si="9"/>
        <v>Premium</v>
      </c>
    </row>
    <row r="310" spans="2:11" x14ac:dyDescent="0.25">
      <c r="B310" t="s">
        <v>234</v>
      </c>
      <c r="C310">
        <v>2017</v>
      </c>
      <c r="D310" s="1">
        <v>1000000</v>
      </c>
      <c r="E310">
        <v>40000</v>
      </c>
      <c r="F310" t="s">
        <v>15</v>
      </c>
      <c r="G310" t="s">
        <v>10</v>
      </c>
      <c r="H310" t="s">
        <v>11</v>
      </c>
      <c r="I310" t="s">
        <v>12</v>
      </c>
      <c r="J310">
        <f t="shared" si="8"/>
        <v>9</v>
      </c>
      <c r="K310" t="str">
        <f t="shared" si="9"/>
        <v>Mid Range</v>
      </c>
    </row>
    <row r="311" spans="2:11" x14ac:dyDescent="0.25">
      <c r="B311" t="s">
        <v>276</v>
      </c>
      <c r="C311">
        <v>2011</v>
      </c>
      <c r="D311" s="1">
        <v>1375000</v>
      </c>
      <c r="E311">
        <v>60000</v>
      </c>
      <c r="F311" t="s">
        <v>15</v>
      </c>
      <c r="G311" t="s">
        <v>10</v>
      </c>
      <c r="H311" t="s">
        <v>28</v>
      </c>
      <c r="I311" t="s">
        <v>12</v>
      </c>
      <c r="J311">
        <f t="shared" si="8"/>
        <v>15</v>
      </c>
      <c r="K311" t="str">
        <f t="shared" si="9"/>
        <v>Premium</v>
      </c>
    </row>
    <row r="312" spans="2:11" x14ac:dyDescent="0.25">
      <c r="B312" t="s">
        <v>277</v>
      </c>
      <c r="C312">
        <v>2016</v>
      </c>
      <c r="D312" s="1">
        <v>1800000</v>
      </c>
      <c r="E312">
        <v>141440</v>
      </c>
      <c r="F312" t="s">
        <v>15</v>
      </c>
      <c r="G312" t="s">
        <v>27</v>
      </c>
      <c r="H312" t="s">
        <v>11</v>
      </c>
      <c r="I312" t="s">
        <v>12</v>
      </c>
      <c r="J312">
        <f t="shared" si="8"/>
        <v>10</v>
      </c>
      <c r="K312" t="str">
        <f t="shared" si="9"/>
        <v>Premium</v>
      </c>
    </row>
    <row r="313" spans="2:11" x14ac:dyDescent="0.25">
      <c r="B313" t="s">
        <v>278</v>
      </c>
      <c r="C313">
        <v>2007</v>
      </c>
      <c r="D313" s="1">
        <v>160000</v>
      </c>
      <c r="E313">
        <v>120000</v>
      </c>
      <c r="F313" t="s">
        <v>15</v>
      </c>
      <c r="G313" t="s">
        <v>10</v>
      </c>
      <c r="H313" t="s">
        <v>11</v>
      </c>
      <c r="I313" t="s">
        <v>49</v>
      </c>
      <c r="J313">
        <f t="shared" si="8"/>
        <v>19</v>
      </c>
      <c r="K313" t="str">
        <f t="shared" si="9"/>
        <v>Budget</v>
      </c>
    </row>
    <row r="314" spans="2:11" x14ac:dyDescent="0.25">
      <c r="B314" t="s">
        <v>279</v>
      </c>
      <c r="C314">
        <v>2012</v>
      </c>
      <c r="D314" s="1">
        <v>525000</v>
      </c>
      <c r="E314">
        <v>140000</v>
      </c>
      <c r="F314" t="s">
        <v>9</v>
      </c>
      <c r="G314" t="s">
        <v>10</v>
      </c>
      <c r="H314" t="s">
        <v>28</v>
      </c>
      <c r="I314" t="s">
        <v>12</v>
      </c>
      <c r="J314">
        <f t="shared" si="8"/>
        <v>14</v>
      </c>
      <c r="K314" t="str">
        <f t="shared" si="9"/>
        <v>Mid Range</v>
      </c>
    </row>
    <row r="315" spans="2:11" x14ac:dyDescent="0.25">
      <c r="B315" t="s">
        <v>90</v>
      </c>
      <c r="C315">
        <v>2012</v>
      </c>
      <c r="D315" s="1">
        <v>850000</v>
      </c>
      <c r="E315">
        <v>212814</v>
      </c>
      <c r="F315" t="s">
        <v>15</v>
      </c>
      <c r="G315" t="s">
        <v>27</v>
      </c>
      <c r="H315" t="s">
        <v>11</v>
      </c>
      <c r="I315" t="s">
        <v>12</v>
      </c>
      <c r="J315">
        <f t="shared" si="8"/>
        <v>14</v>
      </c>
      <c r="K315" t="str">
        <f t="shared" si="9"/>
        <v>Mid Range</v>
      </c>
    </row>
    <row r="316" spans="2:11" x14ac:dyDescent="0.25">
      <c r="B316" t="s">
        <v>280</v>
      </c>
      <c r="C316">
        <v>2019</v>
      </c>
      <c r="D316" s="1">
        <v>800000</v>
      </c>
      <c r="E316">
        <v>30000</v>
      </c>
      <c r="F316" t="s">
        <v>15</v>
      </c>
      <c r="G316" t="s">
        <v>10</v>
      </c>
      <c r="H316" t="s">
        <v>11</v>
      </c>
      <c r="I316" t="s">
        <v>12</v>
      </c>
      <c r="J316">
        <f t="shared" si="8"/>
        <v>7</v>
      </c>
      <c r="K316" t="str">
        <f t="shared" si="9"/>
        <v>Mid Range</v>
      </c>
    </row>
    <row r="317" spans="2:11" x14ac:dyDescent="0.25">
      <c r="B317" t="s">
        <v>281</v>
      </c>
      <c r="C317">
        <v>2017</v>
      </c>
      <c r="D317" s="1">
        <v>700000</v>
      </c>
      <c r="E317">
        <v>88635</v>
      </c>
      <c r="F317" t="s">
        <v>15</v>
      </c>
      <c r="G317" t="s">
        <v>27</v>
      </c>
      <c r="H317" t="s">
        <v>11</v>
      </c>
      <c r="I317" t="s">
        <v>12</v>
      </c>
      <c r="J317">
        <f t="shared" si="8"/>
        <v>9</v>
      </c>
      <c r="K317" t="str">
        <f t="shared" si="9"/>
        <v>Mid Range</v>
      </c>
    </row>
    <row r="318" spans="2:11" x14ac:dyDescent="0.25">
      <c r="B318" t="s">
        <v>114</v>
      </c>
      <c r="C318">
        <v>2018</v>
      </c>
      <c r="D318" s="1">
        <v>800000</v>
      </c>
      <c r="E318">
        <v>25000</v>
      </c>
      <c r="F318" t="s">
        <v>15</v>
      </c>
      <c r="G318" t="s">
        <v>10</v>
      </c>
      <c r="H318" t="s">
        <v>11</v>
      </c>
      <c r="I318" t="s">
        <v>12</v>
      </c>
      <c r="J318">
        <f t="shared" si="8"/>
        <v>8</v>
      </c>
      <c r="K318" t="str">
        <f t="shared" si="9"/>
        <v>Mid Range</v>
      </c>
    </row>
    <row r="319" spans="2:11" x14ac:dyDescent="0.25">
      <c r="B319" t="s">
        <v>240</v>
      </c>
      <c r="C319">
        <v>2017</v>
      </c>
      <c r="D319" s="1">
        <v>575000</v>
      </c>
      <c r="E319">
        <v>20000</v>
      </c>
      <c r="F319" t="s">
        <v>9</v>
      </c>
      <c r="G319" t="s">
        <v>10</v>
      </c>
      <c r="H319" t="s">
        <v>11</v>
      </c>
      <c r="I319" t="s">
        <v>18</v>
      </c>
      <c r="J319">
        <f t="shared" si="8"/>
        <v>9</v>
      </c>
      <c r="K319" t="str">
        <f t="shared" si="9"/>
        <v>Mid Range</v>
      </c>
    </row>
    <row r="320" spans="2:11" x14ac:dyDescent="0.25">
      <c r="B320" t="s">
        <v>163</v>
      </c>
      <c r="C320">
        <v>2012</v>
      </c>
      <c r="D320" s="1">
        <v>350000</v>
      </c>
      <c r="E320">
        <v>110000</v>
      </c>
      <c r="F320" t="s">
        <v>15</v>
      </c>
      <c r="G320" t="s">
        <v>10</v>
      </c>
      <c r="H320" t="s">
        <v>11</v>
      </c>
      <c r="I320" t="s">
        <v>18</v>
      </c>
      <c r="J320">
        <f t="shared" si="8"/>
        <v>14</v>
      </c>
      <c r="K320" t="str">
        <f t="shared" si="9"/>
        <v>Budget</v>
      </c>
    </row>
    <row r="321" spans="2:11" x14ac:dyDescent="0.25">
      <c r="B321" t="s">
        <v>122</v>
      </c>
      <c r="C321">
        <v>2008</v>
      </c>
      <c r="D321" s="1">
        <v>250000</v>
      </c>
      <c r="E321">
        <v>120000</v>
      </c>
      <c r="F321" t="s">
        <v>15</v>
      </c>
      <c r="G321" t="s">
        <v>10</v>
      </c>
      <c r="H321" t="s">
        <v>11</v>
      </c>
      <c r="I321" t="s">
        <v>49</v>
      </c>
      <c r="J321">
        <f t="shared" si="8"/>
        <v>18</v>
      </c>
      <c r="K321" t="str">
        <f t="shared" si="9"/>
        <v>Budget</v>
      </c>
    </row>
    <row r="322" spans="2:11" x14ac:dyDescent="0.25">
      <c r="B322" t="s">
        <v>282</v>
      </c>
      <c r="C322">
        <v>2011</v>
      </c>
      <c r="D322" s="1">
        <v>600000</v>
      </c>
      <c r="E322">
        <v>149674</v>
      </c>
      <c r="F322" t="s">
        <v>15</v>
      </c>
      <c r="G322" t="s">
        <v>27</v>
      </c>
      <c r="H322" t="s">
        <v>11</v>
      </c>
      <c r="I322" t="s">
        <v>18</v>
      </c>
      <c r="J322">
        <f t="shared" si="8"/>
        <v>15</v>
      </c>
      <c r="K322" t="str">
        <f t="shared" si="9"/>
        <v>Mid Range</v>
      </c>
    </row>
    <row r="323" spans="2:11" x14ac:dyDescent="0.25">
      <c r="B323" t="s">
        <v>283</v>
      </c>
      <c r="C323">
        <v>2007</v>
      </c>
      <c r="D323" s="1">
        <v>370000</v>
      </c>
      <c r="E323">
        <v>100000</v>
      </c>
      <c r="F323" t="s">
        <v>15</v>
      </c>
      <c r="G323" t="s">
        <v>10</v>
      </c>
      <c r="H323" t="s">
        <v>11</v>
      </c>
      <c r="I323" t="s">
        <v>49</v>
      </c>
      <c r="J323">
        <f t="shared" si="8"/>
        <v>19</v>
      </c>
      <c r="K323" t="str">
        <f t="shared" si="9"/>
        <v>Budget</v>
      </c>
    </row>
    <row r="324" spans="2:11" x14ac:dyDescent="0.25">
      <c r="B324" t="s">
        <v>284</v>
      </c>
      <c r="C324">
        <v>2006</v>
      </c>
      <c r="D324" s="1">
        <v>80000</v>
      </c>
      <c r="E324">
        <v>120000</v>
      </c>
      <c r="F324" t="s">
        <v>9</v>
      </c>
      <c r="G324" t="s">
        <v>10</v>
      </c>
      <c r="H324" t="s">
        <v>11</v>
      </c>
      <c r="I324" t="s">
        <v>49</v>
      </c>
      <c r="J324">
        <f t="shared" si="8"/>
        <v>20</v>
      </c>
      <c r="K324" t="str">
        <f t="shared" si="9"/>
        <v>Budget</v>
      </c>
    </row>
    <row r="325" spans="2:11" x14ac:dyDescent="0.25">
      <c r="B325" t="s">
        <v>285</v>
      </c>
      <c r="C325">
        <v>2003</v>
      </c>
      <c r="D325" s="1">
        <v>50000</v>
      </c>
      <c r="E325">
        <v>120000</v>
      </c>
      <c r="F325" t="s">
        <v>15</v>
      </c>
      <c r="G325" t="s">
        <v>10</v>
      </c>
      <c r="H325" t="s">
        <v>11</v>
      </c>
      <c r="I325" t="s">
        <v>18</v>
      </c>
      <c r="J325">
        <f t="shared" si="8"/>
        <v>23</v>
      </c>
      <c r="K325" t="str">
        <f t="shared" si="9"/>
        <v>Budget</v>
      </c>
    </row>
    <row r="326" spans="2:11" x14ac:dyDescent="0.25">
      <c r="B326" t="s">
        <v>273</v>
      </c>
      <c r="C326">
        <v>2018</v>
      </c>
      <c r="D326" s="1">
        <v>900000</v>
      </c>
      <c r="E326">
        <v>25000</v>
      </c>
      <c r="F326" t="s">
        <v>15</v>
      </c>
      <c r="G326" t="s">
        <v>10</v>
      </c>
      <c r="H326" t="s">
        <v>11</v>
      </c>
      <c r="I326" t="s">
        <v>12</v>
      </c>
      <c r="J326">
        <f t="shared" ref="J326:J389" si="10">2026 - C326</f>
        <v>8</v>
      </c>
      <c r="K326" t="str">
        <f t="shared" ref="K326:K389" si="11">IF(D326&lt;500000,"Budget",IF(D326&lt;=1000000,"Mid Range","Premium"))</f>
        <v>Mid Range</v>
      </c>
    </row>
    <row r="327" spans="2:11" x14ac:dyDescent="0.25">
      <c r="B327" t="s">
        <v>54</v>
      </c>
      <c r="C327">
        <v>2014</v>
      </c>
      <c r="D327" s="1">
        <v>300000</v>
      </c>
      <c r="E327">
        <v>35000</v>
      </c>
      <c r="F327" t="s">
        <v>9</v>
      </c>
      <c r="G327" t="s">
        <v>10</v>
      </c>
      <c r="H327" t="s">
        <v>11</v>
      </c>
      <c r="I327" t="s">
        <v>18</v>
      </c>
      <c r="J327">
        <f t="shared" si="10"/>
        <v>12</v>
      </c>
      <c r="K327" t="str">
        <f t="shared" si="11"/>
        <v>Budget</v>
      </c>
    </row>
    <row r="328" spans="2:11" x14ac:dyDescent="0.25">
      <c r="B328" t="s">
        <v>286</v>
      </c>
      <c r="C328">
        <v>2002</v>
      </c>
      <c r="D328" s="1">
        <v>125000</v>
      </c>
      <c r="E328">
        <v>40000</v>
      </c>
      <c r="F328" t="s">
        <v>9</v>
      </c>
      <c r="G328" t="s">
        <v>10</v>
      </c>
      <c r="H328" t="s">
        <v>11</v>
      </c>
      <c r="I328" t="s">
        <v>12</v>
      </c>
      <c r="J328">
        <f t="shared" si="10"/>
        <v>24</v>
      </c>
      <c r="K328" t="str">
        <f t="shared" si="11"/>
        <v>Budget</v>
      </c>
    </row>
    <row r="329" spans="2:11" x14ac:dyDescent="0.25">
      <c r="B329" t="s">
        <v>114</v>
      </c>
      <c r="C329">
        <v>2015</v>
      </c>
      <c r="D329" s="1">
        <v>490000</v>
      </c>
      <c r="E329">
        <v>60000</v>
      </c>
      <c r="F329" t="s">
        <v>15</v>
      </c>
      <c r="G329" t="s">
        <v>10</v>
      </c>
      <c r="H329" t="s">
        <v>11</v>
      </c>
      <c r="I329" t="s">
        <v>18</v>
      </c>
      <c r="J329">
        <f t="shared" si="10"/>
        <v>11</v>
      </c>
      <c r="K329" t="str">
        <f t="shared" si="11"/>
        <v>Budget</v>
      </c>
    </row>
    <row r="330" spans="2:11" x14ac:dyDescent="0.25">
      <c r="B330" t="s">
        <v>287</v>
      </c>
      <c r="C330">
        <v>2012</v>
      </c>
      <c r="D330" s="1">
        <v>300000</v>
      </c>
      <c r="E330">
        <v>50000</v>
      </c>
      <c r="F330" t="s">
        <v>15</v>
      </c>
      <c r="G330" t="s">
        <v>10</v>
      </c>
      <c r="H330" t="s">
        <v>11</v>
      </c>
      <c r="I330" t="s">
        <v>18</v>
      </c>
      <c r="J330">
        <f t="shared" si="10"/>
        <v>14</v>
      </c>
      <c r="K330" t="str">
        <f t="shared" si="11"/>
        <v>Budget</v>
      </c>
    </row>
    <row r="331" spans="2:11" x14ac:dyDescent="0.25">
      <c r="B331" t="s">
        <v>288</v>
      </c>
      <c r="C331">
        <v>2013</v>
      </c>
      <c r="D331" s="1">
        <v>55000</v>
      </c>
      <c r="E331">
        <v>25000</v>
      </c>
      <c r="F331" t="s">
        <v>9</v>
      </c>
      <c r="G331" t="s">
        <v>10</v>
      </c>
      <c r="H331" t="s">
        <v>11</v>
      </c>
      <c r="I331" t="s">
        <v>46</v>
      </c>
      <c r="J331">
        <f t="shared" si="10"/>
        <v>13</v>
      </c>
      <c r="K331" t="str">
        <f t="shared" si="11"/>
        <v>Budget</v>
      </c>
    </row>
    <row r="332" spans="2:11" x14ac:dyDescent="0.25">
      <c r="B332" t="s">
        <v>289</v>
      </c>
      <c r="C332">
        <v>2016</v>
      </c>
      <c r="D332" s="1">
        <v>350000</v>
      </c>
      <c r="E332">
        <v>25000</v>
      </c>
      <c r="F332" t="s">
        <v>9</v>
      </c>
      <c r="G332" t="s">
        <v>10</v>
      </c>
      <c r="H332" t="s">
        <v>11</v>
      </c>
      <c r="I332" t="s">
        <v>12</v>
      </c>
      <c r="J332">
        <f t="shared" si="10"/>
        <v>10</v>
      </c>
      <c r="K332" t="str">
        <f t="shared" si="11"/>
        <v>Budget</v>
      </c>
    </row>
    <row r="333" spans="2:11" x14ac:dyDescent="0.25">
      <c r="B333" t="s">
        <v>222</v>
      </c>
      <c r="C333">
        <v>2019</v>
      </c>
      <c r="D333" s="1">
        <v>755000</v>
      </c>
      <c r="E333">
        <v>8000</v>
      </c>
      <c r="F333" t="s">
        <v>15</v>
      </c>
      <c r="G333" t="s">
        <v>10</v>
      </c>
      <c r="H333" t="s">
        <v>11</v>
      </c>
      <c r="I333" t="s">
        <v>12</v>
      </c>
      <c r="J333">
        <f t="shared" si="10"/>
        <v>7</v>
      </c>
      <c r="K333" t="str">
        <f t="shared" si="11"/>
        <v>Mid Range</v>
      </c>
    </row>
    <row r="334" spans="2:11" x14ac:dyDescent="0.25">
      <c r="B334" t="s">
        <v>125</v>
      </c>
      <c r="C334">
        <v>2017</v>
      </c>
      <c r="D334" s="1">
        <v>720000</v>
      </c>
      <c r="E334">
        <v>60000</v>
      </c>
      <c r="F334" t="s">
        <v>15</v>
      </c>
      <c r="G334" t="s">
        <v>10</v>
      </c>
      <c r="H334" t="s">
        <v>11</v>
      </c>
      <c r="I334" t="s">
        <v>12</v>
      </c>
      <c r="J334">
        <f t="shared" si="10"/>
        <v>9</v>
      </c>
      <c r="K334" t="str">
        <f t="shared" si="11"/>
        <v>Mid Range</v>
      </c>
    </row>
    <row r="335" spans="2:11" x14ac:dyDescent="0.25">
      <c r="B335" t="s">
        <v>252</v>
      </c>
      <c r="C335">
        <v>2006</v>
      </c>
      <c r="D335" s="1">
        <v>229999</v>
      </c>
      <c r="E335">
        <v>200000</v>
      </c>
      <c r="F335" t="s">
        <v>15</v>
      </c>
      <c r="G335" t="s">
        <v>10</v>
      </c>
      <c r="H335" t="s">
        <v>11</v>
      </c>
      <c r="I335" t="s">
        <v>49</v>
      </c>
      <c r="J335">
        <f t="shared" si="10"/>
        <v>20</v>
      </c>
      <c r="K335" t="str">
        <f t="shared" si="11"/>
        <v>Budget</v>
      </c>
    </row>
    <row r="336" spans="2:11" x14ac:dyDescent="0.25">
      <c r="B336" t="s">
        <v>290</v>
      </c>
      <c r="C336">
        <v>2018</v>
      </c>
      <c r="D336" s="1">
        <v>1100000</v>
      </c>
      <c r="E336">
        <v>20000</v>
      </c>
      <c r="F336" t="s">
        <v>15</v>
      </c>
      <c r="G336" t="s">
        <v>10</v>
      </c>
      <c r="H336" t="s">
        <v>11</v>
      </c>
      <c r="I336" t="s">
        <v>12</v>
      </c>
      <c r="J336">
        <f t="shared" si="10"/>
        <v>8</v>
      </c>
      <c r="K336" t="str">
        <f t="shared" si="11"/>
        <v>Premium</v>
      </c>
    </row>
    <row r="337" spans="2:11" x14ac:dyDescent="0.25">
      <c r="B337" t="s">
        <v>291</v>
      </c>
      <c r="C337">
        <v>2013</v>
      </c>
      <c r="D337" s="1">
        <v>400000</v>
      </c>
      <c r="E337">
        <v>100000</v>
      </c>
      <c r="F337" t="s">
        <v>9</v>
      </c>
      <c r="G337" t="s">
        <v>10</v>
      </c>
      <c r="H337" t="s">
        <v>11</v>
      </c>
      <c r="I337" t="s">
        <v>12</v>
      </c>
      <c r="J337">
        <f t="shared" si="10"/>
        <v>13</v>
      </c>
      <c r="K337" t="str">
        <f t="shared" si="11"/>
        <v>Budget</v>
      </c>
    </row>
    <row r="338" spans="2:11" x14ac:dyDescent="0.25">
      <c r="B338" t="s">
        <v>292</v>
      </c>
      <c r="C338">
        <v>2015</v>
      </c>
      <c r="D338" s="1">
        <v>350000</v>
      </c>
      <c r="E338">
        <v>70000</v>
      </c>
      <c r="F338" t="s">
        <v>15</v>
      </c>
      <c r="G338" t="s">
        <v>10</v>
      </c>
      <c r="H338" t="s">
        <v>11</v>
      </c>
      <c r="I338" t="s">
        <v>18</v>
      </c>
      <c r="J338">
        <f t="shared" si="10"/>
        <v>11</v>
      </c>
      <c r="K338" t="str">
        <f t="shared" si="11"/>
        <v>Budget</v>
      </c>
    </row>
    <row r="339" spans="2:11" x14ac:dyDescent="0.25">
      <c r="B339" t="s">
        <v>293</v>
      </c>
      <c r="C339">
        <v>2012</v>
      </c>
      <c r="D339" s="1">
        <v>159000</v>
      </c>
      <c r="E339">
        <v>68000</v>
      </c>
      <c r="F339" t="s">
        <v>15</v>
      </c>
      <c r="G339" t="s">
        <v>27</v>
      </c>
      <c r="H339" t="s">
        <v>11</v>
      </c>
      <c r="I339" t="s">
        <v>12</v>
      </c>
      <c r="J339">
        <f t="shared" si="10"/>
        <v>14</v>
      </c>
      <c r="K339" t="str">
        <f t="shared" si="11"/>
        <v>Budget</v>
      </c>
    </row>
    <row r="340" spans="2:11" x14ac:dyDescent="0.25">
      <c r="B340" t="s">
        <v>294</v>
      </c>
      <c r="C340">
        <v>2017</v>
      </c>
      <c r="D340" s="1">
        <v>550000</v>
      </c>
      <c r="E340">
        <v>38000</v>
      </c>
      <c r="F340" t="s">
        <v>9</v>
      </c>
      <c r="G340" t="s">
        <v>27</v>
      </c>
      <c r="H340" t="s">
        <v>11</v>
      </c>
      <c r="I340" t="s">
        <v>12</v>
      </c>
      <c r="J340">
        <f t="shared" si="10"/>
        <v>9</v>
      </c>
      <c r="K340" t="str">
        <f t="shared" si="11"/>
        <v>Mid Range</v>
      </c>
    </row>
    <row r="341" spans="2:11" x14ac:dyDescent="0.25">
      <c r="B341" t="s">
        <v>295</v>
      </c>
      <c r="C341">
        <v>2013</v>
      </c>
      <c r="D341" s="1">
        <v>335000</v>
      </c>
      <c r="E341">
        <v>80000</v>
      </c>
      <c r="F341" t="s">
        <v>15</v>
      </c>
      <c r="G341" t="s">
        <v>27</v>
      </c>
      <c r="H341" t="s">
        <v>11</v>
      </c>
      <c r="I341" t="s">
        <v>12</v>
      </c>
      <c r="J341">
        <f t="shared" si="10"/>
        <v>13</v>
      </c>
      <c r="K341" t="str">
        <f t="shared" si="11"/>
        <v>Budget</v>
      </c>
    </row>
    <row r="342" spans="2:11" x14ac:dyDescent="0.25">
      <c r="B342" t="s">
        <v>296</v>
      </c>
      <c r="C342">
        <v>2014</v>
      </c>
      <c r="D342" s="1">
        <v>185000</v>
      </c>
      <c r="E342">
        <v>72000</v>
      </c>
      <c r="F342" t="s">
        <v>24</v>
      </c>
      <c r="G342" t="s">
        <v>27</v>
      </c>
      <c r="H342" t="s">
        <v>11</v>
      </c>
      <c r="I342" t="s">
        <v>12</v>
      </c>
      <c r="J342">
        <f t="shared" si="10"/>
        <v>12</v>
      </c>
      <c r="K342" t="str">
        <f t="shared" si="11"/>
        <v>Budget</v>
      </c>
    </row>
    <row r="343" spans="2:11" x14ac:dyDescent="0.25">
      <c r="B343" t="s">
        <v>297</v>
      </c>
      <c r="C343">
        <v>2012</v>
      </c>
      <c r="D343" s="1">
        <v>229999</v>
      </c>
      <c r="E343">
        <v>75000</v>
      </c>
      <c r="F343" t="s">
        <v>24</v>
      </c>
      <c r="G343" t="s">
        <v>27</v>
      </c>
      <c r="H343" t="s">
        <v>11</v>
      </c>
      <c r="I343" t="s">
        <v>12</v>
      </c>
      <c r="J343">
        <f t="shared" si="10"/>
        <v>14</v>
      </c>
      <c r="K343" t="str">
        <f t="shared" si="11"/>
        <v>Budget</v>
      </c>
    </row>
    <row r="344" spans="2:11" x14ac:dyDescent="0.25">
      <c r="B344" t="s">
        <v>298</v>
      </c>
      <c r="C344">
        <v>2014</v>
      </c>
      <c r="D344" s="1">
        <v>225000</v>
      </c>
      <c r="E344">
        <v>43000</v>
      </c>
      <c r="F344" t="s">
        <v>9</v>
      </c>
      <c r="G344" t="s">
        <v>27</v>
      </c>
      <c r="H344" t="s">
        <v>11</v>
      </c>
      <c r="I344" t="s">
        <v>12</v>
      </c>
      <c r="J344">
        <f t="shared" si="10"/>
        <v>12</v>
      </c>
      <c r="K344" t="str">
        <f t="shared" si="11"/>
        <v>Budget</v>
      </c>
    </row>
    <row r="345" spans="2:11" x14ac:dyDescent="0.25">
      <c r="B345" t="s">
        <v>299</v>
      </c>
      <c r="C345">
        <v>2007</v>
      </c>
      <c r="D345" s="1">
        <v>250000</v>
      </c>
      <c r="E345">
        <v>120000</v>
      </c>
      <c r="F345" t="s">
        <v>9</v>
      </c>
      <c r="G345" t="s">
        <v>10</v>
      </c>
      <c r="H345" t="s">
        <v>11</v>
      </c>
      <c r="I345" t="s">
        <v>18</v>
      </c>
      <c r="J345">
        <f t="shared" si="10"/>
        <v>19</v>
      </c>
      <c r="K345" t="str">
        <f t="shared" si="11"/>
        <v>Budget</v>
      </c>
    </row>
    <row r="346" spans="2:11" x14ac:dyDescent="0.25">
      <c r="B346" t="s">
        <v>300</v>
      </c>
      <c r="C346">
        <v>2015</v>
      </c>
      <c r="D346" s="1">
        <v>400000</v>
      </c>
      <c r="E346">
        <v>100000</v>
      </c>
      <c r="F346" t="s">
        <v>15</v>
      </c>
      <c r="G346" t="s">
        <v>10</v>
      </c>
      <c r="H346" t="s">
        <v>11</v>
      </c>
      <c r="I346" t="s">
        <v>12</v>
      </c>
      <c r="J346">
        <f t="shared" si="10"/>
        <v>11</v>
      </c>
      <c r="K346" t="str">
        <f t="shared" si="11"/>
        <v>Budget</v>
      </c>
    </row>
    <row r="347" spans="2:11" x14ac:dyDescent="0.25">
      <c r="B347" t="s">
        <v>162</v>
      </c>
      <c r="C347">
        <v>2014</v>
      </c>
      <c r="D347" s="1">
        <v>470000</v>
      </c>
      <c r="E347">
        <v>163000</v>
      </c>
      <c r="F347" t="s">
        <v>15</v>
      </c>
      <c r="G347" t="s">
        <v>10</v>
      </c>
      <c r="H347" t="s">
        <v>11</v>
      </c>
      <c r="I347" t="s">
        <v>12</v>
      </c>
      <c r="J347">
        <f t="shared" si="10"/>
        <v>12</v>
      </c>
      <c r="K347" t="str">
        <f t="shared" si="11"/>
        <v>Budget</v>
      </c>
    </row>
    <row r="348" spans="2:11" x14ac:dyDescent="0.25">
      <c r="B348" t="s">
        <v>301</v>
      </c>
      <c r="C348">
        <v>2018</v>
      </c>
      <c r="D348" s="1">
        <v>300000</v>
      </c>
      <c r="E348">
        <v>25000</v>
      </c>
      <c r="F348" t="s">
        <v>9</v>
      </c>
      <c r="G348" t="s">
        <v>10</v>
      </c>
      <c r="H348" t="s">
        <v>28</v>
      </c>
      <c r="I348" t="s">
        <v>12</v>
      </c>
      <c r="J348">
        <f t="shared" si="10"/>
        <v>8</v>
      </c>
      <c r="K348" t="str">
        <f t="shared" si="11"/>
        <v>Budget</v>
      </c>
    </row>
    <row r="349" spans="2:11" x14ac:dyDescent="0.25">
      <c r="B349" t="s">
        <v>172</v>
      </c>
      <c r="C349">
        <v>2011</v>
      </c>
      <c r="D349" s="1">
        <v>145000</v>
      </c>
      <c r="E349">
        <v>25000</v>
      </c>
      <c r="F349" t="s">
        <v>9</v>
      </c>
      <c r="G349" t="s">
        <v>10</v>
      </c>
      <c r="H349" t="s">
        <v>11</v>
      </c>
      <c r="I349" t="s">
        <v>12</v>
      </c>
      <c r="J349">
        <f t="shared" si="10"/>
        <v>15</v>
      </c>
      <c r="K349" t="str">
        <f t="shared" si="11"/>
        <v>Budget</v>
      </c>
    </row>
    <row r="350" spans="2:11" x14ac:dyDescent="0.25">
      <c r="B350" t="s">
        <v>117</v>
      </c>
      <c r="C350">
        <v>2007</v>
      </c>
      <c r="D350" s="1">
        <v>100000</v>
      </c>
      <c r="E350">
        <v>90000</v>
      </c>
      <c r="F350" t="s">
        <v>9</v>
      </c>
      <c r="G350" t="s">
        <v>10</v>
      </c>
      <c r="H350" t="s">
        <v>11</v>
      </c>
      <c r="I350" t="s">
        <v>18</v>
      </c>
      <c r="J350">
        <f t="shared" si="10"/>
        <v>19</v>
      </c>
      <c r="K350" t="str">
        <f t="shared" si="11"/>
        <v>Budget</v>
      </c>
    </row>
    <row r="351" spans="2:11" x14ac:dyDescent="0.25">
      <c r="B351" t="s">
        <v>302</v>
      </c>
      <c r="C351">
        <v>2014</v>
      </c>
      <c r="D351" s="1">
        <v>500000</v>
      </c>
      <c r="E351">
        <v>70000</v>
      </c>
      <c r="F351" t="s">
        <v>15</v>
      </c>
      <c r="G351" t="s">
        <v>10</v>
      </c>
      <c r="H351" t="s">
        <v>11</v>
      </c>
      <c r="I351" t="s">
        <v>18</v>
      </c>
      <c r="J351">
        <f t="shared" si="10"/>
        <v>12</v>
      </c>
      <c r="K351" t="str">
        <f t="shared" si="11"/>
        <v>Mid Range</v>
      </c>
    </row>
    <row r="352" spans="2:11" x14ac:dyDescent="0.25">
      <c r="B352" t="s">
        <v>303</v>
      </c>
      <c r="C352">
        <v>2010</v>
      </c>
      <c r="D352" s="1">
        <v>130000</v>
      </c>
      <c r="E352">
        <v>98000</v>
      </c>
      <c r="F352" t="s">
        <v>24</v>
      </c>
      <c r="G352" t="s">
        <v>10</v>
      </c>
      <c r="H352" t="s">
        <v>11</v>
      </c>
      <c r="I352" t="s">
        <v>18</v>
      </c>
      <c r="J352">
        <f t="shared" si="10"/>
        <v>16</v>
      </c>
      <c r="K352" t="str">
        <f t="shared" si="11"/>
        <v>Budget</v>
      </c>
    </row>
    <row r="353" spans="2:11" x14ac:dyDescent="0.25">
      <c r="B353" t="s">
        <v>130</v>
      </c>
      <c r="C353">
        <v>2010</v>
      </c>
      <c r="D353" s="1">
        <v>240000</v>
      </c>
      <c r="E353">
        <v>81925</v>
      </c>
      <c r="F353" t="s">
        <v>15</v>
      </c>
      <c r="G353" t="s">
        <v>10</v>
      </c>
      <c r="H353" t="s">
        <v>11</v>
      </c>
      <c r="I353" t="s">
        <v>12</v>
      </c>
      <c r="J353">
        <f t="shared" si="10"/>
        <v>16</v>
      </c>
      <c r="K353" t="str">
        <f t="shared" si="11"/>
        <v>Budget</v>
      </c>
    </row>
    <row r="354" spans="2:11" x14ac:dyDescent="0.25">
      <c r="B354" t="s">
        <v>304</v>
      </c>
      <c r="C354">
        <v>2013</v>
      </c>
      <c r="D354" s="1">
        <v>150000</v>
      </c>
      <c r="E354">
        <v>80000</v>
      </c>
      <c r="F354" t="s">
        <v>15</v>
      </c>
      <c r="G354" t="s">
        <v>10</v>
      </c>
      <c r="H354" t="s">
        <v>11</v>
      </c>
      <c r="I354" t="s">
        <v>18</v>
      </c>
      <c r="J354">
        <f t="shared" si="10"/>
        <v>13</v>
      </c>
      <c r="K354" t="str">
        <f t="shared" si="11"/>
        <v>Budget</v>
      </c>
    </row>
    <row r="355" spans="2:11" x14ac:dyDescent="0.25">
      <c r="B355" t="s">
        <v>305</v>
      </c>
      <c r="C355">
        <v>2017</v>
      </c>
      <c r="D355" s="1">
        <v>270000</v>
      </c>
      <c r="E355">
        <v>40000</v>
      </c>
      <c r="F355" t="s">
        <v>9</v>
      </c>
      <c r="G355" t="s">
        <v>10</v>
      </c>
      <c r="H355" t="s">
        <v>11</v>
      </c>
      <c r="I355" t="s">
        <v>12</v>
      </c>
      <c r="J355">
        <f t="shared" si="10"/>
        <v>9</v>
      </c>
      <c r="K355" t="str">
        <f t="shared" si="11"/>
        <v>Budget</v>
      </c>
    </row>
    <row r="356" spans="2:11" x14ac:dyDescent="0.25">
      <c r="B356" t="s">
        <v>114</v>
      </c>
      <c r="C356">
        <v>2014</v>
      </c>
      <c r="D356" s="1">
        <v>400000</v>
      </c>
      <c r="E356">
        <v>90000</v>
      </c>
      <c r="F356" t="s">
        <v>15</v>
      </c>
      <c r="G356" t="s">
        <v>10</v>
      </c>
      <c r="H356" t="s">
        <v>11</v>
      </c>
      <c r="I356" t="s">
        <v>12</v>
      </c>
      <c r="J356">
        <f t="shared" si="10"/>
        <v>12</v>
      </c>
      <c r="K356" t="str">
        <f t="shared" si="11"/>
        <v>Budget</v>
      </c>
    </row>
    <row r="357" spans="2:11" x14ac:dyDescent="0.25">
      <c r="B357" t="s">
        <v>136</v>
      </c>
      <c r="C357">
        <v>2012</v>
      </c>
      <c r="D357" s="1">
        <v>200000</v>
      </c>
      <c r="E357">
        <v>46000</v>
      </c>
      <c r="F357" t="s">
        <v>9</v>
      </c>
      <c r="G357" t="s">
        <v>10</v>
      </c>
      <c r="H357" t="s">
        <v>11</v>
      </c>
      <c r="I357" t="s">
        <v>12</v>
      </c>
      <c r="J357">
        <f t="shared" si="10"/>
        <v>14</v>
      </c>
      <c r="K357" t="str">
        <f t="shared" si="11"/>
        <v>Budget</v>
      </c>
    </row>
    <row r="358" spans="2:11" x14ac:dyDescent="0.25">
      <c r="B358" t="s">
        <v>195</v>
      </c>
      <c r="C358">
        <v>2012</v>
      </c>
      <c r="D358" s="1">
        <v>550000</v>
      </c>
      <c r="E358">
        <v>80000</v>
      </c>
      <c r="F358" t="s">
        <v>15</v>
      </c>
      <c r="G358" t="s">
        <v>10</v>
      </c>
      <c r="H358" t="s">
        <v>11</v>
      </c>
      <c r="I358" t="s">
        <v>12</v>
      </c>
      <c r="J358">
        <f t="shared" si="10"/>
        <v>14</v>
      </c>
      <c r="K358" t="str">
        <f t="shared" si="11"/>
        <v>Mid Range</v>
      </c>
    </row>
    <row r="359" spans="2:11" x14ac:dyDescent="0.25">
      <c r="B359" t="s">
        <v>306</v>
      </c>
      <c r="C359">
        <v>2018</v>
      </c>
      <c r="D359" s="1">
        <v>325000</v>
      </c>
      <c r="E359">
        <v>35000</v>
      </c>
      <c r="F359" t="s">
        <v>9</v>
      </c>
      <c r="G359" t="s">
        <v>10</v>
      </c>
      <c r="H359" t="s">
        <v>11</v>
      </c>
      <c r="I359" t="s">
        <v>12</v>
      </c>
      <c r="J359">
        <f t="shared" si="10"/>
        <v>8</v>
      </c>
      <c r="K359" t="str">
        <f t="shared" si="11"/>
        <v>Budget</v>
      </c>
    </row>
    <row r="360" spans="2:11" x14ac:dyDescent="0.25">
      <c r="B360" t="s">
        <v>307</v>
      </c>
      <c r="C360">
        <v>2017</v>
      </c>
      <c r="D360" s="1">
        <v>860000</v>
      </c>
      <c r="E360">
        <v>82080</v>
      </c>
      <c r="F360" t="s">
        <v>15</v>
      </c>
      <c r="G360" t="s">
        <v>10</v>
      </c>
      <c r="H360" t="s">
        <v>28</v>
      </c>
      <c r="I360" t="s">
        <v>12</v>
      </c>
      <c r="J360">
        <f t="shared" si="10"/>
        <v>9</v>
      </c>
      <c r="K360" t="str">
        <f t="shared" si="11"/>
        <v>Mid Range</v>
      </c>
    </row>
    <row r="361" spans="2:11" x14ac:dyDescent="0.25">
      <c r="B361" t="s">
        <v>90</v>
      </c>
      <c r="C361">
        <v>2012</v>
      </c>
      <c r="D361" s="1">
        <v>600000</v>
      </c>
      <c r="E361">
        <v>200000</v>
      </c>
      <c r="F361" t="s">
        <v>15</v>
      </c>
      <c r="G361" t="s">
        <v>10</v>
      </c>
      <c r="H361" t="s">
        <v>11</v>
      </c>
      <c r="I361" t="s">
        <v>12</v>
      </c>
      <c r="J361">
        <f t="shared" si="10"/>
        <v>14</v>
      </c>
      <c r="K361" t="str">
        <f t="shared" si="11"/>
        <v>Mid Range</v>
      </c>
    </row>
    <row r="362" spans="2:11" x14ac:dyDescent="0.25">
      <c r="B362" t="s">
        <v>308</v>
      </c>
      <c r="C362">
        <v>2009</v>
      </c>
      <c r="D362" s="1">
        <v>125000</v>
      </c>
      <c r="E362">
        <v>70000</v>
      </c>
      <c r="F362" t="s">
        <v>9</v>
      </c>
      <c r="G362" t="s">
        <v>10</v>
      </c>
      <c r="H362" t="s">
        <v>11</v>
      </c>
      <c r="I362" t="s">
        <v>12</v>
      </c>
      <c r="J362">
        <f t="shared" si="10"/>
        <v>17</v>
      </c>
      <c r="K362" t="str">
        <f t="shared" si="11"/>
        <v>Budget</v>
      </c>
    </row>
    <row r="363" spans="2:11" x14ac:dyDescent="0.25">
      <c r="B363" t="s">
        <v>8</v>
      </c>
      <c r="C363">
        <v>2000</v>
      </c>
      <c r="D363" s="1">
        <v>60000</v>
      </c>
      <c r="E363">
        <v>40000</v>
      </c>
      <c r="F363" t="s">
        <v>9</v>
      </c>
      <c r="G363" t="s">
        <v>10</v>
      </c>
      <c r="H363" t="s">
        <v>11</v>
      </c>
      <c r="I363" t="s">
        <v>49</v>
      </c>
      <c r="J363">
        <f t="shared" si="10"/>
        <v>26</v>
      </c>
      <c r="K363" t="str">
        <f t="shared" si="11"/>
        <v>Budget</v>
      </c>
    </row>
    <row r="364" spans="2:11" x14ac:dyDescent="0.25">
      <c r="B364" t="s">
        <v>278</v>
      </c>
      <c r="C364">
        <v>2010</v>
      </c>
      <c r="D364" s="1">
        <v>300000</v>
      </c>
      <c r="E364">
        <v>120000</v>
      </c>
      <c r="F364" t="s">
        <v>15</v>
      </c>
      <c r="G364" t="s">
        <v>10</v>
      </c>
      <c r="H364" t="s">
        <v>11</v>
      </c>
      <c r="I364" t="s">
        <v>49</v>
      </c>
      <c r="J364">
        <f t="shared" si="10"/>
        <v>16</v>
      </c>
      <c r="K364" t="str">
        <f t="shared" si="11"/>
        <v>Budget</v>
      </c>
    </row>
    <row r="365" spans="2:11" x14ac:dyDescent="0.25">
      <c r="B365" t="s">
        <v>309</v>
      </c>
      <c r="C365">
        <v>2007</v>
      </c>
      <c r="D365" s="1">
        <v>190000</v>
      </c>
      <c r="E365">
        <v>60000</v>
      </c>
      <c r="F365" t="s">
        <v>9</v>
      </c>
      <c r="G365" t="s">
        <v>10</v>
      </c>
      <c r="H365" t="s">
        <v>11</v>
      </c>
      <c r="I365" t="s">
        <v>49</v>
      </c>
      <c r="J365">
        <f t="shared" si="10"/>
        <v>19</v>
      </c>
      <c r="K365" t="str">
        <f t="shared" si="11"/>
        <v>Budget</v>
      </c>
    </row>
    <row r="366" spans="2:11" x14ac:dyDescent="0.25">
      <c r="B366" t="s">
        <v>118</v>
      </c>
      <c r="C366">
        <v>2013</v>
      </c>
      <c r="D366" s="1">
        <v>400000</v>
      </c>
      <c r="E366">
        <v>110000</v>
      </c>
      <c r="F366" t="s">
        <v>15</v>
      </c>
      <c r="G366" t="s">
        <v>10</v>
      </c>
      <c r="H366" t="s">
        <v>11</v>
      </c>
      <c r="I366" t="s">
        <v>12</v>
      </c>
      <c r="J366">
        <f t="shared" si="10"/>
        <v>13</v>
      </c>
      <c r="K366" t="str">
        <f t="shared" si="11"/>
        <v>Budget</v>
      </c>
    </row>
    <row r="367" spans="2:11" x14ac:dyDescent="0.25">
      <c r="B367" t="s">
        <v>310</v>
      </c>
      <c r="C367">
        <v>2011</v>
      </c>
      <c r="D367" s="1">
        <v>260000</v>
      </c>
      <c r="E367">
        <v>97000</v>
      </c>
      <c r="F367" t="s">
        <v>15</v>
      </c>
      <c r="G367" t="s">
        <v>10</v>
      </c>
      <c r="H367" t="s">
        <v>11</v>
      </c>
      <c r="I367" t="s">
        <v>18</v>
      </c>
      <c r="J367">
        <f t="shared" si="10"/>
        <v>15</v>
      </c>
      <c r="K367" t="str">
        <f t="shared" si="11"/>
        <v>Budget</v>
      </c>
    </row>
    <row r="368" spans="2:11" x14ac:dyDescent="0.25">
      <c r="B368" t="s">
        <v>311</v>
      </c>
      <c r="C368">
        <v>2017</v>
      </c>
      <c r="D368" s="1">
        <v>400000</v>
      </c>
      <c r="E368">
        <v>30000</v>
      </c>
      <c r="F368" t="s">
        <v>9</v>
      </c>
      <c r="G368" t="s">
        <v>10</v>
      </c>
      <c r="H368" t="s">
        <v>11</v>
      </c>
      <c r="I368" t="s">
        <v>12</v>
      </c>
      <c r="J368">
        <f t="shared" si="10"/>
        <v>9</v>
      </c>
      <c r="K368" t="str">
        <f t="shared" si="11"/>
        <v>Budget</v>
      </c>
    </row>
    <row r="369" spans="2:11" x14ac:dyDescent="0.25">
      <c r="B369" t="s">
        <v>312</v>
      </c>
      <c r="C369">
        <v>2010</v>
      </c>
      <c r="D369" s="1">
        <v>250000</v>
      </c>
      <c r="E369">
        <v>40000</v>
      </c>
      <c r="F369" t="s">
        <v>9</v>
      </c>
      <c r="G369" t="s">
        <v>10</v>
      </c>
      <c r="H369" t="s">
        <v>11</v>
      </c>
      <c r="I369" t="s">
        <v>12</v>
      </c>
      <c r="J369">
        <f t="shared" si="10"/>
        <v>16</v>
      </c>
      <c r="K369" t="str">
        <f t="shared" si="11"/>
        <v>Budget</v>
      </c>
    </row>
    <row r="370" spans="2:11" x14ac:dyDescent="0.25">
      <c r="B370" t="s">
        <v>57</v>
      </c>
      <c r="C370">
        <v>2019</v>
      </c>
      <c r="D370" s="1">
        <v>600000</v>
      </c>
      <c r="E370">
        <v>10000</v>
      </c>
      <c r="F370" t="s">
        <v>9</v>
      </c>
      <c r="G370" t="s">
        <v>10</v>
      </c>
      <c r="H370" t="s">
        <v>11</v>
      </c>
      <c r="I370" t="s">
        <v>12</v>
      </c>
      <c r="J370">
        <f t="shared" si="10"/>
        <v>7</v>
      </c>
      <c r="K370" t="str">
        <f t="shared" si="11"/>
        <v>Mid Range</v>
      </c>
    </row>
    <row r="371" spans="2:11" x14ac:dyDescent="0.25">
      <c r="B371" t="s">
        <v>313</v>
      </c>
      <c r="C371">
        <v>2010</v>
      </c>
      <c r="D371" s="1">
        <v>175000</v>
      </c>
      <c r="E371">
        <v>52047</v>
      </c>
      <c r="F371" t="s">
        <v>9</v>
      </c>
      <c r="G371" t="s">
        <v>10</v>
      </c>
      <c r="H371" t="s">
        <v>11</v>
      </c>
      <c r="I371" t="s">
        <v>12</v>
      </c>
      <c r="J371">
        <f t="shared" si="10"/>
        <v>16</v>
      </c>
      <c r="K371" t="str">
        <f t="shared" si="11"/>
        <v>Budget</v>
      </c>
    </row>
    <row r="372" spans="2:11" x14ac:dyDescent="0.25">
      <c r="B372" t="s">
        <v>314</v>
      </c>
      <c r="C372">
        <v>2011</v>
      </c>
      <c r="D372" s="1">
        <v>450000</v>
      </c>
      <c r="E372">
        <v>200000</v>
      </c>
      <c r="F372" t="s">
        <v>15</v>
      </c>
      <c r="G372" t="s">
        <v>10</v>
      </c>
      <c r="H372" t="s">
        <v>11</v>
      </c>
      <c r="I372" t="s">
        <v>49</v>
      </c>
      <c r="J372">
        <f t="shared" si="10"/>
        <v>15</v>
      </c>
      <c r="K372" t="str">
        <f t="shared" si="11"/>
        <v>Budget</v>
      </c>
    </row>
    <row r="373" spans="2:11" x14ac:dyDescent="0.25">
      <c r="B373" t="s">
        <v>315</v>
      </c>
      <c r="C373">
        <v>2019</v>
      </c>
      <c r="D373" s="1">
        <v>350000</v>
      </c>
      <c r="E373">
        <v>15000</v>
      </c>
      <c r="F373" t="s">
        <v>9</v>
      </c>
      <c r="G373" t="s">
        <v>10</v>
      </c>
      <c r="H373" t="s">
        <v>28</v>
      </c>
      <c r="I373" t="s">
        <v>18</v>
      </c>
      <c r="J373">
        <f t="shared" si="10"/>
        <v>7</v>
      </c>
      <c r="K373" t="str">
        <f t="shared" si="11"/>
        <v>Budget</v>
      </c>
    </row>
    <row r="374" spans="2:11" x14ac:dyDescent="0.25">
      <c r="B374" t="s">
        <v>316</v>
      </c>
      <c r="C374">
        <v>2018</v>
      </c>
      <c r="D374" s="1">
        <v>800000</v>
      </c>
      <c r="E374">
        <v>50000</v>
      </c>
      <c r="F374" t="s">
        <v>15</v>
      </c>
      <c r="G374" t="s">
        <v>10</v>
      </c>
      <c r="H374" t="s">
        <v>11</v>
      </c>
      <c r="I374" t="s">
        <v>12</v>
      </c>
      <c r="J374">
        <f t="shared" si="10"/>
        <v>8</v>
      </c>
      <c r="K374" t="str">
        <f t="shared" si="11"/>
        <v>Mid Range</v>
      </c>
    </row>
    <row r="375" spans="2:11" x14ac:dyDescent="0.25">
      <c r="B375" t="s">
        <v>317</v>
      </c>
      <c r="C375">
        <v>2011</v>
      </c>
      <c r="D375" s="1">
        <v>250000</v>
      </c>
      <c r="E375">
        <v>70000</v>
      </c>
      <c r="F375" t="s">
        <v>9</v>
      </c>
      <c r="G375" t="s">
        <v>10</v>
      </c>
      <c r="H375" t="s">
        <v>11</v>
      </c>
      <c r="I375" t="s">
        <v>18</v>
      </c>
      <c r="J375">
        <f t="shared" si="10"/>
        <v>15</v>
      </c>
      <c r="K375" t="str">
        <f t="shared" si="11"/>
        <v>Budget</v>
      </c>
    </row>
    <row r="376" spans="2:11" x14ac:dyDescent="0.25">
      <c r="B376" t="s">
        <v>318</v>
      </c>
      <c r="C376">
        <v>2019</v>
      </c>
      <c r="D376" s="1">
        <v>600000</v>
      </c>
      <c r="E376">
        <v>10000</v>
      </c>
      <c r="F376" t="s">
        <v>9</v>
      </c>
      <c r="G376" t="s">
        <v>10</v>
      </c>
      <c r="H376" t="s">
        <v>11</v>
      </c>
      <c r="I376" t="s">
        <v>12</v>
      </c>
      <c r="J376">
        <f t="shared" si="10"/>
        <v>7</v>
      </c>
      <c r="K376" t="str">
        <f t="shared" si="11"/>
        <v>Mid Range</v>
      </c>
    </row>
    <row r="377" spans="2:11" x14ac:dyDescent="0.25">
      <c r="B377" t="s">
        <v>162</v>
      </c>
      <c r="C377">
        <v>2017</v>
      </c>
      <c r="D377" s="1">
        <v>600000</v>
      </c>
      <c r="E377">
        <v>90000</v>
      </c>
      <c r="F377" t="s">
        <v>15</v>
      </c>
      <c r="G377" t="s">
        <v>10</v>
      </c>
      <c r="H377" t="s">
        <v>11</v>
      </c>
      <c r="I377" t="s">
        <v>12</v>
      </c>
      <c r="J377">
        <f t="shared" si="10"/>
        <v>9</v>
      </c>
      <c r="K377" t="str">
        <f t="shared" si="11"/>
        <v>Mid Range</v>
      </c>
    </row>
    <row r="378" spans="2:11" x14ac:dyDescent="0.25">
      <c r="B378" t="s">
        <v>249</v>
      </c>
      <c r="C378">
        <v>2016</v>
      </c>
      <c r="D378" s="1">
        <v>130000</v>
      </c>
      <c r="E378">
        <v>40000</v>
      </c>
      <c r="F378" t="s">
        <v>9</v>
      </c>
      <c r="G378" t="s">
        <v>10</v>
      </c>
      <c r="H378" t="s">
        <v>11</v>
      </c>
      <c r="I378" t="s">
        <v>12</v>
      </c>
      <c r="J378">
        <f t="shared" si="10"/>
        <v>10</v>
      </c>
      <c r="K378" t="str">
        <f t="shared" si="11"/>
        <v>Budget</v>
      </c>
    </row>
    <row r="379" spans="2:11" x14ac:dyDescent="0.25">
      <c r="B379" t="s">
        <v>153</v>
      </c>
      <c r="C379">
        <v>2006</v>
      </c>
      <c r="D379" s="1">
        <v>90000</v>
      </c>
      <c r="E379">
        <v>62009</v>
      </c>
      <c r="F379" t="s">
        <v>9</v>
      </c>
      <c r="G379" t="s">
        <v>10</v>
      </c>
      <c r="H379" t="s">
        <v>11</v>
      </c>
      <c r="I379" t="s">
        <v>18</v>
      </c>
      <c r="J379">
        <f t="shared" si="10"/>
        <v>20</v>
      </c>
      <c r="K379" t="str">
        <f t="shared" si="11"/>
        <v>Budget</v>
      </c>
    </row>
    <row r="380" spans="2:11" x14ac:dyDescent="0.25">
      <c r="B380" t="s">
        <v>319</v>
      </c>
      <c r="C380">
        <v>2017</v>
      </c>
      <c r="D380" s="1">
        <v>595000</v>
      </c>
      <c r="E380">
        <v>33100</v>
      </c>
      <c r="F380" t="s">
        <v>9</v>
      </c>
      <c r="G380" t="s">
        <v>10</v>
      </c>
      <c r="H380" t="s">
        <v>11</v>
      </c>
      <c r="I380" t="s">
        <v>18</v>
      </c>
      <c r="J380">
        <f t="shared" si="10"/>
        <v>9</v>
      </c>
      <c r="K380" t="str">
        <f t="shared" si="11"/>
        <v>Mid Range</v>
      </c>
    </row>
    <row r="381" spans="2:11" x14ac:dyDescent="0.25">
      <c r="B381" t="s">
        <v>136</v>
      </c>
      <c r="C381">
        <v>2014</v>
      </c>
      <c r="D381" s="1">
        <v>190000</v>
      </c>
      <c r="E381">
        <v>40000</v>
      </c>
      <c r="F381" t="s">
        <v>9</v>
      </c>
      <c r="G381" t="s">
        <v>10</v>
      </c>
      <c r="H381" t="s">
        <v>11</v>
      </c>
      <c r="I381" t="s">
        <v>18</v>
      </c>
      <c r="J381">
        <f t="shared" si="10"/>
        <v>12</v>
      </c>
      <c r="K381" t="str">
        <f t="shared" si="11"/>
        <v>Budget</v>
      </c>
    </row>
    <row r="382" spans="2:11" x14ac:dyDescent="0.25">
      <c r="B382" t="s">
        <v>320</v>
      </c>
      <c r="C382">
        <v>1999</v>
      </c>
      <c r="D382" s="1">
        <v>50000</v>
      </c>
      <c r="E382">
        <v>120000</v>
      </c>
      <c r="F382" t="s">
        <v>9</v>
      </c>
      <c r="G382" t="s">
        <v>10</v>
      </c>
      <c r="H382" t="s">
        <v>11</v>
      </c>
      <c r="I382" t="s">
        <v>18</v>
      </c>
      <c r="J382">
        <f t="shared" si="10"/>
        <v>27</v>
      </c>
      <c r="K382" t="str">
        <f t="shared" si="11"/>
        <v>Budget</v>
      </c>
    </row>
    <row r="383" spans="2:11" x14ac:dyDescent="0.25">
      <c r="B383" t="s">
        <v>13</v>
      </c>
      <c r="C383">
        <v>2007</v>
      </c>
      <c r="D383" s="1">
        <v>95000</v>
      </c>
      <c r="E383">
        <v>80000</v>
      </c>
      <c r="F383" t="s">
        <v>9</v>
      </c>
      <c r="G383" t="s">
        <v>10</v>
      </c>
      <c r="H383" t="s">
        <v>11</v>
      </c>
      <c r="I383" t="s">
        <v>12</v>
      </c>
      <c r="J383">
        <f t="shared" si="10"/>
        <v>19</v>
      </c>
      <c r="K383" t="str">
        <f t="shared" si="11"/>
        <v>Budget</v>
      </c>
    </row>
    <row r="384" spans="2:11" x14ac:dyDescent="0.25">
      <c r="B384" t="s">
        <v>321</v>
      </c>
      <c r="C384">
        <v>2016</v>
      </c>
      <c r="D384" s="1">
        <v>1000000</v>
      </c>
      <c r="E384">
        <v>70000</v>
      </c>
      <c r="F384" t="s">
        <v>15</v>
      </c>
      <c r="G384" t="s">
        <v>10</v>
      </c>
      <c r="H384" t="s">
        <v>11</v>
      </c>
      <c r="I384" t="s">
        <v>12</v>
      </c>
      <c r="J384">
        <f t="shared" si="10"/>
        <v>10</v>
      </c>
      <c r="K384" t="str">
        <f t="shared" si="11"/>
        <v>Mid Range</v>
      </c>
    </row>
    <row r="385" spans="2:11" x14ac:dyDescent="0.25">
      <c r="B385" t="s">
        <v>322</v>
      </c>
      <c r="C385">
        <v>2006</v>
      </c>
      <c r="D385" s="1">
        <v>220000</v>
      </c>
      <c r="E385">
        <v>220000</v>
      </c>
      <c r="F385" t="s">
        <v>9</v>
      </c>
      <c r="G385" t="s">
        <v>10</v>
      </c>
      <c r="H385" t="s">
        <v>11</v>
      </c>
      <c r="I385" t="s">
        <v>18</v>
      </c>
      <c r="J385">
        <f t="shared" si="10"/>
        <v>20</v>
      </c>
      <c r="K385" t="str">
        <f t="shared" si="11"/>
        <v>Budget</v>
      </c>
    </row>
    <row r="386" spans="2:11" x14ac:dyDescent="0.25">
      <c r="B386" t="s">
        <v>252</v>
      </c>
      <c r="C386">
        <v>2010</v>
      </c>
      <c r="D386" s="1">
        <v>400000</v>
      </c>
      <c r="E386">
        <v>50000</v>
      </c>
      <c r="F386" t="s">
        <v>15</v>
      </c>
      <c r="G386" t="s">
        <v>10</v>
      </c>
      <c r="H386" t="s">
        <v>11</v>
      </c>
      <c r="I386" t="s">
        <v>12</v>
      </c>
      <c r="J386">
        <f t="shared" si="10"/>
        <v>16</v>
      </c>
      <c r="K386" t="str">
        <f t="shared" si="11"/>
        <v>Budget</v>
      </c>
    </row>
    <row r="387" spans="2:11" x14ac:dyDescent="0.25">
      <c r="B387" t="s">
        <v>323</v>
      </c>
      <c r="C387">
        <v>2015</v>
      </c>
      <c r="D387" s="1">
        <v>315000</v>
      </c>
      <c r="E387">
        <v>45000</v>
      </c>
      <c r="F387" t="s">
        <v>9</v>
      </c>
      <c r="G387" t="s">
        <v>10</v>
      </c>
      <c r="H387" t="s">
        <v>11</v>
      </c>
      <c r="I387" t="s">
        <v>18</v>
      </c>
      <c r="J387">
        <f t="shared" si="10"/>
        <v>11</v>
      </c>
      <c r="K387" t="str">
        <f t="shared" si="11"/>
        <v>Budget</v>
      </c>
    </row>
    <row r="388" spans="2:11" x14ac:dyDescent="0.25">
      <c r="B388" t="s">
        <v>324</v>
      </c>
      <c r="C388">
        <v>2014</v>
      </c>
      <c r="D388" s="1">
        <v>1000000</v>
      </c>
      <c r="E388">
        <v>110000</v>
      </c>
      <c r="F388" t="s">
        <v>15</v>
      </c>
      <c r="G388" t="s">
        <v>10</v>
      </c>
      <c r="H388" t="s">
        <v>11</v>
      </c>
      <c r="I388" t="s">
        <v>12</v>
      </c>
      <c r="J388">
        <f t="shared" si="10"/>
        <v>12</v>
      </c>
      <c r="K388" t="str">
        <f t="shared" si="11"/>
        <v>Mid Range</v>
      </c>
    </row>
    <row r="389" spans="2:11" x14ac:dyDescent="0.25">
      <c r="B389" t="s">
        <v>325</v>
      </c>
      <c r="C389">
        <v>2014</v>
      </c>
      <c r="D389" s="1">
        <v>500000</v>
      </c>
      <c r="E389">
        <v>49000</v>
      </c>
      <c r="F389" t="s">
        <v>15</v>
      </c>
      <c r="G389" t="s">
        <v>10</v>
      </c>
      <c r="H389" t="s">
        <v>11</v>
      </c>
      <c r="I389" t="s">
        <v>12</v>
      </c>
      <c r="J389">
        <f t="shared" si="10"/>
        <v>12</v>
      </c>
      <c r="K389" t="str">
        <f t="shared" si="11"/>
        <v>Mid Range</v>
      </c>
    </row>
    <row r="390" spans="2:11" x14ac:dyDescent="0.25">
      <c r="B390" t="s">
        <v>326</v>
      </c>
      <c r="C390">
        <v>2018</v>
      </c>
      <c r="D390" s="1">
        <v>1600000</v>
      </c>
      <c r="E390">
        <v>35000</v>
      </c>
      <c r="F390" t="s">
        <v>15</v>
      </c>
      <c r="G390" t="s">
        <v>10</v>
      </c>
      <c r="H390" t="s">
        <v>28</v>
      </c>
      <c r="I390" t="s">
        <v>12</v>
      </c>
      <c r="J390">
        <f t="shared" ref="J390:J453" si="12">2026 - C390</f>
        <v>8</v>
      </c>
      <c r="K390" t="str">
        <f t="shared" ref="K390:K453" si="13">IF(D390&lt;500000,"Budget",IF(D390&lt;=1000000,"Mid Range","Premium"))</f>
        <v>Premium</v>
      </c>
    </row>
    <row r="391" spans="2:11" x14ac:dyDescent="0.25">
      <c r="B391" t="s">
        <v>327</v>
      </c>
      <c r="C391">
        <v>2017</v>
      </c>
      <c r="D391" s="1">
        <v>500000</v>
      </c>
      <c r="E391">
        <v>160000</v>
      </c>
      <c r="F391" t="s">
        <v>15</v>
      </c>
      <c r="G391" t="s">
        <v>10</v>
      </c>
      <c r="H391" t="s">
        <v>11</v>
      </c>
      <c r="I391" t="s">
        <v>12</v>
      </c>
      <c r="J391">
        <f t="shared" si="12"/>
        <v>9</v>
      </c>
      <c r="K391" t="str">
        <f t="shared" si="13"/>
        <v>Mid Range</v>
      </c>
    </row>
    <row r="392" spans="2:11" x14ac:dyDescent="0.25">
      <c r="B392" t="s">
        <v>172</v>
      </c>
      <c r="C392">
        <v>2007</v>
      </c>
      <c r="D392" s="1">
        <v>70000</v>
      </c>
      <c r="E392">
        <v>180000</v>
      </c>
      <c r="F392" t="s">
        <v>9</v>
      </c>
      <c r="G392" t="s">
        <v>10</v>
      </c>
      <c r="H392" t="s">
        <v>11</v>
      </c>
      <c r="I392" t="s">
        <v>49</v>
      </c>
      <c r="J392">
        <f t="shared" si="12"/>
        <v>19</v>
      </c>
      <c r="K392" t="str">
        <f t="shared" si="13"/>
        <v>Budget</v>
      </c>
    </row>
    <row r="393" spans="2:11" x14ac:dyDescent="0.25">
      <c r="B393" t="s">
        <v>8</v>
      </c>
      <c r="C393">
        <v>2007</v>
      </c>
      <c r="D393" s="1">
        <v>105000</v>
      </c>
      <c r="E393">
        <v>60000</v>
      </c>
      <c r="F393" t="s">
        <v>9</v>
      </c>
      <c r="G393" t="s">
        <v>10</v>
      </c>
      <c r="H393" t="s">
        <v>11</v>
      </c>
      <c r="I393" t="s">
        <v>18</v>
      </c>
      <c r="J393">
        <f t="shared" si="12"/>
        <v>19</v>
      </c>
      <c r="K393" t="str">
        <f t="shared" si="13"/>
        <v>Budget</v>
      </c>
    </row>
    <row r="394" spans="2:11" x14ac:dyDescent="0.25">
      <c r="B394" t="s">
        <v>328</v>
      </c>
      <c r="C394">
        <v>2008</v>
      </c>
      <c r="D394" s="1">
        <v>400000</v>
      </c>
      <c r="E394">
        <v>110000</v>
      </c>
      <c r="F394" t="s">
        <v>15</v>
      </c>
      <c r="G394" t="s">
        <v>10</v>
      </c>
      <c r="H394" t="s">
        <v>11</v>
      </c>
      <c r="I394" t="s">
        <v>49</v>
      </c>
      <c r="J394">
        <f t="shared" si="12"/>
        <v>18</v>
      </c>
      <c r="K394" t="str">
        <f t="shared" si="13"/>
        <v>Budget</v>
      </c>
    </row>
    <row r="395" spans="2:11" x14ac:dyDescent="0.25">
      <c r="B395" t="s">
        <v>153</v>
      </c>
      <c r="C395">
        <v>2004</v>
      </c>
      <c r="D395" s="1">
        <v>80000</v>
      </c>
      <c r="E395">
        <v>60000</v>
      </c>
      <c r="F395" t="s">
        <v>9</v>
      </c>
      <c r="G395" t="s">
        <v>10</v>
      </c>
      <c r="H395" t="s">
        <v>11</v>
      </c>
      <c r="I395" t="s">
        <v>49</v>
      </c>
      <c r="J395">
        <f t="shared" si="12"/>
        <v>22</v>
      </c>
      <c r="K395" t="str">
        <f t="shared" si="13"/>
        <v>Budget</v>
      </c>
    </row>
    <row r="396" spans="2:11" x14ac:dyDescent="0.25">
      <c r="B396" t="s">
        <v>241</v>
      </c>
      <c r="C396">
        <v>2016</v>
      </c>
      <c r="D396" s="1">
        <v>300000</v>
      </c>
      <c r="E396">
        <v>30000</v>
      </c>
      <c r="F396" t="s">
        <v>9</v>
      </c>
      <c r="G396" t="s">
        <v>10</v>
      </c>
      <c r="H396" t="s">
        <v>11</v>
      </c>
      <c r="I396" t="s">
        <v>12</v>
      </c>
      <c r="J396">
        <f t="shared" si="12"/>
        <v>10</v>
      </c>
      <c r="K396" t="str">
        <f t="shared" si="13"/>
        <v>Budget</v>
      </c>
    </row>
    <row r="397" spans="2:11" x14ac:dyDescent="0.25">
      <c r="B397" t="s">
        <v>329</v>
      </c>
      <c r="C397">
        <v>2017</v>
      </c>
      <c r="D397" s="1">
        <v>409999</v>
      </c>
      <c r="E397">
        <v>40000</v>
      </c>
      <c r="F397" t="s">
        <v>15</v>
      </c>
      <c r="G397" t="s">
        <v>10</v>
      </c>
      <c r="H397" t="s">
        <v>11</v>
      </c>
      <c r="I397" t="s">
        <v>12</v>
      </c>
      <c r="J397">
        <f t="shared" si="12"/>
        <v>9</v>
      </c>
      <c r="K397" t="str">
        <f t="shared" si="13"/>
        <v>Budget</v>
      </c>
    </row>
    <row r="398" spans="2:11" x14ac:dyDescent="0.25">
      <c r="B398" t="s">
        <v>330</v>
      </c>
      <c r="C398">
        <v>2009</v>
      </c>
      <c r="D398" s="1">
        <v>250000</v>
      </c>
      <c r="E398">
        <v>70000</v>
      </c>
      <c r="F398" t="s">
        <v>9</v>
      </c>
      <c r="G398" t="s">
        <v>10</v>
      </c>
      <c r="H398" t="s">
        <v>11</v>
      </c>
      <c r="I398" t="s">
        <v>12</v>
      </c>
      <c r="J398">
        <f t="shared" si="12"/>
        <v>17</v>
      </c>
      <c r="K398" t="str">
        <f t="shared" si="13"/>
        <v>Budget</v>
      </c>
    </row>
    <row r="399" spans="2:11" x14ac:dyDescent="0.25">
      <c r="B399" t="s">
        <v>331</v>
      </c>
      <c r="C399">
        <v>2010</v>
      </c>
      <c r="D399" s="1">
        <v>250000</v>
      </c>
      <c r="E399">
        <v>120000</v>
      </c>
      <c r="F399" t="s">
        <v>15</v>
      </c>
      <c r="G399" t="s">
        <v>10</v>
      </c>
      <c r="H399" t="s">
        <v>11</v>
      </c>
      <c r="I399" t="s">
        <v>18</v>
      </c>
      <c r="J399">
        <f t="shared" si="12"/>
        <v>16</v>
      </c>
      <c r="K399" t="str">
        <f t="shared" si="13"/>
        <v>Budget</v>
      </c>
    </row>
    <row r="400" spans="2:11" x14ac:dyDescent="0.25">
      <c r="B400" t="s">
        <v>114</v>
      </c>
      <c r="C400">
        <v>2012</v>
      </c>
      <c r="D400" s="1">
        <v>215000</v>
      </c>
      <c r="E400">
        <v>80000</v>
      </c>
      <c r="F400" t="s">
        <v>15</v>
      </c>
      <c r="G400" t="s">
        <v>10</v>
      </c>
      <c r="H400" t="s">
        <v>11</v>
      </c>
      <c r="I400" t="s">
        <v>49</v>
      </c>
      <c r="J400">
        <f t="shared" si="12"/>
        <v>14</v>
      </c>
      <c r="K400" t="str">
        <f t="shared" si="13"/>
        <v>Budget</v>
      </c>
    </row>
    <row r="401" spans="2:11" x14ac:dyDescent="0.25">
      <c r="B401" t="s">
        <v>324</v>
      </c>
      <c r="C401">
        <v>2015</v>
      </c>
      <c r="D401" s="1">
        <v>1400000</v>
      </c>
      <c r="E401">
        <v>120000</v>
      </c>
      <c r="F401" t="s">
        <v>15</v>
      </c>
      <c r="G401" t="s">
        <v>10</v>
      </c>
      <c r="H401" t="s">
        <v>11</v>
      </c>
      <c r="I401" t="s">
        <v>12</v>
      </c>
      <c r="J401">
        <f t="shared" si="12"/>
        <v>11</v>
      </c>
      <c r="K401" t="str">
        <f t="shared" si="13"/>
        <v>Premium</v>
      </c>
    </row>
    <row r="402" spans="2:11" x14ac:dyDescent="0.25">
      <c r="B402" t="s">
        <v>332</v>
      </c>
      <c r="C402">
        <v>2018</v>
      </c>
      <c r="D402" s="1">
        <v>475000</v>
      </c>
      <c r="E402">
        <v>20000</v>
      </c>
      <c r="F402" t="s">
        <v>9</v>
      </c>
      <c r="G402" t="s">
        <v>10</v>
      </c>
      <c r="H402" t="s">
        <v>11</v>
      </c>
      <c r="I402" t="s">
        <v>12</v>
      </c>
      <c r="J402">
        <f t="shared" si="12"/>
        <v>8</v>
      </c>
      <c r="K402" t="str">
        <f t="shared" si="13"/>
        <v>Budget</v>
      </c>
    </row>
    <row r="403" spans="2:11" x14ac:dyDescent="0.25">
      <c r="B403" t="s">
        <v>332</v>
      </c>
      <c r="C403">
        <v>2018</v>
      </c>
      <c r="D403" s="1">
        <v>475000</v>
      </c>
      <c r="E403">
        <v>22000</v>
      </c>
      <c r="F403" t="s">
        <v>9</v>
      </c>
      <c r="G403" t="s">
        <v>10</v>
      </c>
      <c r="H403" t="s">
        <v>11</v>
      </c>
      <c r="I403" t="s">
        <v>12</v>
      </c>
      <c r="J403">
        <f t="shared" si="12"/>
        <v>8</v>
      </c>
      <c r="K403" t="str">
        <f t="shared" si="13"/>
        <v>Budget</v>
      </c>
    </row>
    <row r="404" spans="2:11" x14ac:dyDescent="0.25">
      <c r="B404" t="s">
        <v>135</v>
      </c>
      <c r="C404">
        <v>2008</v>
      </c>
      <c r="D404" s="1">
        <v>75000</v>
      </c>
      <c r="E404">
        <v>35000</v>
      </c>
      <c r="F404" t="s">
        <v>9</v>
      </c>
      <c r="G404" t="s">
        <v>10</v>
      </c>
      <c r="H404" t="s">
        <v>11</v>
      </c>
      <c r="I404" t="s">
        <v>18</v>
      </c>
      <c r="J404">
        <f t="shared" si="12"/>
        <v>18</v>
      </c>
      <c r="K404" t="str">
        <f t="shared" si="13"/>
        <v>Budget</v>
      </c>
    </row>
    <row r="405" spans="2:11" x14ac:dyDescent="0.25">
      <c r="B405" t="s">
        <v>333</v>
      </c>
      <c r="C405">
        <v>2013</v>
      </c>
      <c r="D405" s="1">
        <v>200000</v>
      </c>
      <c r="E405">
        <v>120000</v>
      </c>
      <c r="F405" t="s">
        <v>15</v>
      </c>
      <c r="G405" t="s">
        <v>10</v>
      </c>
      <c r="H405" t="s">
        <v>11</v>
      </c>
      <c r="I405" t="s">
        <v>18</v>
      </c>
      <c r="J405">
        <f t="shared" si="12"/>
        <v>13</v>
      </c>
      <c r="K405" t="str">
        <f t="shared" si="13"/>
        <v>Budget</v>
      </c>
    </row>
    <row r="406" spans="2:11" x14ac:dyDescent="0.25">
      <c r="B406" t="s">
        <v>334</v>
      </c>
      <c r="C406">
        <v>2019</v>
      </c>
      <c r="D406" s="1">
        <v>575000</v>
      </c>
      <c r="E406">
        <v>8000</v>
      </c>
      <c r="F406" t="s">
        <v>9</v>
      </c>
      <c r="G406" t="s">
        <v>10</v>
      </c>
      <c r="H406" t="s">
        <v>11</v>
      </c>
      <c r="I406" t="s">
        <v>12</v>
      </c>
      <c r="J406">
        <f t="shared" si="12"/>
        <v>7</v>
      </c>
      <c r="K406" t="str">
        <f t="shared" si="13"/>
        <v>Mid Range</v>
      </c>
    </row>
    <row r="407" spans="2:11" x14ac:dyDescent="0.25">
      <c r="B407" t="s">
        <v>295</v>
      </c>
      <c r="C407">
        <v>2011</v>
      </c>
      <c r="D407" s="1">
        <v>150000</v>
      </c>
      <c r="E407">
        <v>40000</v>
      </c>
      <c r="F407" t="s">
        <v>15</v>
      </c>
      <c r="G407" t="s">
        <v>10</v>
      </c>
      <c r="H407" t="s">
        <v>11</v>
      </c>
      <c r="I407" t="s">
        <v>18</v>
      </c>
      <c r="J407">
        <f t="shared" si="12"/>
        <v>15</v>
      </c>
      <c r="K407" t="str">
        <f t="shared" si="13"/>
        <v>Budget</v>
      </c>
    </row>
    <row r="408" spans="2:11" x14ac:dyDescent="0.25">
      <c r="B408" t="s">
        <v>335</v>
      </c>
      <c r="C408">
        <v>2018</v>
      </c>
      <c r="D408" s="1">
        <v>850000</v>
      </c>
      <c r="E408">
        <v>10000</v>
      </c>
      <c r="F408" t="s">
        <v>15</v>
      </c>
      <c r="G408" t="s">
        <v>10</v>
      </c>
      <c r="H408" t="s">
        <v>11</v>
      </c>
      <c r="I408" t="s">
        <v>12</v>
      </c>
      <c r="J408">
        <f t="shared" si="12"/>
        <v>8</v>
      </c>
      <c r="K408" t="str">
        <f t="shared" si="13"/>
        <v>Mid Range</v>
      </c>
    </row>
    <row r="409" spans="2:11" x14ac:dyDescent="0.25">
      <c r="B409" t="s">
        <v>336</v>
      </c>
      <c r="C409">
        <v>2019</v>
      </c>
      <c r="D409" s="1">
        <v>350000</v>
      </c>
      <c r="E409">
        <v>30000</v>
      </c>
      <c r="F409" t="s">
        <v>9</v>
      </c>
      <c r="G409" t="s">
        <v>10</v>
      </c>
      <c r="H409" t="s">
        <v>11</v>
      </c>
      <c r="I409" t="s">
        <v>12</v>
      </c>
      <c r="J409">
        <f t="shared" si="12"/>
        <v>7</v>
      </c>
      <c r="K409" t="str">
        <f t="shared" si="13"/>
        <v>Budget</v>
      </c>
    </row>
    <row r="410" spans="2:11" x14ac:dyDescent="0.25">
      <c r="B410" t="s">
        <v>328</v>
      </c>
      <c r="C410">
        <v>2011</v>
      </c>
      <c r="D410" s="1">
        <v>550000</v>
      </c>
      <c r="E410">
        <v>54000</v>
      </c>
      <c r="F410" t="s">
        <v>15</v>
      </c>
      <c r="G410" t="s">
        <v>10</v>
      </c>
      <c r="H410" t="s">
        <v>11</v>
      </c>
      <c r="I410" t="s">
        <v>18</v>
      </c>
      <c r="J410">
        <f t="shared" si="12"/>
        <v>15</v>
      </c>
      <c r="K410" t="str">
        <f t="shared" si="13"/>
        <v>Mid Range</v>
      </c>
    </row>
    <row r="411" spans="2:11" x14ac:dyDescent="0.25">
      <c r="B411" t="s">
        <v>263</v>
      </c>
      <c r="C411">
        <v>2017</v>
      </c>
      <c r="D411" s="1">
        <v>330000</v>
      </c>
      <c r="E411">
        <v>80577</v>
      </c>
      <c r="F411" t="s">
        <v>9</v>
      </c>
      <c r="G411" t="s">
        <v>10</v>
      </c>
      <c r="H411" t="s">
        <v>11</v>
      </c>
      <c r="I411" t="s">
        <v>12</v>
      </c>
      <c r="J411">
        <f t="shared" si="12"/>
        <v>9</v>
      </c>
      <c r="K411" t="str">
        <f t="shared" si="13"/>
        <v>Budget</v>
      </c>
    </row>
    <row r="412" spans="2:11" x14ac:dyDescent="0.25">
      <c r="B412" t="s">
        <v>337</v>
      </c>
      <c r="C412">
        <v>2017</v>
      </c>
      <c r="D412" s="1">
        <v>1044999</v>
      </c>
      <c r="E412">
        <v>25000</v>
      </c>
      <c r="F412" t="s">
        <v>15</v>
      </c>
      <c r="G412" t="s">
        <v>10</v>
      </c>
      <c r="H412" t="s">
        <v>11</v>
      </c>
      <c r="I412" t="s">
        <v>12</v>
      </c>
      <c r="J412">
        <f t="shared" si="12"/>
        <v>9</v>
      </c>
      <c r="K412" t="str">
        <f t="shared" si="13"/>
        <v>Premium</v>
      </c>
    </row>
    <row r="413" spans="2:11" x14ac:dyDescent="0.25">
      <c r="B413" t="s">
        <v>338</v>
      </c>
      <c r="C413">
        <v>2011</v>
      </c>
      <c r="D413" s="1">
        <v>300000</v>
      </c>
      <c r="E413">
        <v>127500</v>
      </c>
      <c r="F413" t="s">
        <v>15</v>
      </c>
      <c r="G413" t="s">
        <v>10</v>
      </c>
      <c r="H413" t="s">
        <v>11</v>
      </c>
      <c r="I413" t="s">
        <v>18</v>
      </c>
      <c r="J413">
        <f t="shared" si="12"/>
        <v>15</v>
      </c>
      <c r="K413" t="str">
        <f t="shared" si="13"/>
        <v>Budget</v>
      </c>
    </row>
    <row r="414" spans="2:11" x14ac:dyDescent="0.25">
      <c r="B414" t="s">
        <v>339</v>
      </c>
      <c r="C414">
        <v>2015</v>
      </c>
      <c r="D414" s="1">
        <v>235000</v>
      </c>
      <c r="E414">
        <v>40903</v>
      </c>
      <c r="F414" t="s">
        <v>9</v>
      </c>
      <c r="G414" t="s">
        <v>27</v>
      </c>
      <c r="H414" t="s">
        <v>11</v>
      </c>
      <c r="I414" t="s">
        <v>12</v>
      </c>
      <c r="J414">
        <f t="shared" si="12"/>
        <v>11</v>
      </c>
      <c r="K414" t="str">
        <f t="shared" si="13"/>
        <v>Budget</v>
      </c>
    </row>
    <row r="415" spans="2:11" x14ac:dyDescent="0.25">
      <c r="B415" t="s">
        <v>192</v>
      </c>
      <c r="C415">
        <v>2011</v>
      </c>
      <c r="D415" s="1">
        <v>120000</v>
      </c>
      <c r="E415">
        <v>60000</v>
      </c>
      <c r="F415" t="s">
        <v>9</v>
      </c>
      <c r="G415" t="s">
        <v>10</v>
      </c>
      <c r="H415" t="s">
        <v>11</v>
      </c>
      <c r="I415" t="s">
        <v>49</v>
      </c>
      <c r="J415">
        <f t="shared" si="12"/>
        <v>15</v>
      </c>
      <c r="K415" t="str">
        <f t="shared" si="13"/>
        <v>Budget</v>
      </c>
    </row>
    <row r="416" spans="2:11" x14ac:dyDescent="0.25">
      <c r="B416" t="s">
        <v>257</v>
      </c>
      <c r="C416">
        <v>2004</v>
      </c>
      <c r="D416" s="1">
        <v>130000</v>
      </c>
      <c r="E416">
        <v>46000</v>
      </c>
      <c r="F416" t="s">
        <v>9</v>
      </c>
      <c r="G416" t="s">
        <v>10</v>
      </c>
      <c r="H416" t="s">
        <v>11</v>
      </c>
      <c r="I416" t="s">
        <v>12</v>
      </c>
      <c r="J416">
        <f t="shared" si="12"/>
        <v>22</v>
      </c>
      <c r="K416" t="str">
        <f t="shared" si="13"/>
        <v>Budget</v>
      </c>
    </row>
    <row r="417" spans="2:11" x14ac:dyDescent="0.25">
      <c r="B417" t="s">
        <v>340</v>
      </c>
      <c r="C417">
        <v>2004</v>
      </c>
      <c r="D417" s="1">
        <v>275000</v>
      </c>
      <c r="E417">
        <v>22288</v>
      </c>
      <c r="F417" t="s">
        <v>15</v>
      </c>
      <c r="G417" t="s">
        <v>27</v>
      </c>
      <c r="H417" t="s">
        <v>11</v>
      </c>
      <c r="I417" t="s">
        <v>18</v>
      </c>
      <c r="J417">
        <f t="shared" si="12"/>
        <v>22</v>
      </c>
      <c r="K417" t="str">
        <f t="shared" si="13"/>
        <v>Budget</v>
      </c>
    </row>
    <row r="418" spans="2:11" x14ac:dyDescent="0.25">
      <c r="B418" t="s">
        <v>341</v>
      </c>
      <c r="C418">
        <v>2011</v>
      </c>
      <c r="D418" s="1">
        <v>270000</v>
      </c>
      <c r="E418">
        <v>180000</v>
      </c>
      <c r="F418" t="s">
        <v>15</v>
      </c>
      <c r="G418" t="s">
        <v>10</v>
      </c>
      <c r="H418" t="s">
        <v>11</v>
      </c>
      <c r="I418" t="s">
        <v>18</v>
      </c>
      <c r="J418">
        <f t="shared" si="12"/>
        <v>15</v>
      </c>
      <c r="K418" t="str">
        <f t="shared" si="13"/>
        <v>Budget</v>
      </c>
    </row>
    <row r="419" spans="2:11" x14ac:dyDescent="0.25">
      <c r="B419" t="s">
        <v>342</v>
      </c>
      <c r="C419">
        <v>2015</v>
      </c>
      <c r="D419" s="1">
        <v>500000</v>
      </c>
      <c r="E419">
        <v>30000</v>
      </c>
      <c r="F419" t="s">
        <v>15</v>
      </c>
      <c r="G419" t="s">
        <v>10</v>
      </c>
      <c r="H419" t="s">
        <v>11</v>
      </c>
      <c r="I419" t="s">
        <v>18</v>
      </c>
      <c r="J419">
        <f t="shared" si="12"/>
        <v>11</v>
      </c>
      <c r="K419" t="str">
        <f t="shared" si="13"/>
        <v>Mid Range</v>
      </c>
    </row>
    <row r="420" spans="2:11" x14ac:dyDescent="0.25">
      <c r="B420" t="s">
        <v>289</v>
      </c>
      <c r="C420">
        <v>2015</v>
      </c>
      <c r="D420" s="1">
        <v>400000</v>
      </c>
      <c r="E420">
        <v>61690</v>
      </c>
      <c r="F420" t="s">
        <v>9</v>
      </c>
      <c r="G420" t="s">
        <v>27</v>
      </c>
      <c r="H420" t="s">
        <v>11</v>
      </c>
      <c r="I420" t="s">
        <v>12</v>
      </c>
      <c r="J420">
        <f t="shared" si="12"/>
        <v>11</v>
      </c>
      <c r="K420" t="str">
        <f t="shared" si="13"/>
        <v>Budget</v>
      </c>
    </row>
    <row r="421" spans="2:11" x14ac:dyDescent="0.25">
      <c r="B421" t="s">
        <v>343</v>
      </c>
      <c r="C421">
        <v>2015</v>
      </c>
      <c r="D421" s="1">
        <v>600000</v>
      </c>
      <c r="E421">
        <v>64484</v>
      </c>
      <c r="F421" t="s">
        <v>9</v>
      </c>
      <c r="G421" t="s">
        <v>27</v>
      </c>
      <c r="H421" t="s">
        <v>11</v>
      </c>
      <c r="I421" t="s">
        <v>12</v>
      </c>
      <c r="J421">
        <f t="shared" si="12"/>
        <v>11</v>
      </c>
      <c r="K421" t="str">
        <f t="shared" si="13"/>
        <v>Mid Range</v>
      </c>
    </row>
    <row r="422" spans="2:11" x14ac:dyDescent="0.25">
      <c r="B422" t="s">
        <v>35</v>
      </c>
      <c r="C422">
        <v>2012</v>
      </c>
      <c r="D422" s="1">
        <v>1350000</v>
      </c>
      <c r="E422">
        <v>90000</v>
      </c>
      <c r="F422" t="s">
        <v>15</v>
      </c>
      <c r="G422" t="s">
        <v>10</v>
      </c>
      <c r="H422" t="s">
        <v>28</v>
      </c>
      <c r="I422" t="s">
        <v>18</v>
      </c>
      <c r="J422">
        <f t="shared" si="12"/>
        <v>14</v>
      </c>
      <c r="K422" t="str">
        <f t="shared" si="13"/>
        <v>Premium</v>
      </c>
    </row>
    <row r="423" spans="2:11" x14ac:dyDescent="0.25">
      <c r="B423" t="s">
        <v>344</v>
      </c>
      <c r="C423">
        <v>2013</v>
      </c>
      <c r="D423" s="1">
        <v>400000</v>
      </c>
      <c r="E423">
        <v>75976</v>
      </c>
      <c r="F423" t="s">
        <v>15</v>
      </c>
      <c r="G423" t="s">
        <v>27</v>
      </c>
      <c r="H423" t="s">
        <v>11</v>
      </c>
      <c r="I423" t="s">
        <v>18</v>
      </c>
      <c r="J423">
        <f t="shared" si="12"/>
        <v>13</v>
      </c>
      <c r="K423" t="str">
        <f t="shared" si="13"/>
        <v>Budget</v>
      </c>
    </row>
    <row r="424" spans="2:11" x14ac:dyDescent="0.25">
      <c r="B424" t="s">
        <v>180</v>
      </c>
      <c r="C424">
        <v>2011</v>
      </c>
      <c r="D424" s="1">
        <v>220000</v>
      </c>
      <c r="E424">
        <v>70000</v>
      </c>
      <c r="F424" t="s">
        <v>15</v>
      </c>
      <c r="G424" t="s">
        <v>10</v>
      </c>
      <c r="H424" t="s">
        <v>11</v>
      </c>
      <c r="I424" t="s">
        <v>18</v>
      </c>
      <c r="J424">
        <f t="shared" si="12"/>
        <v>15</v>
      </c>
      <c r="K424" t="str">
        <f t="shared" si="13"/>
        <v>Budget</v>
      </c>
    </row>
    <row r="425" spans="2:11" x14ac:dyDescent="0.25">
      <c r="B425" t="s">
        <v>157</v>
      </c>
      <c r="C425">
        <v>2012</v>
      </c>
      <c r="D425" s="1">
        <v>300000</v>
      </c>
      <c r="E425">
        <v>85962</v>
      </c>
      <c r="F425" t="s">
        <v>9</v>
      </c>
      <c r="G425" t="s">
        <v>27</v>
      </c>
      <c r="H425" t="s">
        <v>11</v>
      </c>
      <c r="I425" t="s">
        <v>18</v>
      </c>
      <c r="J425">
        <f t="shared" si="12"/>
        <v>14</v>
      </c>
      <c r="K425" t="str">
        <f t="shared" si="13"/>
        <v>Budget</v>
      </c>
    </row>
    <row r="426" spans="2:11" x14ac:dyDescent="0.25">
      <c r="B426" t="s">
        <v>345</v>
      </c>
      <c r="C426">
        <v>2018</v>
      </c>
      <c r="D426" s="1">
        <v>250000</v>
      </c>
      <c r="E426">
        <v>120000</v>
      </c>
      <c r="F426" t="s">
        <v>9</v>
      </c>
      <c r="G426" t="s">
        <v>10</v>
      </c>
      <c r="H426" t="s">
        <v>11</v>
      </c>
      <c r="I426" t="s">
        <v>12</v>
      </c>
      <c r="J426">
        <f t="shared" si="12"/>
        <v>8</v>
      </c>
      <c r="K426" t="str">
        <f t="shared" si="13"/>
        <v>Budget</v>
      </c>
    </row>
    <row r="427" spans="2:11" x14ac:dyDescent="0.25">
      <c r="B427" t="s">
        <v>214</v>
      </c>
      <c r="C427">
        <v>2015</v>
      </c>
      <c r="D427" s="1">
        <v>600000</v>
      </c>
      <c r="E427">
        <v>120000</v>
      </c>
      <c r="F427" t="s">
        <v>15</v>
      </c>
      <c r="G427" t="s">
        <v>10</v>
      </c>
      <c r="H427" t="s">
        <v>11</v>
      </c>
      <c r="I427" t="s">
        <v>12</v>
      </c>
      <c r="J427">
        <f t="shared" si="12"/>
        <v>11</v>
      </c>
      <c r="K427" t="str">
        <f t="shared" si="13"/>
        <v>Mid Range</v>
      </c>
    </row>
    <row r="428" spans="2:11" x14ac:dyDescent="0.25">
      <c r="B428" t="s">
        <v>346</v>
      </c>
      <c r="C428">
        <v>2012</v>
      </c>
      <c r="D428" s="1">
        <v>285000</v>
      </c>
      <c r="E428">
        <v>75000</v>
      </c>
      <c r="F428" t="s">
        <v>9</v>
      </c>
      <c r="G428" t="s">
        <v>10</v>
      </c>
      <c r="H428" t="s">
        <v>28</v>
      </c>
      <c r="I428" t="s">
        <v>18</v>
      </c>
      <c r="J428">
        <f t="shared" si="12"/>
        <v>14</v>
      </c>
      <c r="K428" t="str">
        <f t="shared" si="13"/>
        <v>Budget</v>
      </c>
    </row>
    <row r="429" spans="2:11" x14ac:dyDescent="0.25">
      <c r="B429" t="s">
        <v>347</v>
      </c>
      <c r="C429">
        <v>2009</v>
      </c>
      <c r="D429" s="1">
        <v>350000</v>
      </c>
      <c r="E429">
        <v>57035</v>
      </c>
      <c r="F429" t="s">
        <v>9</v>
      </c>
      <c r="G429" t="s">
        <v>27</v>
      </c>
      <c r="H429" t="s">
        <v>11</v>
      </c>
      <c r="I429" t="s">
        <v>12</v>
      </c>
      <c r="J429">
        <f t="shared" si="12"/>
        <v>17</v>
      </c>
      <c r="K429" t="str">
        <f t="shared" si="13"/>
        <v>Budget</v>
      </c>
    </row>
    <row r="430" spans="2:11" x14ac:dyDescent="0.25">
      <c r="B430" t="s">
        <v>252</v>
      </c>
      <c r="C430">
        <v>2011</v>
      </c>
      <c r="D430" s="1">
        <v>170000</v>
      </c>
      <c r="E430">
        <v>70000</v>
      </c>
      <c r="F430" t="s">
        <v>15</v>
      </c>
      <c r="G430" t="s">
        <v>10</v>
      </c>
      <c r="H430" t="s">
        <v>11</v>
      </c>
      <c r="I430" t="s">
        <v>49</v>
      </c>
      <c r="J430">
        <f t="shared" si="12"/>
        <v>15</v>
      </c>
      <c r="K430" t="str">
        <f t="shared" si="13"/>
        <v>Budget</v>
      </c>
    </row>
    <row r="431" spans="2:11" x14ac:dyDescent="0.25">
      <c r="B431" t="s">
        <v>348</v>
      </c>
      <c r="C431">
        <v>2015</v>
      </c>
      <c r="D431" s="1">
        <v>229999</v>
      </c>
      <c r="E431">
        <v>45000</v>
      </c>
      <c r="F431" t="s">
        <v>9</v>
      </c>
      <c r="G431" t="s">
        <v>10</v>
      </c>
      <c r="H431" t="s">
        <v>11</v>
      </c>
      <c r="I431" t="s">
        <v>12</v>
      </c>
      <c r="J431">
        <f t="shared" si="12"/>
        <v>11</v>
      </c>
      <c r="K431" t="str">
        <f t="shared" si="13"/>
        <v>Budget</v>
      </c>
    </row>
    <row r="432" spans="2:11" x14ac:dyDescent="0.25">
      <c r="B432" t="s">
        <v>195</v>
      </c>
      <c r="C432">
        <v>2013</v>
      </c>
      <c r="D432" s="1">
        <v>500000</v>
      </c>
      <c r="E432">
        <v>72104</v>
      </c>
      <c r="F432" t="s">
        <v>15</v>
      </c>
      <c r="G432" t="s">
        <v>27</v>
      </c>
      <c r="H432" t="s">
        <v>11</v>
      </c>
      <c r="I432" t="s">
        <v>18</v>
      </c>
      <c r="J432">
        <f t="shared" si="12"/>
        <v>13</v>
      </c>
      <c r="K432" t="str">
        <f t="shared" si="13"/>
        <v>Mid Range</v>
      </c>
    </row>
    <row r="433" spans="2:11" x14ac:dyDescent="0.25">
      <c r="B433" t="s">
        <v>349</v>
      </c>
      <c r="C433">
        <v>2011</v>
      </c>
      <c r="D433" s="1">
        <v>75000</v>
      </c>
      <c r="E433">
        <v>15000</v>
      </c>
      <c r="F433" t="s">
        <v>9</v>
      </c>
      <c r="G433" t="s">
        <v>10</v>
      </c>
      <c r="H433" t="s">
        <v>11</v>
      </c>
      <c r="I433" t="s">
        <v>12</v>
      </c>
      <c r="J433">
        <f t="shared" si="12"/>
        <v>15</v>
      </c>
      <c r="K433" t="str">
        <f t="shared" si="13"/>
        <v>Budget</v>
      </c>
    </row>
    <row r="434" spans="2:11" x14ac:dyDescent="0.25">
      <c r="B434" t="s">
        <v>208</v>
      </c>
      <c r="C434">
        <v>2016</v>
      </c>
      <c r="D434" s="1">
        <v>600000</v>
      </c>
      <c r="E434">
        <v>30000</v>
      </c>
      <c r="F434" t="s">
        <v>9</v>
      </c>
      <c r="G434" t="s">
        <v>10</v>
      </c>
      <c r="H434" t="s">
        <v>11</v>
      </c>
      <c r="I434" t="s">
        <v>12</v>
      </c>
      <c r="J434">
        <f t="shared" si="12"/>
        <v>10</v>
      </c>
      <c r="K434" t="str">
        <f t="shared" si="13"/>
        <v>Mid Range</v>
      </c>
    </row>
    <row r="435" spans="2:11" x14ac:dyDescent="0.25">
      <c r="B435" t="s">
        <v>350</v>
      </c>
      <c r="C435">
        <v>2011</v>
      </c>
      <c r="D435" s="1">
        <v>220000</v>
      </c>
      <c r="E435">
        <v>80000</v>
      </c>
      <c r="F435" t="s">
        <v>15</v>
      </c>
      <c r="G435" t="s">
        <v>10</v>
      </c>
      <c r="H435" t="s">
        <v>11</v>
      </c>
      <c r="I435" t="s">
        <v>12</v>
      </c>
      <c r="J435">
        <f t="shared" si="12"/>
        <v>15</v>
      </c>
      <c r="K435" t="str">
        <f t="shared" si="13"/>
        <v>Budget</v>
      </c>
    </row>
    <row r="436" spans="2:11" x14ac:dyDescent="0.25">
      <c r="B436" t="s">
        <v>351</v>
      </c>
      <c r="C436">
        <v>2009</v>
      </c>
      <c r="D436" s="1">
        <v>150000</v>
      </c>
      <c r="E436">
        <v>164000</v>
      </c>
      <c r="F436" t="s">
        <v>15</v>
      </c>
      <c r="G436" t="s">
        <v>10</v>
      </c>
      <c r="H436" t="s">
        <v>11</v>
      </c>
      <c r="I436" t="s">
        <v>18</v>
      </c>
      <c r="J436">
        <f t="shared" si="12"/>
        <v>17</v>
      </c>
      <c r="K436" t="str">
        <f t="shared" si="13"/>
        <v>Budget</v>
      </c>
    </row>
    <row r="437" spans="2:11" x14ac:dyDescent="0.25">
      <c r="B437" t="s">
        <v>172</v>
      </c>
      <c r="C437">
        <v>2006</v>
      </c>
      <c r="D437" s="1">
        <v>65000</v>
      </c>
      <c r="E437">
        <v>124439</v>
      </c>
      <c r="F437" t="s">
        <v>9</v>
      </c>
      <c r="G437" t="s">
        <v>10</v>
      </c>
      <c r="H437" t="s">
        <v>11</v>
      </c>
      <c r="I437" t="s">
        <v>18</v>
      </c>
      <c r="J437">
        <f t="shared" si="12"/>
        <v>20</v>
      </c>
      <c r="K437" t="str">
        <f t="shared" si="13"/>
        <v>Budget</v>
      </c>
    </row>
    <row r="438" spans="2:11" x14ac:dyDescent="0.25">
      <c r="B438" t="s">
        <v>352</v>
      </c>
      <c r="C438">
        <v>2006</v>
      </c>
      <c r="D438" s="1">
        <v>120000</v>
      </c>
      <c r="E438">
        <v>77000</v>
      </c>
      <c r="F438" t="s">
        <v>9</v>
      </c>
      <c r="G438" t="s">
        <v>10</v>
      </c>
      <c r="H438" t="s">
        <v>11</v>
      </c>
      <c r="I438" t="s">
        <v>18</v>
      </c>
      <c r="J438">
        <f t="shared" si="12"/>
        <v>20</v>
      </c>
      <c r="K438" t="str">
        <f t="shared" si="13"/>
        <v>Budget</v>
      </c>
    </row>
    <row r="439" spans="2:11" x14ac:dyDescent="0.25">
      <c r="B439" t="s">
        <v>114</v>
      </c>
      <c r="C439">
        <v>2014</v>
      </c>
      <c r="D439" s="1">
        <v>240000</v>
      </c>
      <c r="E439">
        <v>90000</v>
      </c>
      <c r="F439" t="s">
        <v>15</v>
      </c>
      <c r="G439" t="s">
        <v>10</v>
      </c>
      <c r="H439" t="s">
        <v>11</v>
      </c>
      <c r="I439" t="s">
        <v>12</v>
      </c>
      <c r="J439">
        <f t="shared" si="12"/>
        <v>12</v>
      </c>
      <c r="K439" t="str">
        <f t="shared" si="13"/>
        <v>Budget</v>
      </c>
    </row>
    <row r="440" spans="2:11" x14ac:dyDescent="0.25">
      <c r="B440" t="s">
        <v>306</v>
      </c>
      <c r="C440">
        <v>2017</v>
      </c>
      <c r="D440" s="1">
        <v>390000</v>
      </c>
      <c r="E440">
        <v>30000</v>
      </c>
      <c r="F440" t="s">
        <v>9</v>
      </c>
      <c r="G440" t="s">
        <v>10</v>
      </c>
      <c r="H440" t="s">
        <v>11</v>
      </c>
      <c r="I440" t="s">
        <v>12</v>
      </c>
      <c r="J440">
        <f t="shared" si="12"/>
        <v>9</v>
      </c>
      <c r="K440" t="str">
        <f t="shared" si="13"/>
        <v>Budget</v>
      </c>
    </row>
    <row r="441" spans="2:11" x14ac:dyDescent="0.25">
      <c r="B441" t="s">
        <v>353</v>
      </c>
      <c r="C441">
        <v>2012</v>
      </c>
      <c r="D441" s="1">
        <v>180000</v>
      </c>
      <c r="E441">
        <v>50000</v>
      </c>
      <c r="F441" t="s">
        <v>9</v>
      </c>
      <c r="G441" t="s">
        <v>10</v>
      </c>
      <c r="H441" t="s">
        <v>11</v>
      </c>
      <c r="I441" t="s">
        <v>12</v>
      </c>
      <c r="J441">
        <f t="shared" si="12"/>
        <v>14</v>
      </c>
      <c r="K441" t="str">
        <f t="shared" si="13"/>
        <v>Budget</v>
      </c>
    </row>
    <row r="442" spans="2:11" x14ac:dyDescent="0.25">
      <c r="B442" t="s">
        <v>354</v>
      </c>
      <c r="C442">
        <v>2012</v>
      </c>
      <c r="D442" s="1">
        <v>320000</v>
      </c>
      <c r="E442">
        <v>80000</v>
      </c>
      <c r="F442" t="s">
        <v>15</v>
      </c>
      <c r="G442" t="s">
        <v>10</v>
      </c>
      <c r="H442" t="s">
        <v>11</v>
      </c>
      <c r="I442" t="s">
        <v>18</v>
      </c>
      <c r="J442">
        <f t="shared" si="12"/>
        <v>14</v>
      </c>
      <c r="K442" t="str">
        <f t="shared" si="13"/>
        <v>Budget</v>
      </c>
    </row>
    <row r="443" spans="2:11" x14ac:dyDescent="0.25">
      <c r="B443" t="s">
        <v>249</v>
      </c>
      <c r="C443">
        <v>2018</v>
      </c>
      <c r="D443" s="1">
        <v>310000</v>
      </c>
      <c r="E443">
        <v>5000</v>
      </c>
      <c r="F443" t="s">
        <v>9</v>
      </c>
      <c r="G443" t="s">
        <v>10</v>
      </c>
      <c r="H443" t="s">
        <v>11</v>
      </c>
      <c r="I443" t="s">
        <v>12</v>
      </c>
      <c r="J443">
        <f t="shared" si="12"/>
        <v>8</v>
      </c>
      <c r="K443" t="str">
        <f t="shared" si="13"/>
        <v>Budget</v>
      </c>
    </row>
    <row r="444" spans="2:11" x14ac:dyDescent="0.25">
      <c r="B444" t="s">
        <v>355</v>
      </c>
      <c r="C444">
        <v>2018</v>
      </c>
      <c r="D444" s="1">
        <v>420000</v>
      </c>
      <c r="E444">
        <v>24000</v>
      </c>
      <c r="F444" t="s">
        <v>9</v>
      </c>
      <c r="G444" t="s">
        <v>10</v>
      </c>
      <c r="H444" t="s">
        <v>28</v>
      </c>
      <c r="I444" t="s">
        <v>12</v>
      </c>
      <c r="J444">
        <f t="shared" si="12"/>
        <v>8</v>
      </c>
      <c r="K444" t="str">
        <f t="shared" si="13"/>
        <v>Budget</v>
      </c>
    </row>
    <row r="445" spans="2:11" x14ac:dyDescent="0.25">
      <c r="B445" t="s">
        <v>334</v>
      </c>
      <c r="C445">
        <v>2019</v>
      </c>
      <c r="D445" s="1">
        <v>550000</v>
      </c>
      <c r="E445">
        <v>10000</v>
      </c>
      <c r="F445" t="s">
        <v>9</v>
      </c>
      <c r="G445" t="s">
        <v>10</v>
      </c>
      <c r="H445" t="s">
        <v>11</v>
      </c>
      <c r="I445" t="s">
        <v>12</v>
      </c>
      <c r="J445">
        <f t="shared" si="12"/>
        <v>7</v>
      </c>
      <c r="K445" t="str">
        <f t="shared" si="13"/>
        <v>Mid Range</v>
      </c>
    </row>
    <row r="446" spans="2:11" x14ac:dyDescent="0.25">
      <c r="B446" t="s">
        <v>125</v>
      </c>
      <c r="C446">
        <v>2016</v>
      </c>
      <c r="D446" s="1">
        <v>550000</v>
      </c>
      <c r="E446">
        <v>78000</v>
      </c>
      <c r="F446" t="s">
        <v>15</v>
      </c>
      <c r="G446" t="s">
        <v>10</v>
      </c>
      <c r="H446" t="s">
        <v>11</v>
      </c>
      <c r="I446" t="s">
        <v>49</v>
      </c>
      <c r="J446">
        <f t="shared" si="12"/>
        <v>10</v>
      </c>
      <c r="K446" t="str">
        <f t="shared" si="13"/>
        <v>Mid Range</v>
      </c>
    </row>
    <row r="447" spans="2:11" x14ac:dyDescent="0.25">
      <c r="B447" t="s">
        <v>356</v>
      </c>
      <c r="C447">
        <v>2018</v>
      </c>
      <c r="D447" s="1">
        <v>760000</v>
      </c>
      <c r="E447">
        <v>50000</v>
      </c>
      <c r="F447" t="s">
        <v>15</v>
      </c>
      <c r="G447" t="s">
        <v>10</v>
      </c>
      <c r="H447" t="s">
        <v>11</v>
      </c>
      <c r="I447" t="s">
        <v>12</v>
      </c>
      <c r="J447">
        <f t="shared" si="12"/>
        <v>8</v>
      </c>
      <c r="K447" t="str">
        <f t="shared" si="13"/>
        <v>Mid Range</v>
      </c>
    </row>
    <row r="448" spans="2:11" x14ac:dyDescent="0.25">
      <c r="B448" t="s">
        <v>357</v>
      </c>
      <c r="C448">
        <v>2001</v>
      </c>
      <c r="D448" s="1">
        <v>43000</v>
      </c>
      <c r="E448">
        <v>100000</v>
      </c>
      <c r="F448" t="s">
        <v>9</v>
      </c>
      <c r="G448" t="s">
        <v>10</v>
      </c>
      <c r="H448" t="s">
        <v>11</v>
      </c>
      <c r="I448" t="s">
        <v>18</v>
      </c>
      <c r="J448">
        <f t="shared" si="12"/>
        <v>25</v>
      </c>
      <c r="K448" t="str">
        <f t="shared" si="13"/>
        <v>Budget</v>
      </c>
    </row>
    <row r="449" spans="2:11" x14ac:dyDescent="0.25">
      <c r="B449" t="s">
        <v>224</v>
      </c>
      <c r="C449">
        <v>2018</v>
      </c>
      <c r="D449" s="1">
        <v>250000</v>
      </c>
      <c r="E449">
        <v>20000</v>
      </c>
      <c r="F449" t="s">
        <v>9</v>
      </c>
      <c r="G449" t="s">
        <v>10</v>
      </c>
      <c r="H449" t="s">
        <v>11</v>
      </c>
      <c r="I449" t="s">
        <v>12</v>
      </c>
      <c r="J449">
        <f t="shared" si="12"/>
        <v>8</v>
      </c>
      <c r="K449" t="str">
        <f t="shared" si="13"/>
        <v>Budget</v>
      </c>
    </row>
    <row r="450" spans="2:11" x14ac:dyDescent="0.25">
      <c r="B450" t="s">
        <v>358</v>
      </c>
      <c r="C450">
        <v>2019</v>
      </c>
      <c r="D450" s="1">
        <v>500000</v>
      </c>
      <c r="E450">
        <v>1250</v>
      </c>
      <c r="F450" t="s">
        <v>9</v>
      </c>
      <c r="G450" t="s">
        <v>10</v>
      </c>
      <c r="H450" t="s">
        <v>11</v>
      </c>
      <c r="I450" t="s">
        <v>12</v>
      </c>
      <c r="J450">
        <f t="shared" si="12"/>
        <v>7</v>
      </c>
      <c r="K450" t="str">
        <f t="shared" si="13"/>
        <v>Mid Range</v>
      </c>
    </row>
    <row r="451" spans="2:11" x14ac:dyDescent="0.25">
      <c r="B451" t="s">
        <v>359</v>
      </c>
      <c r="C451">
        <v>2015</v>
      </c>
      <c r="D451" s="1">
        <v>380000</v>
      </c>
      <c r="E451">
        <v>17152</v>
      </c>
      <c r="F451" t="s">
        <v>9</v>
      </c>
      <c r="G451" t="s">
        <v>10</v>
      </c>
      <c r="H451" t="s">
        <v>11</v>
      </c>
      <c r="I451" t="s">
        <v>12</v>
      </c>
      <c r="J451">
        <f t="shared" si="12"/>
        <v>11</v>
      </c>
      <c r="K451" t="str">
        <f t="shared" si="13"/>
        <v>Budget</v>
      </c>
    </row>
    <row r="452" spans="2:11" x14ac:dyDescent="0.25">
      <c r="B452" t="s">
        <v>360</v>
      </c>
      <c r="C452">
        <v>2019</v>
      </c>
      <c r="D452" s="1">
        <v>1850000</v>
      </c>
      <c r="E452">
        <v>5000</v>
      </c>
      <c r="F452" t="s">
        <v>15</v>
      </c>
      <c r="G452" t="s">
        <v>10</v>
      </c>
      <c r="H452" t="s">
        <v>28</v>
      </c>
      <c r="I452" t="s">
        <v>12</v>
      </c>
      <c r="J452">
        <f t="shared" si="12"/>
        <v>7</v>
      </c>
      <c r="K452" t="str">
        <f t="shared" si="13"/>
        <v>Premium</v>
      </c>
    </row>
    <row r="453" spans="2:11" x14ac:dyDescent="0.25">
      <c r="B453" t="s">
        <v>361</v>
      </c>
      <c r="C453">
        <v>2012</v>
      </c>
      <c r="D453" s="1">
        <v>350000</v>
      </c>
      <c r="E453">
        <v>77000</v>
      </c>
      <c r="F453" t="s">
        <v>15</v>
      </c>
      <c r="G453" t="s">
        <v>10</v>
      </c>
      <c r="H453" t="s">
        <v>11</v>
      </c>
      <c r="I453" t="s">
        <v>12</v>
      </c>
      <c r="J453">
        <f t="shared" si="12"/>
        <v>14</v>
      </c>
      <c r="K453" t="str">
        <f t="shared" si="13"/>
        <v>Budget</v>
      </c>
    </row>
    <row r="454" spans="2:11" x14ac:dyDescent="0.25">
      <c r="B454" t="s">
        <v>362</v>
      </c>
      <c r="C454">
        <v>2008</v>
      </c>
      <c r="D454" s="1">
        <v>195000</v>
      </c>
      <c r="E454">
        <v>90000</v>
      </c>
      <c r="F454" t="s">
        <v>15</v>
      </c>
      <c r="G454" t="s">
        <v>10</v>
      </c>
      <c r="H454" t="s">
        <v>11</v>
      </c>
      <c r="I454" t="s">
        <v>18</v>
      </c>
      <c r="J454">
        <f t="shared" ref="J454:J517" si="14">2026 - C454</f>
        <v>18</v>
      </c>
      <c r="K454" t="str">
        <f t="shared" ref="K454:K517" si="15">IF(D454&lt;500000,"Budget",IF(D454&lt;=1000000,"Mid Range","Premium"))</f>
        <v>Budget</v>
      </c>
    </row>
    <row r="455" spans="2:11" x14ac:dyDescent="0.25">
      <c r="B455" t="s">
        <v>353</v>
      </c>
      <c r="C455">
        <v>2011</v>
      </c>
      <c r="D455" s="1">
        <v>225000</v>
      </c>
      <c r="E455">
        <v>80000</v>
      </c>
      <c r="F455" t="s">
        <v>9</v>
      </c>
      <c r="G455" t="s">
        <v>10</v>
      </c>
      <c r="H455" t="s">
        <v>11</v>
      </c>
      <c r="I455" t="s">
        <v>18</v>
      </c>
      <c r="J455">
        <f t="shared" si="14"/>
        <v>15</v>
      </c>
      <c r="K455" t="str">
        <f t="shared" si="15"/>
        <v>Budget</v>
      </c>
    </row>
    <row r="456" spans="2:11" x14ac:dyDescent="0.25">
      <c r="B456" t="s">
        <v>42</v>
      </c>
      <c r="C456">
        <v>2015</v>
      </c>
      <c r="D456" s="1">
        <v>1125000</v>
      </c>
      <c r="E456">
        <v>65000</v>
      </c>
      <c r="F456" t="s">
        <v>15</v>
      </c>
      <c r="G456" t="s">
        <v>10</v>
      </c>
      <c r="H456" t="s">
        <v>11</v>
      </c>
      <c r="I456" t="s">
        <v>12</v>
      </c>
      <c r="J456">
        <f t="shared" si="14"/>
        <v>11</v>
      </c>
      <c r="K456" t="str">
        <f t="shared" si="15"/>
        <v>Premium</v>
      </c>
    </row>
    <row r="457" spans="2:11" x14ac:dyDescent="0.25">
      <c r="B457" t="s">
        <v>363</v>
      </c>
      <c r="C457">
        <v>2011</v>
      </c>
      <c r="D457" s="1">
        <v>133000</v>
      </c>
      <c r="E457">
        <v>80000</v>
      </c>
      <c r="F457" t="s">
        <v>15</v>
      </c>
      <c r="G457" t="s">
        <v>10</v>
      </c>
      <c r="H457" t="s">
        <v>11</v>
      </c>
      <c r="I457" t="s">
        <v>12</v>
      </c>
      <c r="J457">
        <f t="shared" si="14"/>
        <v>15</v>
      </c>
      <c r="K457" t="str">
        <f t="shared" si="15"/>
        <v>Budget</v>
      </c>
    </row>
    <row r="458" spans="2:11" x14ac:dyDescent="0.25">
      <c r="B458" t="s">
        <v>136</v>
      </c>
      <c r="C458">
        <v>2013</v>
      </c>
      <c r="D458" s="1">
        <v>200000</v>
      </c>
      <c r="E458">
        <v>24005</v>
      </c>
      <c r="F458" t="s">
        <v>9</v>
      </c>
      <c r="G458" t="s">
        <v>10</v>
      </c>
      <c r="H458" t="s">
        <v>11</v>
      </c>
      <c r="I458" t="s">
        <v>12</v>
      </c>
      <c r="J458">
        <f t="shared" si="14"/>
        <v>13</v>
      </c>
      <c r="K458" t="str">
        <f t="shared" si="15"/>
        <v>Budget</v>
      </c>
    </row>
    <row r="459" spans="2:11" x14ac:dyDescent="0.25">
      <c r="B459" t="s">
        <v>335</v>
      </c>
      <c r="C459">
        <v>2018</v>
      </c>
      <c r="D459" s="1">
        <v>940000</v>
      </c>
      <c r="E459">
        <v>20000</v>
      </c>
      <c r="F459" t="s">
        <v>15</v>
      </c>
      <c r="G459" t="s">
        <v>10</v>
      </c>
      <c r="H459" t="s">
        <v>11</v>
      </c>
      <c r="I459" t="s">
        <v>12</v>
      </c>
      <c r="J459">
        <f t="shared" si="14"/>
        <v>8</v>
      </c>
      <c r="K459" t="str">
        <f t="shared" si="15"/>
        <v>Mid Range</v>
      </c>
    </row>
    <row r="460" spans="2:11" x14ac:dyDescent="0.25">
      <c r="B460" t="s">
        <v>364</v>
      </c>
      <c r="C460">
        <v>2014</v>
      </c>
      <c r="D460" s="1">
        <v>400000</v>
      </c>
      <c r="E460">
        <v>120000</v>
      </c>
      <c r="F460" t="s">
        <v>15</v>
      </c>
      <c r="G460" t="s">
        <v>10</v>
      </c>
      <c r="H460" t="s">
        <v>11</v>
      </c>
      <c r="I460" t="s">
        <v>12</v>
      </c>
      <c r="J460">
        <f t="shared" si="14"/>
        <v>12</v>
      </c>
      <c r="K460" t="str">
        <f t="shared" si="15"/>
        <v>Budget</v>
      </c>
    </row>
    <row r="461" spans="2:11" x14ac:dyDescent="0.25">
      <c r="B461" t="s">
        <v>365</v>
      </c>
      <c r="C461">
        <v>2009</v>
      </c>
      <c r="D461" s="1">
        <v>120000</v>
      </c>
      <c r="E461">
        <v>120000</v>
      </c>
      <c r="F461" t="s">
        <v>9</v>
      </c>
      <c r="G461" t="s">
        <v>10</v>
      </c>
      <c r="H461" t="s">
        <v>11</v>
      </c>
      <c r="I461" t="s">
        <v>18</v>
      </c>
      <c r="J461">
        <f t="shared" si="14"/>
        <v>17</v>
      </c>
      <c r="K461" t="str">
        <f t="shared" si="15"/>
        <v>Budget</v>
      </c>
    </row>
    <row r="462" spans="2:11" x14ac:dyDescent="0.25">
      <c r="B462" t="s">
        <v>366</v>
      </c>
      <c r="C462">
        <v>2015</v>
      </c>
      <c r="D462" s="1">
        <v>625000</v>
      </c>
      <c r="E462">
        <v>80000</v>
      </c>
      <c r="F462" t="s">
        <v>15</v>
      </c>
      <c r="G462" t="s">
        <v>10</v>
      </c>
      <c r="H462" t="s">
        <v>11</v>
      </c>
      <c r="I462" t="s">
        <v>12</v>
      </c>
      <c r="J462">
        <f t="shared" si="14"/>
        <v>11</v>
      </c>
      <c r="K462" t="str">
        <f t="shared" si="15"/>
        <v>Mid Range</v>
      </c>
    </row>
    <row r="463" spans="2:11" x14ac:dyDescent="0.25">
      <c r="B463" t="s">
        <v>76</v>
      </c>
      <c r="C463">
        <v>2005</v>
      </c>
      <c r="D463" s="1">
        <v>110000</v>
      </c>
      <c r="E463">
        <v>80000</v>
      </c>
      <c r="F463" t="s">
        <v>9</v>
      </c>
      <c r="G463" t="s">
        <v>10</v>
      </c>
      <c r="H463" t="s">
        <v>11</v>
      </c>
      <c r="I463" t="s">
        <v>12</v>
      </c>
      <c r="J463">
        <f t="shared" si="14"/>
        <v>21</v>
      </c>
      <c r="K463" t="str">
        <f t="shared" si="15"/>
        <v>Budget</v>
      </c>
    </row>
    <row r="464" spans="2:11" x14ac:dyDescent="0.25">
      <c r="B464" t="s">
        <v>163</v>
      </c>
      <c r="C464">
        <v>2012</v>
      </c>
      <c r="D464" s="1">
        <v>490000</v>
      </c>
      <c r="E464">
        <v>100000</v>
      </c>
      <c r="F464" t="s">
        <v>15</v>
      </c>
      <c r="G464" t="s">
        <v>10</v>
      </c>
      <c r="H464" t="s">
        <v>11</v>
      </c>
      <c r="I464" t="s">
        <v>12</v>
      </c>
      <c r="J464">
        <f t="shared" si="14"/>
        <v>14</v>
      </c>
      <c r="K464" t="str">
        <f t="shared" si="15"/>
        <v>Budget</v>
      </c>
    </row>
    <row r="465" spans="2:11" x14ac:dyDescent="0.25">
      <c r="B465" t="s">
        <v>172</v>
      </c>
      <c r="C465">
        <v>2009</v>
      </c>
      <c r="D465" s="1">
        <v>140000</v>
      </c>
      <c r="E465">
        <v>120000</v>
      </c>
      <c r="F465" t="s">
        <v>9</v>
      </c>
      <c r="G465" t="s">
        <v>10</v>
      </c>
      <c r="H465" t="s">
        <v>11</v>
      </c>
      <c r="I465" t="s">
        <v>18</v>
      </c>
      <c r="J465">
        <f t="shared" si="14"/>
        <v>17</v>
      </c>
      <c r="K465" t="str">
        <f t="shared" si="15"/>
        <v>Budget</v>
      </c>
    </row>
    <row r="466" spans="2:11" x14ac:dyDescent="0.25">
      <c r="B466" t="s">
        <v>367</v>
      </c>
      <c r="C466">
        <v>2011</v>
      </c>
      <c r="D466" s="1">
        <v>175000</v>
      </c>
      <c r="E466">
        <v>149000</v>
      </c>
      <c r="F466" t="s">
        <v>15</v>
      </c>
      <c r="G466" t="s">
        <v>10</v>
      </c>
      <c r="H466" t="s">
        <v>11</v>
      </c>
      <c r="I466" t="s">
        <v>18</v>
      </c>
      <c r="J466">
        <f t="shared" si="14"/>
        <v>15</v>
      </c>
      <c r="K466" t="str">
        <f t="shared" si="15"/>
        <v>Budget</v>
      </c>
    </row>
    <row r="467" spans="2:11" x14ac:dyDescent="0.25">
      <c r="B467" t="s">
        <v>368</v>
      </c>
      <c r="C467">
        <v>2005</v>
      </c>
      <c r="D467" s="1">
        <v>90000</v>
      </c>
      <c r="E467">
        <v>65000</v>
      </c>
      <c r="F467" t="s">
        <v>9</v>
      </c>
      <c r="G467" t="s">
        <v>10</v>
      </c>
      <c r="H467" t="s">
        <v>11</v>
      </c>
      <c r="I467" t="s">
        <v>18</v>
      </c>
      <c r="J467">
        <f t="shared" si="14"/>
        <v>21</v>
      </c>
      <c r="K467" t="str">
        <f t="shared" si="15"/>
        <v>Budget</v>
      </c>
    </row>
    <row r="468" spans="2:11" x14ac:dyDescent="0.25">
      <c r="B468" t="s">
        <v>369</v>
      </c>
      <c r="C468">
        <v>2009</v>
      </c>
      <c r="D468" s="1">
        <v>275000</v>
      </c>
      <c r="E468">
        <v>100000</v>
      </c>
      <c r="F468" t="s">
        <v>15</v>
      </c>
      <c r="G468" t="s">
        <v>10</v>
      </c>
      <c r="H468" t="s">
        <v>11</v>
      </c>
      <c r="I468" t="s">
        <v>18</v>
      </c>
      <c r="J468">
        <f t="shared" si="14"/>
        <v>17</v>
      </c>
      <c r="K468" t="str">
        <f t="shared" si="15"/>
        <v>Budget</v>
      </c>
    </row>
    <row r="469" spans="2:11" x14ac:dyDescent="0.25">
      <c r="B469" t="s">
        <v>370</v>
      </c>
      <c r="C469">
        <v>2011</v>
      </c>
      <c r="D469" s="1">
        <v>300000</v>
      </c>
      <c r="E469">
        <v>65000</v>
      </c>
      <c r="F469" t="s">
        <v>15</v>
      </c>
      <c r="G469" t="s">
        <v>10</v>
      </c>
      <c r="H469" t="s">
        <v>11</v>
      </c>
      <c r="I469" t="s">
        <v>18</v>
      </c>
      <c r="J469">
        <f t="shared" si="14"/>
        <v>15</v>
      </c>
      <c r="K469" t="str">
        <f t="shared" si="15"/>
        <v>Budget</v>
      </c>
    </row>
    <row r="470" spans="2:11" x14ac:dyDescent="0.25">
      <c r="B470" t="s">
        <v>371</v>
      </c>
      <c r="C470">
        <v>2018</v>
      </c>
      <c r="D470" s="1">
        <v>270000</v>
      </c>
      <c r="E470">
        <v>19000</v>
      </c>
      <c r="F470" t="s">
        <v>9</v>
      </c>
      <c r="G470" t="s">
        <v>10</v>
      </c>
      <c r="H470" t="s">
        <v>11</v>
      </c>
      <c r="I470" t="s">
        <v>18</v>
      </c>
      <c r="J470">
        <f t="shared" si="14"/>
        <v>8</v>
      </c>
      <c r="K470" t="str">
        <f t="shared" si="15"/>
        <v>Budget</v>
      </c>
    </row>
    <row r="471" spans="2:11" x14ac:dyDescent="0.25">
      <c r="B471" t="s">
        <v>161</v>
      </c>
      <c r="C471">
        <v>2010</v>
      </c>
      <c r="D471" s="1">
        <v>130000</v>
      </c>
      <c r="E471">
        <v>80000</v>
      </c>
      <c r="F471" t="s">
        <v>9</v>
      </c>
      <c r="G471" t="s">
        <v>10</v>
      </c>
      <c r="H471" t="s">
        <v>11</v>
      </c>
      <c r="I471" t="s">
        <v>18</v>
      </c>
      <c r="J471">
        <f t="shared" si="14"/>
        <v>16</v>
      </c>
      <c r="K471" t="str">
        <f t="shared" si="15"/>
        <v>Budget</v>
      </c>
    </row>
    <row r="472" spans="2:11" x14ac:dyDescent="0.25">
      <c r="B472" t="s">
        <v>372</v>
      </c>
      <c r="C472">
        <v>2015</v>
      </c>
      <c r="D472" s="1">
        <v>275000</v>
      </c>
      <c r="E472">
        <v>30000</v>
      </c>
      <c r="F472" t="s">
        <v>9</v>
      </c>
      <c r="G472" t="s">
        <v>10</v>
      </c>
      <c r="H472" t="s">
        <v>11</v>
      </c>
      <c r="I472" t="s">
        <v>12</v>
      </c>
      <c r="J472">
        <f t="shared" si="14"/>
        <v>11</v>
      </c>
      <c r="K472" t="str">
        <f t="shared" si="15"/>
        <v>Budget</v>
      </c>
    </row>
    <row r="473" spans="2:11" x14ac:dyDescent="0.25">
      <c r="B473" t="s">
        <v>354</v>
      </c>
      <c r="C473">
        <v>2012</v>
      </c>
      <c r="D473" s="1">
        <v>352000</v>
      </c>
      <c r="E473">
        <v>109000</v>
      </c>
      <c r="F473" t="s">
        <v>15</v>
      </c>
      <c r="G473" t="s">
        <v>10</v>
      </c>
      <c r="H473" t="s">
        <v>11</v>
      </c>
      <c r="I473" t="s">
        <v>12</v>
      </c>
      <c r="J473">
        <f t="shared" si="14"/>
        <v>14</v>
      </c>
      <c r="K473" t="str">
        <f t="shared" si="15"/>
        <v>Budget</v>
      </c>
    </row>
    <row r="474" spans="2:11" x14ac:dyDescent="0.25">
      <c r="B474" t="s">
        <v>373</v>
      </c>
      <c r="C474">
        <v>2012</v>
      </c>
      <c r="D474" s="1">
        <v>180000</v>
      </c>
      <c r="E474">
        <v>90000</v>
      </c>
      <c r="F474" t="s">
        <v>152</v>
      </c>
      <c r="G474" t="s">
        <v>10</v>
      </c>
      <c r="H474" t="s">
        <v>11</v>
      </c>
      <c r="I474" t="s">
        <v>12</v>
      </c>
      <c r="J474">
        <f t="shared" si="14"/>
        <v>14</v>
      </c>
      <c r="K474" t="str">
        <f t="shared" si="15"/>
        <v>Budget</v>
      </c>
    </row>
    <row r="475" spans="2:11" x14ac:dyDescent="0.25">
      <c r="B475" t="s">
        <v>172</v>
      </c>
      <c r="C475">
        <v>2012</v>
      </c>
      <c r="D475" s="1">
        <v>150000</v>
      </c>
      <c r="E475">
        <v>90000</v>
      </c>
      <c r="F475" t="s">
        <v>9</v>
      </c>
      <c r="G475" t="s">
        <v>10</v>
      </c>
      <c r="H475" t="s">
        <v>11</v>
      </c>
      <c r="I475" t="s">
        <v>12</v>
      </c>
      <c r="J475">
        <f t="shared" si="14"/>
        <v>14</v>
      </c>
      <c r="K475" t="str">
        <f t="shared" si="15"/>
        <v>Budget</v>
      </c>
    </row>
    <row r="476" spans="2:11" x14ac:dyDescent="0.25">
      <c r="B476" t="s">
        <v>122</v>
      </c>
      <c r="C476">
        <v>2010</v>
      </c>
      <c r="D476" s="1">
        <v>300000</v>
      </c>
      <c r="E476">
        <v>110000</v>
      </c>
      <c r="F476" t="s">
        <v>15</v>
      </c>
      <c r="G476" t="s">
        <v>10</v>
      </c>
      <c r="H476" t="s">
        <v>11</v>
      </c>
      <c r="I476" t="s">
        <v>18</v>
      </c>
      <c r="J476">
        <f t="shared" si="14"/>
        <v>16</v>
      </c>
      <c r="K476" t="str">
        <f t="shared" si="15"/>
        <v>Budget</v>
      </c>
    </row>
    <row r="477" spans="2:11" x14ac:dyDescent="0.25">
      <c r="B477" t="s">
        <v>374</v>
      </c>
      <c r="C477">
        <v>2007</v>
      </c>
      <c r="D477" s="1">
        <v>225000</v>
      </c>
      <c r="E477">
        <v>120000</v>
      </c>
      <c r="F477" t="s">
        <v>15</v>
      </c>
      <c r="G477" t="s">
        <v>10</v>
      </c>
      <c r="H477" t="s">
        <v>11</v>
      </c>
      <c r="I477" t="s">
        <v>12</v>
      </c>
      <c r="J477">
        <f t="shared" si="14"/>
        <v>19</v>
      </c>
      <c r="K477" t="str">
        <f t="shared" si="15"/>
        <v>Budget</v>
      </c>
    </row>
    <row r="478" spans="2:11" x14ac:dyDescent="0.25">
      <c r="B478" t="s">
        <v>214</v>
      </c>
      <c r="C478">
        <v>2014</v>
      </c>
      <c r="D478" s="1">
        <v>600000</v>
      </c>
      <c r="E478">
        <v>44000</v>
      </c>
      <c r="F478" t="s">
        <v>15</v>
      </c>
      <c r="G478" t="s">
        <v>10</v>
      </c>
      <c r="H478" t="s">
        <v>11</v>
      </c>
      <c r="I478" t="s">
        <v>12</v>
      </c>
      <c r="J478">
        <f t="shared" si="14"/>
        <v>12</v>
      </c>
      <c r="K478" t="str">
        <f t="shared" si="15"/>
        <v>Mid Range</v>
      </c>
    </row>
    <row r="479" spans="2:11" x14ac:dyDescent="0.25">
      <c r="B479" t="s">
        <v>375</v>
      </c>
      <c r="C479">
        <v>2015</v>
      </c>
      <c r="D479" s="1">
        <v>500000</v>
      </c>
      <c r="E479">
        <v>80000</v>
      </c>
      <c r="F479" t="s">
        <v>9</v>
      </c>
      <c r="G479" t="s">
        <v>10</v>
      </c>
      <c r="H479" t="s">
        <v>11</v>
      </c>
      <c r="I479" t="s">
        <v>12</v>
      </c>
      <c r="J479">
        <f t="shared" si="14"/>
        <v>11</v>
      </c>
      <c r="K479" t="str">
        <f t="shared" si="15"/>
        <v>Mid Range</v>
      </c>
    </row>
    <row r="480" spans="2:11" x14ac:dyDescent="0.25">
      <c r="B480" t="s">
        <v>376</v>
      </c>
      <c r="C480">
        <v>2018</v>
      </c>
      <c r="D480" s="1">
        <v>900000</v>
      </c>
      <c r="E480">
        <v>5000</v>
      </c>
      <c r="F480" t="s">
        <v>9</v>
      </c>
      <c r="G480" t="s">
        <v>10</v>
      </c>
      <c r="H480" t="s">
        <v>11</v>
      </c>
      <c r="I480" t="s">
        <v>12</v>
      </c>
      <c r="J480">
        <f t="shared" si="14"/>
        <v>8</v>
      </c>
      <c r="K480" t="str">
        <f t="shared" si="15"/>
        <v>Mid Range</v>
      </c>
    </row>
    <row r="481" spans="2:11" x14ac:dyDescent="0.25">
      <c r="B481" t="s">
        <v>141</v>
      </c>
      <c r="C481">
        <v>2016</v>
      </c>
      <c r="D481" s="1">
        <v>600000</v>
      </c>
      <c r="E481">
        <v>61000</v>
      </c>
      <c r="F481" t="s">
        <v>9</v>
      </c>
      <c r="G481" t="s">
        <v>10</v>
      </c>
      <c r="H481" t="s">
        <v>11</v>
      </c>
      <c r="I481" t="s">
        <v>12</v>
      </c>
      <c r="J481">
        <f t="shared" si="14"/>
        <v>10</v>
      </c>
      <c r="K481" t="str">
        <f t="shared" si="15"/>
        <v>Mid Range</v>
      </c>
    </row>
    <row r="482" spans="2:11" x14ac:dyDescent="0.25">
      <c r="B482" t="s">
        <v>377</v>
      </c>
      <c r="C482">
        <v>2011</v>
      </c>
      <c r="D482" s="1">
        <v>450000</v>
      </c>
      <c r="E482">
        <v>100000</v>
      </c>
      <c r="F482" t="s">
        <v>15</v>
      </c>
      <c r="G482" t="s">
        <v>10</v>
      </c>
      <c r="H482" t="s">
        <v>11</v>
      </c>
      <c r="I482" t="s">
        <v>18</v>
      </c>
      <c r="J482">
        <f t="shared" si="14"/>
        <v>15</v>
      </c>
      <c r="K482" t="str">
        <f t="shared" si="15"/>
        <v>Budget</v>
      </c>
    </row>
    <row r="483" spans="2:11" x14ac:dyDescent="0.25">
      <c r="B483" t="s">
        <v>365</v>
      </c>
      <c r="C483">
        <v>2009</v>
      </c>
      <c r="D483" s="1">
        <v>270000</v>
      </c>
      <c r="E483">
        <v>27633</v>
      </c>
      <c r="F483" t="s">
        <v>9</v>
      </c>
      <c r="G483" t="s">
        <v>10</v>
      </c>
      <c r="H483" t="s">
        <v>11</v>
      </c>
      <c r="I483" t="s">
        <v>12</v>
      </c>
      <c r="J483">
        <f t="shared" si="14"/>
        <v>17</v>
      </c>
      <c r="K483" t="str">
        <f t="shared" si="15"/>
        <v>Budget</v>
      </c>
    </row>
    <row r="484" spans="2:11" x14ac:dyDescent="0.25">
      <c r="B484" t="s">
        <v>122</v>
      </c>
      <c r="C484">
        <v>2010</v>
      </c>
      <c r="D484" s="1">
        <v>310000</v>
      </c>
      <c r="E484">
        <v>100000</v>
      </c>
      <c r="F484" t="s">
        <v>15</v>
      </c>
      <c r="G484" t="s">
        <v>10</v>
      </c>
      <c r="H484" t="s">
        <v>11</v>
      </c>
      <c r="I484" t="s">
        <v>49</v>
      </c>
      <c r="J484">
        <f t="shared" si="14"/>
        <v>16</v>
      </c>
      <c r="K484" t="str">
        <f t="shared" si="15"/>
        <v>Budget</v>
      </c>
    </row>
    <row r="485" spans="2:11" x14ac:dyDescent="0.25">
      <c r="B485" t="s">
        <v>378</v>
      </c>
      <c r="C485">
        <v>2012</v>
      </c>
      <c r="D485" s="1">
        <v>250000</v>
      </c>
      <c r="E485">
        <v>100000</v>
      </c>
      <c r="F485" t="s">
        <v>152</v>
      </c>
      <c r="G485" t="s">
        <v>10</v>
      </c>
      <c r="H485" t="s">
        <v>11</v>
      </c>
      <c r="I485" t="s">
        <v>12</v>
      </c>
      <c r="J485">
        <f t="shared" si="14"/>
        <v>14</v>
      </c>
      <c r="K485" t="str">
        <f t="shared" si="15"/>
        <v>Budget</v>
      </c>
    </row>
    <row r="486" spans="2:11" x14ac:dyDescent="0.25">
      <c r="B486" t="s">
        <v>379</v>
      </c>
      <c r="C486">
        <v>2019</v>
      </c>
      <c r="D486" s="1">
        <v>700000</v>
      </c>
      <c r="E486">
        <v>12586</v>
      </c>
      <c r="F486" t="s">
        <v>9</v>
      </c>
      <c r="G486" t="s">
        <v>27</v>
      </c>
      <c r="H486" t="s">
        <v>11</v>
      </c>
      <c r="I486" t="s">
        <v>12</v>
      </c>
      <c r="J486">
        <f t="shared" si="14"/>
        <v>7</v>
      </c>
      <c r="K486" t="str">
        <f t="shared" si="15"/>
        <v>Mid Range</v>
      </c>
    </row>
    <row r="487" spans="2:11" x14ac:dyDescent="0.25">
      <c r="B487" t="s">
        <v>380</v>
      </c>
      <c r="C487">
        <v>2018</v>
      </c>
      <c r="D487" s="1">
        <v>650000</v>
      </c>
      <c r="E487">
        <v>38083</v>
      </c>
      <c r="F487" t="s">
        <v>15</v>
      </c>
      <c r="G487" t="s">
        <v>27</v>
      </c>
      <c r="H487" t="s">
        <v>11</v>
      </c>
      <c r="I487" t="s">
        <v>12</v>
      </c>
      <c r="J487">
        <f t="shared" si="14"/>
        <v>8</v>
      </c>
      <c r="K487" t="str">
        <f t="shared" si="15"/>
        <v>Mid Range</v>
      </c>
    </row>
    <row r="488" spans="2:11" x14ac:dyDescent="0.25">
      <c r="B488" t="s">
        <v>367</v>
      </c>
      <c r="C488">
        <v>2012</v>
      </c>
      <c r="D488" s="1">
        <v>400000</v>
      </c>
      <c r="E488">
        <v>55328</v>
      </c>
      <c r="F488" t="s">
        <v>15</v>
      </c>
      <c r="G488" t="s">
        <v>27</v>
      </c>
      <c r="H488" t="s">
        <v>11</v>
      </c>
      <c r="I488" t="s">
        <v>12</v>
      </c>
      <c r="J488">
        <f t="shared" si="14"/>
        <v>14</v>
      </c>
      <c r="K488" t="str">
        <f t="shared" si="15"/>
        <v>Budget</v>
      </c>
    </row>
    <row r="489" spans="2:11" x14ac:dyDescent="0.25">
      <c r="B489" t="s">
        <v>180</v>
      </c>
      <c r="C489">
        <v>2012</v>
      </c>
      <c r="D489" s="1">
        <v>425000</v>
      </c>
      <c r="E489">
        <v>81632</v>
      </c>
      <c r="F489" t="s">
        <v>15</v>
      </c>
      <c r="G489" t="s">
        <v>27</v>
      </c>
      <c r="H489" t="s">
        <v>11</v>
      </c>
      <c r="I489" t="s">
        <v>12</v>
      </c>
      <c r="J489">
        <f t="shared" si="14"/>
        <v>14</v>
      </c>
      <c r="K489" t="str">
        <f t="shared" si="15"/>
        <v>Budget</v>
      </c>
    </row>
    <row r="490" spans="2:11" x14ac:dyDescent="0.25">
      <c r="B490" t="s">
        <v>274</v>
      </c>
      <c r="C490">
        <v>2016</v>
      </c>
      <c r="D490" s="1">
        <v>600000</v>
      </c>
      <c r="E490">
        <v>155201</v>
      </c>
      <c r="F490" t="s">
        <v>15</v>
      </c>
      <c r="G490" t="s">
        <v>27</v>
      </c>
      <c r="H490" t="s">
        <v>11</v>
      </c>
      <c r="I490" t="s">
        <v>12</v>
      </c>
      <c r="J490">
        <f t="shared" si="14"/>
        <v>10</v>
      </c>
      <c r="K490" t="str">
        <f t="shared" si="15"/>
        <v>Mid Range</v>
      </c>
    </row>
    <row r="491" spans="2:11" x14ac:dyDescent="0.25">
      <c r="B491" t="s">
        <v>381</v>
      </c>
      <c r="C491">
        <v>2013</v>
      </c>
      <c r="D491" s="1">
        <v>600000</v>
      </c>
      <c r="E491">
        <v>93283</v>
      </c>
      <c r="F491" t="s">
        <v>15</v>
      </c>
      <c r="G491" t="s">
        <v>27</v>
      </c>
      <c r="H491" t="s">
        <v>11</v>
      </c>
      <c r="I491" t="s">
        <v>12</v>
      </c>
      <c r="J491">
        <f t="shared" si="14"/>
        <v>13</v>
      </c>
      <c r="K491" t="str">
        <f t="shared" si="15"/>
        <v>Mid Range</v>
      </c>
    </row>
    <row r="492" spans="2:11" x14ac:dyDescent="0.25">
      <c r="B492" t="s">
        <v>382</v>
      </c>
      <c r="C492">
        <v>2009</v>
      </c>
      <c r="D492" s="1">
        <v>300000</v>
      </c>
      <c r="E492">
        <v>217871</v>
      </c>
      <c r="F492" t="s">
        <v>15</v>
      </c>
      <c r="G492" t="s">
        <v>27</v>
      </c>
      <c r="H492" t="s">
        <v>11</v>
      </c>
      <c r="I492" t="s">
        <v>12</v>
      </c>
      <c r="J492">
        <f t="shared" si="14"/>
        <v>17</v>
      </c>
      <c r="K492" t="str">
        <f t="shared" si="15"/>
        <v>Budget</v>
      </c>
    </row>
    <row r="493" spans="2:11" x14ac:dyDescent="0.25">
      <c r="B493" t="s">
        <v>383</v>
      </c>
      <c r="C493">
        <v>2012</v>
      </c>
      <c r="D493" s="1">
        <v>450000</v>
      </c>
      <c r="E493">
        <v>90165</v>
      </c>
      <c r="F493" t="s">
        <v>15</v>
      </c>
      <c r="G493" t="s">
        <v>27</v>
      </c>
      <c r="H493" t="s">
        <v>11</v>
      </c>
      <c r="I493" t="s">
        <v>12</v>
      </c>
      <c r="J493">
        <f t="shared" si="14"/>
        <v>14</v>
      </c>
      <c r="K493" t="str">
        <f t="shared" si="15"/>
        <v>Budget</v>
      </c>
    </row>
    <row r="494" spans="2:11" x14ac:dyDescent="0.25">
      <c r="B494" t="s">
        <v>325</v>
      </c>
      <c r="C494">
        <v>2014</v>
      </c>
      <c r="D494" s="1">
        <v>750000</v>
      </c>
      <c r="E494">
        <v>101504</v>
      </c>
      <c r="F494" t="s">
        <v>15</v>
      </c>
      <c r="G494" t="s">
        <v>27</v>
      </c>
      <c r="H494" t="s">
        <v>11</v>
      </c>
      <c r="I494" t="s">
        <v>12</v>
      </c>
      <c r="J494">
        <f t="shared" si="14"/>
        <v>12</v>
      </c>
      <c r="K494" t="str">
        <f t="shared" si="15"/>
        <v>Mid Range</v>
      </c>
    </row>
    <row r="495" spans="2:11" x14ac:dyDescent="0.25">
      <c r="B495" t="s">
        <v>384</v>
      </c>
      <c r="C495">
        <v>2010</v>
      </c>
      <c r="D495" s="1">
        <v>325000</v>
      </c>
      <c r="E495">
        <v>86017</v>
      </c>
      <c r="F495" t="s">
        <v>15</v>
      </c>
      <c r="G495" t="s">
        <v>27</v>
      </c>
      <c r="H495" t="s">
        <v>11</v>
      </c>
      <c r="I495" t="s">
        <v>18</v>
      </c>
      <c r="J495">
        <f t="shared" si="14"/>
        <v>16</v>
      </c>
      <c r="K495" t="str">
        <f t="shared" si="15"/>
        <v>Budget</v>
      </c>
    </row>
    <row r="496" spans="2:11" x14ac:dyDescent="0.25">
      <c r="B496" t="s">
        <v>90</v>
      </c>
      <c r="C496">
        <v>2013</v>
      </c>
      <c r="D496" s="1">
        <v>900000</v>
      </c>
      <c r="E496">
        <v>85036</v>
      </c>
      <c r="F496" t="s">
        <v>15</v>
      </c>
      <c r="G496" t="s">
        <v>27</v>
      </c>
      <c r="H496" t="s">
        <v>11</v>
      </c>
      <c r="I496" t="s">
        <v>18</v>
      </c>
      <c r="J496">
        <f t="shared" si="14"/>
        <v>13</v>
      </c>
      <c r="K496" t="str">
        <f t="shared" si="15"/>
        <v>Mid Range</v>
      </c>
    </row>
    <row r="497" spans="2:11" x14ac:dyDescent="0.25">
      <c r="B497" t="s">
        <v>385</v>
      </c>
      <c r="C497">
        <v>2006</v>
      </c>
      <c r="D497" s="1">
        <v>180000</v>
      </c>
      <c r="E497">
        <v>91086</v>
      </c>
      <c r="F497" t="s">
        <v>9</v>
      </c>
      <c r="G497" t="s">
        <v>27</v>
      </c>
      <c r="H497" t="s">
        <v>11</v>
      </c>
      <c r="I497" t="s">
        <v>18</v>
      </c>
      <c r="J497">
        <f t="shared" si="14"/>
        <v>20</v>
      </c>
      <c r="K497" t="str">
        <f t="shared" si="15"/>
        <v>Budget</v>
      </c>
    </row>
    <row r="498" spans="2:11" x14ac:dyDescent="0.25">
      <c r="B498" t="s">
        <v>386</v>
      </c>
      <c r="C498">
        <v>2013</v>
      </c>
      <c r="D498" s="1">
        <v>350000</v>
      </c>
      <c r="E498">
        <v>160254</v>
      </c>
      <c r="F498" t="s">
        <v>15</v>
      </c>
      <c r="G498" t="s">
        <v>27</v>
      </c>
      <c r="H498" t="s">
        <v>11</v>
      </c>
      <c r="I498" t="s">
        <v>18</v>
      </c>
      <c r="J498">
        <f t="shared" si="14"/>
        <v>13</v>
      </c>
      <c r="K498" t="str">
        <f t="shared" si="15"/>
        <v>Budget</v>
      </c>
    </row>
    <row r="499" spans="2:11" x14ac:dyDescent="0.25">
      <c r="B499" t="s">
        <v>381</v>
      </c>
      <c r="C499">
        <v>2013</v>
      </c>
      <c r="D499" s="1">
        <v>600000</v>
      </c>
      <c r="E499">
        <v>125531</v>
      </c>
      <c r="F499" t="s">
        <v>15</v>
      </c>
      <c r="G499" t="s">
        <v>27</v>
      </c>
      <c r="H499" t="s">
        <v>11</v>
      </c>
      <c r="I499" t="s">
        <v>18</v>
      </c>
      <c r="J499">
        <f t="shared" si="14"/>
        <v>13</v>
      </c>
      <c r="K499" t="str">
        <f t="shared" si="15"/>
        <v>Mid Range</v>
      </c>
    </row>
    <row r="500" spans="2:11" x14ac:dyDescent="0.25">
      <c r="B500" t="s">
        <v>387</v>
      </c>
      <c r="C500">
        <v>2019</v>
      </c>
      <c r="D500" s="1">
        <v>900000</v>
      </c>
      <c r="E500">
        <v>60000</v>
      </c>
      <c r="F500" t="s">
        <v>15</v>
      </c>
      <c r="G500" t="s">
        <v>10</v>
      </c>
      <c r="H500" t="s">
        <v>11</v>
      </c>
      <c r="I500" t="s">
        <v>12</v>
      </c>
      <c r="J500">
        <f t="shared" si="14"/>
        <v>7</v>
      </c>
      <c r="K500" t="str">
        <f t="shared" si="15"/>
        <v>Mid Range</v>
      </c>
    </row>
    <row r="501" spans="2:11" x14ac:dyDescent="0.25">
      <c r="B501" t="s">
        <v>388</v>
      </c>
      <c r="C501">
        <v>2006</v>
      </c>
      <c r="D501" s="1">
        <v>350000</v>
      </c>
      <c r="E501">
        <v>100000</v>
      </c>
      <c r="F501" t="s">
        <v>15</v>
      </c>
      <c r="G501" t="s">
        <v>10</v>
      </c>
      <c r="H501" t="s">
        <v>11</v>
      </c>
      <c r="I501" t="s">
        <v>12</v>
      </c>
      <c r="J501">
        <f t="shared" si="14"/>
        <v>20</v>
      </c>
      <c r="K501" t="str">
        <f t="shared" si="15"/>
        <v>Budget</v>
      </c>
    </row>
    <row r="502" spans="2:11" x14ac:dyDescent="0.25">
      <c r="B502" t="s">
        <v>389</v>
      </c>
      <c r="C502">
        <v>2013</v>
      </c>
      <c r="D502" s="1">
        <v>280000</v>
      </c>
      <c r="E502">
        <v>90000</v>
      </c>
      <c r="F502" t="s">
        <v>15</v>
      </c>
      <c r="G502" t="s">
        <v>10</v>
      </c>
      <c r="H502" t="s">
        <v>11</v>
      </c>
      <c r="I502" t="s">
        <v>49</v>
      </c>
      <c r="J502">
        <f t="shared" si="14"/>
        <v>13</v>
      </c>
      <c r="K502" t="str">
        <f t="shared" si="15"/>
        <v>Budget</v>
      </c>
    </row>
    <row r="503" spans="2:11" x14ac:dyDescent="0.25">
      <c r="B503" t="s">
        <v>390</v>
      </c>
      <c r="C503">
        <v>2009</v>
      </c>
      <c r="D503" s="1">
        <v>225000</v>
      </c>
      <c r="E503">
        <v>120000</v>
      </c>
      <c r="F503" t="s">
        <v>15</v>
      </c>
      <c r="G503" t="s">
        <v>10</v>
      </c>
      <c r="H503" t="s">
        <v>11</v>
      </c>
      <c r="I503" t="s">
        <v>18</v>
      </c>
      <c r="J503">
        <f t="shared" si="14"/>
        <v>17</v>
      </c>
      <c r="K503" t="str">
        <f t="shared" si="15"/>
        <v>Budget</v>
      </c>
    </row>
    <row r="504" spans="2:11" x14ac:dyDescent="0.25">
      <c r="B504" t="s">
        <v>391</v>
      </c>
      <c r="C504">
        <v>2014</v>
      </c>
      <c r="D504" s="1">
        <v>520000</v>
      </c>
      <c r="E504">
        <v>82000</v>
      </c>
      <c r="F504" t="s">
        <v>15</v>
      </c>
      <c r="G504" t="s">
        <v>10</v>
      </c>
      <c r="H504" t="s">
        <v>11</v>
      </c>
      <c r="I504" t="s">
        <v>12</v>
      </c>
      <c r="J504">
        <f t="shared" si="14"/>
        <v>12</v>
      </c>
      <c r="K504" t="str">
        <f t="shared" si="15"/>
        <v>Mid Range</v>
      </c>
    </row>
    <row r="505" spans="2:11" x14ac:dyDescent="0.25">
      <c r="B505" t="s">
        <v>392</v>
      </c>
      <c r="C505">
        <v>2016</v>
      </c>
      <c r="D505" s="1">
        <v>509999</v>
      </c>
      <c r="E505">
        <v>60000</v>
      </c>
      <c r="F505" t="s">
        <v>15</v>
      </c>
      <c r="G505" t="s">
        <v>10</v>
      </c>
      <c r="H505" t="s">
        <v>11</v>
      </c>
      <c r="I505" t="s">
        <v>12</v>
      </c>
      <c r="J505">
        <f t="shared" si="14"/>
        <v>10</v>
      </c>
      <c r="K505" t="str">
        <f t="shared" si="15"/>
        <v>Mid Range</v>
      </c>
    </row>
    <row r="506" spans="2:11" x14ac:dyDescent="0.25">
      <c r="B506" t="s">
        <v>225</v>
      </c>
      <c r="C506">
        <v>2019</v>
      </c>
      <c r="D506" s="1">
        <v>556000</v>
      </c>
      <c r="E506">
        <v>24000</v>
      </c>
      <c r="F506" t="s">
        <v>9</v>
      </c>
      <c r="G506" t="s">
        <v>10</v>
      </c>
      <c r="H506" t="s">
        <v>11</v>
      </c>
      <c r="I506" t="s">
        <v>12</v>
      </c>
      <c r="J506">
        <f t="shared" si="14"/>
        <v>7</v>
      </c>
      <c r="K506" t="str">
        <f t="shared" si="15"/>
        <v>Mid Range</v>
      </c>
    </row>
    <row r="507" spans="2:11" x14ac:dyDescent="0.25">
      <c r="B507" t="s">
        <v>393</v>
      </c>
      <c r="C507">
        <v>2014</v>
      </c>
      <c r="D507" s="1">
        <v>225000</v>
      </c>
      <c r="E507">
        <v>120000</v>
      </c>
      <c r="F507" t="s">
        <v>15</v>
      </c>
      <c r="G507" t="s">
        <v>10</v>
      </c>
      <c r="H507" t="s">
        <v>11</v>
      </c>
      <c r="I507" t="s">
        <v>12</v>
      </c>
      <c r="J507">
        <f t="shared" si="14"/>
        <v>12</v>
      </c>
      <c r="K507" t="str">
        <f t="shared" si="15"/>
        <v>Budget</v>
      </c>
    </row>
    <row r="508" spans="2:11" x14ac:dyDescent="0.25">
      <c r="B508" t="s">
        <v>394</v>
      </c>
      <c r="C508">
        <v>2013</v>
      </c>
      <c r="D508" s="1">
        <v>325000</v>
      </c>
      <c r="E508">
        <v>65000</v>
      </c>
      <c r="F508" t="s">
        <v>15</v>
      </c>
      <c r="G508" t="s">
        <v>27</v>
      </c>
      <c r="H508" t="s">
        <v>11</v>
      </c>
      <c r="I508" t="s">
        <v>12</v>
      </c>
      <c r="J508">
        <f t="shared" si="14"/>
        <v>13</v>
      </c>
      <c r="K508" t="str">
        <f t="shared" si="15"/>
        <v>Budget</v>
      </c>
    </row>
    <row r="509" spans="2:11" x14ac:dyDescent="0.25">
      <c r="B509" t="s">
        <v>354</v>
      </c>
      <c r="C509">
        <v>2013</v>
      </c>
      <c r="D509" s="1">
        <v>365000</v>
      </c>
      <c r="E509">
        <v>65000</v>
      </c>
      <c r="F509" t="s">
        <v>15</v>
      </c>
      <c r="G509" t="s">
        <v>27</v>
      </c>
      <c r="H509" t="s">
        <v>11</v>
      </c>
      <c r="I509" t="s">
        <v>12</v>
      </c>
      <c r="J509">
        <f t="shared" si="14"/>
        <v>13</v>
      </c>
      <c r="K509" t="str">
        <f t="shared" si="15"/>
        <v>Budget</v>
      </c>
    </row>
    <row r="510" spans="2:11" x14ac:dyDescent="0.25">
      <c r="B510" t="s">
        <v>395</v>
      </c>
      <c r="C510">
        <v>2015</v>
      </c>
      <c r="D510" s="1">
        <v>850000</v>
      </c>
      <c r="E510">
        <v>84000</v>
      </c>
      <c r="F510" t="s">
        <v>15</v>
      </c>
      <c r="G510" t="s">
        <v>27</v>
      </c>
      <c r="H510" t="s">
        <v>11</v>
      </c>
      <c r="I510" t="s">
        <v>12</v>
      </c>
      <c r="J510">
        <f t="shared" si="14"/>
        <v>11</v>
      </c>
      <c r="K510" t="str">
        <f t="shared" si="15"/>
        <v>Mid Range</v>
      </c>
    </row>
    <row r="511" spans="2:11" x14ac:dyDescent="0.25">
      <c r="B511" t="s">
        <v>396</v>
      </c>
      <c r="C511">
        <v>2013</v>
      </c>
      <c r="D511" s="1">
        <v>350000</v>
      </c>
      <c r="E511">
        <v>75000</v>
      </c>
      <c r="F511" t="s">
        <v>15</v>
      </c>
      <c r="G511" t="s">
        <v>27</v>
      </c>
      <c r="H511" t="s">
        <v>11</v>
      </c>
      <c r="I511" t="s">
        <v>12</v>
      </c>
      <c r="J511">
        <f t="shared" si="14"/>
        <v>13</v>
      </c>
      <c r="K511" t="str">
        <f t="shared" si="15"/>
        <v>Budget</v>
      </c>
    </row>
    <row r="512" spans="2:11" x14ac:dyDescent="0.25">
      <c r="B512" t="s">
        <v>354</v>
      </c>
      <c r="C512">
        <v>2007</v>
      </c>
      <c r="D512" s="1">
        <v>225000</v>
      </c>
      <c r="E512">
        <v>50000</v>
      </c>
      <c r="F512" t="s">
        <v>15</v>
      </c>
      <c r="G512" t="s">
        <v>27</v>
      </c>
      <c r="H512" t="s">
        <v>11</v>
      </c>
      <c r="I512" t="s">
        <v>12</v>
      </c>
      <c r="J512">
        <f t="shared" si="14"/>
        <v>19</v>
      </c>
      <c r="K512" t="str">
        <f t="shared" si="15"/>
        <v>Budget</v>
      </c>
    </row>
    <row r="513" spans="2:11" x14ac:dyDescent="0.25">
      <c r="B513" t="s">
        <v>172</v>
      </c>
      <c r="C513">
        <v>2011</v>
      </c>
      <c r="D513" s="1">
        <v>135000</v>
      </c>
      <c r="E513">
        <v>50000</v>
      </c>
      <c r="F513" t="s">
        <v>9</v>
      </c>
      <c r="G513" t="s">
        <v>10</v>
      </c>
      <c r="H513" t="s">
        <v>11</v>
      </c>
      <c r="I513" t="s">
        <v>12</v>
      </c>
      <c r="J513">
        <f t="shared" si="14"/>
        <v>15</v>
      </c>
      <c r="K513" t="str">
        <f t="shared" si="15"/>
        <v>Budget</v>
      </c>
    </row>
    <row r="514" spans="2:11" x14ac:dyDescent="0.25">
      <c r="B514" t="s">
        <v>13</v>
      </c>
      <c r="C514">
        <v>2007</v>
      </c>
      <c r="D514" s="1">
        <v>140000</v>
      </c>
      <c r="E514">
        <v>49000</v>
      </c>
      <c r="F514" t="s">
        <v>9</v>
      </c>
      <c r="G514" t="s">
        <v>27</v>
      </c>
      <c r="H514" t="s">
        <v>11</v>
      </c>
      <c r="I514" t="s">
        <v>12</v>
      </c>
      <c r="J514">
        <f t="shared" si="14"/>
        <v>19</v>
      </c>
      <c r="K514" t="str">
        <f t="shared" si="15"/>
        <v>Budget</v>
      </c>
    </row>
    <row r="515" spans="2:11" x14ac:dyDescent="0.25">
      <c r="B515" t="s">
        <v>397</v>
      </c>
      <c r="C515">
        <v>2016</v>
      </c>
      <c r="D515" s="1">
        <v>665000</v>
      </c>
      <c r="E515">
        <v>560000</v>
      </c>
      <c r="F515" t="s">
        <v>15</v>
      </c>
      <c r="G515" t="s">
        <v>27</v>
      </c>
      <c r="H515" t="s">
        <v>11</v>
      </c>
      <c r="I515" t="s">
        <v>12</v>
      </c>
      <c r="J515">
        <f t="shared" si="14"/>
        <v>10</v>
      </c>
      <c r="K515" t="str">
        <f t="shared" si="15"/>
        <v>Mid Range</v>
      </c>
    </row>
    <row r="516" spans="2:11" x14ac:dyDescent="0.25">
      <c r="B516" t="s">
        <v>110</v>
      </c>
      <c r="C516">
        <v>2015</v>
      </c>
      <c r="D516" s="1">
        <v>275000</v>
      </c>
      <c r="E516">
        <v>14365</v>
      </c>
      <c r="F516" t="s">
        <v>9</v>
      </c>
      <c r="G516" t="s">
        <v>27</v>
      </c>
      <c r="H516" t="s">
        <v>11</v>
      </c>
      <c r="I516" t="s">
        <v>12</v>
      </c>
      <c r="J516">
        <f t="shared" si="14"/>
        <v>11</v>
      </c>
      <c r="K516" t="str">
        <f t="shared" si="15"/>
        <v>Budget</v>
      </c>
    </row>
    <row r="517" spans="2:11" x14ac:dyDescent="0.25">
      <c r="B517" t="s">
        <v>398</v>
      </c>
      <c r="C517">
        <v>2017</v>
      </c>
      <c r="D517" s="1">
        <v>2750000</v>
      </c>
      <c r="E517">
        <v>41000</v>
      </c>
      <c r="F517" t="s">
        <v>15</v>
      </c>
      <c r="G517" t="s">
        <v>10</v>
      </c>
      <c r="H517" t="s">
        <v>28</v>
      </c>
      <c r="I517" t="s">
        <v>12</v>
      </c>
      <c r="J517">
        <f t="shared" si="14"/>
        <v>9</v>
      </c>
      <c r="K517" t="str">
        <f t="shared" si="15"/>
        <v>Premium</v>
      </c>
    </row>
    <row r="518" spans="2:11" x14ac:dyDescent="0.25">
      <c r="B518" t="s">
        <v>14</v>
      </c>
      <c r="C518">
        <v>2013</v>
      </c>
      <c r="D518" s="1">
        <v>484999</v>
      </c>
      <c r="E518">
        <v>65000</v>
      </c>
      <c r="F518" t="s">
        <v>15</v>
      </c>
      <c r="G518" t="s">
        <v>27</v>
      </c>
      <c r="H518" t="s">
        <v>11</v>
      </c>
      <c r="I518" t="s">
        <v>12</v>
      </c>
      <c r="J518">
        <f t="shared" ref="J518:J581" si="16">2026 - C518</f>
        <v>13</v>
      </c>
      <c r="K518" t="str">
        <f t="shared" ref="K518:K581" si="17">IF(D518&lt;500000,"Budget",IF(D518&lt;=1000000,"Mid Range","Premium"))</f>
        <v>Budget</v>
      </c>
    </row>
    <row r="519" spans="2:11" x14ac:dyDescent="0.25">
      <c r="B519" t="s">
        <v>399</v>
      </c>
      <c r="C519">
        <v>2015</v>
      </c>
      <c r="D519" s="1">
        <v>565000</v>
      </c>
      <c r="E519">
        <v>65000</v>
      </c>
      <c r="F519" t="s">
        <v>15</v>
      </c>
      <c r="G519" t="s">
        <v>27</v>
      </c>
      <c r="H519" t="s">
        <v>11</v>
      </c>
      <c r="I519" t="s">
        <v>12</v>
      </c>
      <c r="J519">
        <f t="shared" si="16"/>
        <v>11</v>
      </c>
      <c r="K519" t="str">
        <f t="shared" si="17"/>
        <v>Mid Range</v>
      </c>
    </row>
    <row r="520" spans="2:11" x14ac:dyDescent="0.25">
      <c r="B520" t="s">
        <v>114</v>
      </c>
      <c r="C520">
        <v>2013</v>
      </c>
      <c r="D520" s="1">
        <v>425000</v>
      </c>
      <c r="E520">
        <v>61083</v>
      </c>
      <c r="F520" t="s">
        <v>15</v>
      </c>
      <c r="G520" t="s">
        <v>27</v>
      </c>
      <c r="H520" t="s">
        <v>11</v>
      </c>
      <c r="I520" t="s">
        <v>12</v>
      </c>
      <c r="J520">
        <f t="shared" si="16"/>
        <v>13</v>
      </c>
      <c r="K520" t="str">
        <f t="shared" si="17"/>
        <v>Budget</v>
      </c>
    </row>
    <row r="521" spans="2:11" x14ac:dyDescent="0.25">
      <c r="B521" t="s">
        <v>221</v>
      </c>
      <c r="C521">
        <v>2013</v>
      </c>
      <c r="D521" s="1">
        <v>925000</v>
      </c>
      <c r="E521">
        <v>75000</v>
      </c>
      <c r="F521" t="s">
        <v>15</v>
      </c>
      <c r="G521" t="s">
        <v>10</v>
      </c>
      <c r="H521" t="s">
        <v>11</v>
      </c>
      <c r="I521" t="s">
        <v>12</v>
      </c>
      <c r="J521">
        <f t="shared" si="16"/>
        <v>13</v>
      </c>
      <c r="K521" t="str">
        <f t="shared" si="17"/>
        <v>Mid Range</v>
      </c>
    </row>
    <row r="522" spans="2:11" x14ac:dyDescent="0.25">
      <c r="B522" t="s">
        <v>400</v>
      </c>
      <c r="C522">
        <v>2012</v>
      </c>
      <c r="D522" s="1">
        <v>565000</v>
      </c>
      <c r="E522">
        <v>72000</v>
      </c>
      <c r="F522" t="s">
        <v>15</v>
      </c>
      <c r="G522" t="s">
        <v>27</v>
      </c>
      <c r="H522" t="s">
        <v>11</v>
      </c>
      <c r="I522" t="s">
        <v>12</v>
      </c>
      <c r="J522">
        <f t="shared" si="16"/>
        <v>14</v>
      </c>
      <c r="K522" t="str">
        <f t="shared" si="17"/>
        <v>Mid Range</v>
      </c>
    </row>
    <row r="523" spans="2:11" x14ac:dyDescent="0.25">
      <c r="B523" t="s">
        <v>256</v>
      </c>
      <c r="C523">
        <v>2014</v>
      </c>
      <c r="D523" s="1">
        <v>525000</v>
      </c>
      <c r="E523">
        <v>65000</v>
      </c>
      <c r="F523" t="s">
        <v>15</v>
      </c>
      <c r="G523" t="s">
        <v>27</v>
      </c>
      <c r="H523" t="s">
        <v>11</v>
      </c>
      <c r="I523" t="s">
        <v>12</v>
      </c>
      <c r="J523">
        <f t="shared" si="16"/>
        <v>12</v>
      </c>
      <c r="K523" t="str">
        <f t="shared" si="17"/>
        <v>Mid Range</v>
      </c>
    </row>
    <row r="524" spans="2:11" x14ac:dyDescent="0.25">
      <c r="B524" t="s">
        <v>401</v>
      </c>
      <c r="C524">
        <v>2017</v>
      </c>
      <c r="D524" s="1">
        <v>1650000</v>
      </c>
      <c r="E524">
        <v>55000</v>
      </c>
      <c r="F524" t="s">
        <v>15</v>
      </c>
      <c r="G524" t="s">
        <v>27</v>
      </c>
      <c r="H524" t="s">
        <v>11</v>
      </c>
      <c r="I524" t="s">
        <v>12</v>
      </c>
      <c r="J524">
        <f t="shared" si="16"/>
        <v>9</v>
      </c>
      <c r="K524" t="str">
        <f t="shared" si="17"/>
        <v>Premium</v>
      </c>
    </row>
    <row r="525" spans="2:11" x14ac:dyDescent="0.25">
      <c r="B525" t="s">
        <v>136</v>
      </c>
      <c r="C525">
        <v>2015</v>
      </c>
      <c r="D525" s="1">
        <v>295000</v>
      </c>
      <c r="E525">
        <v>21000</v>
      </c>
      <c r="F525" t="s">
        <v>9</v>
      </c>
      <c r="G525" t="s">
        <v>27</v>
      </c>
      <c r="H525" t="s">
        <v>11</v>
      </c>
      <c r="I525" t="s">
        <v>18</v>
      </c>
      <c r="J525">
        <f t="shared" si="16"/>
        <v>11</v>
      </c>
      <c r="K525" t="str">
        <f t="shared" si="17"/>
        <v>Budget</v>
      </c>
    </row>
    <row r="526" spans="2:11" x14ac:dyDescent="0.25">
      <c r="B526" t="s">
        <v>402</v>
      </c>
      <c r="C526">
        <v>2012</v>
      </c>
      <c r="D526" s="1">
        <v>2050000</v>
      </c>
      <c r="E526">
        <v>66363</v>
      </c>
      <c r="F526" t="s">
        <v>9</v>
      </c>
      <c r="G526" t="s">
        <v>27</v>
      </c>
      <c r="H526" t="s">
        <v>28</v>
      </c>
      <c r="I526" t="s">
        <v>18</v>
      </c>
      <c r="J526">
        <f t="shared" si="16"/>
        <v>14</v>
      </c>
      <c r="K526" t="str">
        <f t="shared" si="17"/>
        <v>Premium</v>
      </c>
    </row>
    <row r="527" spans="2:11" x14ac:dyDescent="0.25">
      <c r="B527" t="s">
        <v>403</v>
      </c>
      <c r="C527">
        <v>2018</v>
      </c>
      <c r="D527" s="1">
        <v>1475000</v>
      </c>
      <c r="E527">
        <v>11700</v>
      </c>
      <c r="F527" t="s">
        <v>9</v>
      </c>
      <c r="G527" t="s">
        <v>27</v>
      </c>
      <c r="H527" t="s">
        <v>28</v>
      </c>
      <c r="I527" t="s">
        <v>12</v>
      </c>
      <c r="J527">
        <f t="shared" si="16"/>
        <v>8</v>
      </c>
      <c r="K527" t="str">
        <f t="shared" si="17"/>
        <v>Premium</v>
      </c>
    </row>
    <row r="528" spans="2:11" x14ac:dyDescent="0.25">
      <c r="B528" t="s">
        <v>404</v>
      </c>
      <c r="C528">
        <v>2017</v>
      </c>
      <c r="D528" s="1">
        <v>1100000</v>
      </c>
      <c r="E528">
        <v>10000</v>
      </c>
      <c r="F528" t="s">
        <v>9</v>
      </c>
      <c r="G528" t="s">
        <v>10</v>
      </c>
      <c r="H528" t="s">
        <v>28</v>
      </c>
      <c r="I528" t="s">
        <v>12</v>
      </c>
      <c r="J528">
        <f t="shared" si="16"/>
        <v>9</v>
      </c>
      <c r="K528" t="str">
        <f t="shared" si="17"/>
        <v>Premium</v>
      </c>
    </row>
    <row r="529" spans="2:11" x14ac:dyDescent="0.25">
      <c r="B529" t="s">
        <v>405</v>
      </c>
      <c r="C529">
        <v>2014</v>
      </c>
      <c r="D529" s="1">
        <v>4400000</v>
      </c>
      <c r="E529">
        <v>100000</v>
      </c>
      <c r="F529" t="s">
        <v>15</v>
      </c>
      <c r="G529" t="s">
        <v>10</v>
      </c>
      <c r="H529" t="s">
        <v>28</v>
      </c>
      <c r="I529" t="s">
        <v>18</v>
      </c>
      <c r="J529">
        <f t="shared" si="16"/>
        <v>12</v>
      </c>
      <c r="K529" t="str">
        <f t="shared" si="17"/>
        <v>Premium</v>
      </c>
    </row>
    <row r="530" spans="2:11" x14ac:dyDescent="0.25">
      <c r="B530" t="s">
        <v>406</v>
      </c>
      <c r="C530">
        <v>2016</v>
      </c>
      <c r="D530" s="1">
        <v>670000</v>
      </c>
      <c r="E530">
        <v>7104</v>
      </c>
      <c r="F530" t="s">
        <v>9</v>
      </c>
      <c r="G530" t="s">
        <v>407</v>
      </c>
      <c r="H530" t="s">
        <v>11</v>
      </c>
      <c r="I530" t="s">
        <v>12</v>
      </c>
      <c r="J530">
        <f t="shared" si="16"/>
        <v>10</v>
      </c>
      <c r="K530" t="str">
        <f t="shared" si="17"/>
        <v>Mid Range</v>
      </c>
    </row>
    <row r="531" spans="2:11" x14ac:dyDescent="0.25">
      <c r="B531" t="s">
        <v>408</v>
      </c>
      <c r="C531">
        <v>2015</v>
      </c>
      <c r="D531" s="1">
        <v>750000</v>
      </c>
      <c r="E531">
        <v>45974</v>
      </c>
      <c r="F531" t="s">
        <v>15</v>
      </c>
      <c r="G531" t="s">
        <v>407</v>
      </c>
      <c r="H531" t="s">
        <v>11</v>
      </c>
      <c r="I531" t="s">
        <v>12</v>
      </c>
      <c r="J531">
        <f t="shared" si="16"/>
        <v>11</v>
      </c>
      <c r="K531" t="str">
        <f t="shared" si="17"/>
        <v>Mid Range</v>
      </c>
    </row>
    <row r="532" spans="2:11" x14ac:dyDescent="0.25">
      <c r="B532" t="s">
        <v>409</v>
      </c>
      <c r="C532">
        <v>2015</v>
      </c>
      <c r="D532" s="1">
        <v>760000</v>
      </c>
      <c r="E532">
        <v>55340</v>
      </c>
      <c r="F532" t="s">
        <v>9</v>
      </c>
      <c r="G532" t="s">
        <v>407</v>
      </c>
      <c r="H532" t="s">
        <v>11</v>
      </c>
      <c r="I532" t="s">
        <v>12</v>
      </c>
      <c r="J532">
        <f t="shared" si="16"/>
        <v>11</v>
      </c>
      <c r="K532" t="str">
        <f t="shared" si="17"/>
        <v>Mid Range</v>
      </c>
    </row>
    <row r="533" spans="2:11" x14ac:dyDescent="0.25">
      <c r="B533" t="s">
        <v>410</v>
      </c>
      <c r="C533">
        <v>2017</v>
      </c>
      <c r="D533" s="1">
        <v>850000</v>
      </c>
      <c r="E533">
        <v>20000</v>
      </c>
      <c r="F533" t="s">
        <v>9</v>
      </c>
      <c r="G533" t="s">
        <v>27</v>
      </c>
      <c r="H533" t="s">
        <v>28</v>
      </c>
      <c r="I533" t="s">
        <v>18</v>
      </c>
      <c r="J533">
        <f t="shared" si="16"/>
        <v>9</v>
      </c>
      <c r="K533" t="str">
        <f t="shared" si="17"/>
        <v>Mid Range</v>
      </c>
    </row>
    <row r="534" spans="2:11" x14ac:dyDescent="0.25">
      <c r="B534" t="s">
        <v>411</v>
      </c>
      <c r="C534">
        <v>2015</v>
      </c>
      <c r="D534" s="1">
        <v>390000</v>
      </c>
      <c r="E534">
        <v>61585</v>
      </c>
      <c r="F534" t="s">
        <v>15</v>
      </c>
      <c r="G534" t="s">
        <v>407</v>
      </c>
      <c r="H534" t="s">
        <v>11</v>
      </c>
      <c r="I534" t="s">
        <v>12</v>
      </c>
      <c r="J534">
        <f t="shared" si="16"/>
        <v>11</v>
      </c>
      <c r="K534" t="str">
        <f t="shared" si="17"/>
        <v>Budget</v>
      </c>
    </row>
    <row r="535" spans="2:11" x14ac:dyDescent="0.25">
      <c r="B535" t="s">
        <v>412</v>
      </c>
      <c r="C535">
        <v>2016</v>
      </c>
      <c r="D535" s="1">
        <v>450000</v>
      </c>
      <c r="E535">
        <v>39415</v>
      </c>
      <c r="F535" t="s">
        <v>9</v>
      </c>
      <c r="G535" t="s">
        <v>407</v>
      </c>
      <c r="H535" t="s">
        <v>28</v>
      </c>
      <c r="I535" t="s">
        <v>18</v>
      </c>
      <c r="J535">
        <f t="shared" si="16"/>
        <v>10</v>
      </c>
      <c r="K535" t="str">
        <f t="shared" si="17"/>
        <v>Budget</v>
      </c>
    </row>
    <row r="536" spans="2:11" x14ac:dyDescent="0.25">
      <c r="B536" t="s">
        <v>413</v>
      </c>
      <c r="C536">
        <v>2014</v>
      </c>
      <c r="D536" s="1">
        <v>425000</v>
      </c>
      <c r="E536">
        <v>29654</v>
      </c>
      <c r="F536" t="s">
        <v>9</v>
      </c>
      <c r="G536" t="s">
        <v>407</v>
      </c>
      <c r="H536" t="s">
        <v>11</v>
      </c>
      <c r="I536" t="s">
        <v>12</v>
      </c>
      <c r="J536">
        <f t="shared" si="16"/>
        <v>12</v>
      </c>
      <c r="K536" t="str">
        <f t="shared" si="17"/>
        <v>Budget</v>
      </c>
    </row>
    <row r="537" spans="2:11" x14ac:dyDescent="0.25">
      <c r="B537" t="s">
        <v>280</v>
      </c>
      <c r="C537">
        <v>2016</v>
      </c>
      <c r="D537" s="1">
        <v>770000</v>
      </c>
      <c r="E537">
        <v>64672</v>
      </c>
      <c r="F537" t="s">
        <v>15</v>
      </c>
      <c r="G537" t="s">
        <v>407</v>
      </c>
      <c r="H537" t="s">
        <v>11</v>
      </c>
      <c r="I537" t="s">
        <v>12</v>
      </c>
      <c r="J537">
        <f t="shared" si="16"/>
        <v>10</v>
      </c>
      <c r="K537" t="str">
        <f t="shared" si="17"/>
        <v>Mid Range</v>
      </c>
    </row>
    <row r="538" spans="2:11" x14ac:dyDescent="0.25">
      <c r="B538" t="s">
        <v>414</v>
      </c>
      <c r="C538">
        <v>2015</v>
      </c>
      <c r="D538" s="1">
        <v>1150000</v>
      </c>
      <c r="E538">
        <v>54634</v>
      </c>
      <c r="F538" t="s">
        <v>15</v>
      </c>
      <c r="G538" t="s">
        <v>407</v>
      </c>
      <c r="H538" t="s">
        <v>28</v>
      </c>
      <c r="I538" t="s">
        <v>18</v>
      </c>
      <c r="J538">
        <f t="shared" si="16"/>
        <v>11</v>
      </c>
      <c r="K538" t="str">
        <f t="shared" si="17"/>
        <v>Premium</v>
      </c>
    </row>
    <row r="539" spans="2:11" x14ac:dyDescent="0.25">
      <c r="B539" t="s">
        <v>415</v>
      </c>
      <c r="C539">
        <v>2015</v>
      </c>
      <c r="D539" s="1">
        <v>775000</v>
      </c>
      <c r="E539">
        <v>66521</v>
      </c>
      <c r="F539" t="s">
        <v>9</v>
      </c>
      <c r="G539" t="s">
        <v>407</v>
      </c>
      <c r="H539" t="s">
        <v>11</v>
      </c>
      <c r="I539" t="s">
        <v>12</v>
      </c>
      <c r="J539">
        <f t="shared" si="16"/>
        <v>11</v>
      </c>
      <c r="K539" t="str">
        <f t="shared" si="17"/>
        <v>Mid Range</v>
      </c>
    </row>
    <row r="540" spans="2:11" x14ac:dyDescent="0.25">
      <c r="B540" t="s">
        <v>416</v>
      </c>
      <c r="C540">
        <v>2018</v>
      </c>
      <c r="D540" s="1">
        <v>1725000</v>
      </c>
      <c r="E540">
        <v>23974</v>
      </c>
      <c r="F540" t="s">
        <v>15</v>
      </c>
      <c r="G540" t="s">
        <v>27</v>
      </c>
      <c r="H540" t="s">
        <v>28</v>
      </c>
      <c r="I540" t="s">
        <v>18</v>
      </c>
      <c r="J540">
        <f t="shared" si="16"/>
        <v>8</v>
      </c>
      <c r="K540" t="str">
        <f t="shared" si="17"/>
        <v>Premium</v>
      </c>
    </row>
    <row r="541" spans="2:11" x14ac:dyDescent="0.25">
      <c r="B541" t="s">
        <v>417</v>
      </c>
      <c r="C541">
        <v>2016</v>
      </c>
      <c r="D541" s="1">
        <v>2150000</v>
      </c>
      <c r="E541">
        <v>43000</v>
      </c>
      <c r="F541" t="s">
        <v>15</v>
      </c>
      <c r="G541" t="s">
        <v>27</v>
      </c>
      <c r="H541" t="s">
        <v>28</v>
      </c>
      <c r="I541" t="s">
        <v>12</v>
      </c>
      <c r="J541">
        <f t="shared" si="16"/>
        <v>10</v>
      </c>
      <c r="K541" t="str">
        <f t="shared" si="17"/>
        <v>Premium</v>
      </c>
    </row>
    <row r="542" spans="2:11" x14ac:dyDescent="0.25">
      <c r="B542" t="s">
        <v>364</v>
      </c>
      <c r="C542">
        <v>2013</v>
      </c>
      <c r="D542" s="1">
        <v>450000</v>
      </c>
      <c r="E542">
        <v>1000</v>
      </c>
      <c r="F542" t="s">
        <v>15</v>
      </c>
      <c r="G542" t="s">
        <v>27</v>
      </c>
      <c r="H542" t="s">
        <v>11</v>
      </c>
      <c r="I542" t="s">
        <v>18</v>
      </c>
      <c r="J542">
        <f t="shared" si="16"/>
        <v>13</v>
      </c>
      <c r="K542" t="str">
        <f t="shared" si="17"/>
        <v>Budget</v>
      </c>
    </row>
    <row r="543" spans="2:11" x14ac:dyDescent="0.25">
      <c r="B543" t="s">
        <v>418</v>
      </c>
      <c r="C543">
        <v>2018</v>
      </c>
      <c r="D543" s="1">
        <v>3800000</v>
      </c>
      <c r="E543">
        <v>10000</v>
      </c>
      <c r="F543" t="s">
        <v>15</v>
      </c>
      <c r="G543" t="s">
        <v>27</v>
      </c>
      <c r="H543" t="s">
        <v>28</v>
      </c>
      <c r="I543" t="s">
        <v>12</v>
      </c>
      <c r="J543">
        <f t="shared" si="16"/>
        <v>8</v>
      </c>
      <c r="K543" t="str">
        <f t="shared" si="17"/>
        <v>Premium</v>
      </c>
    </row>
    <row r="544" spans="2:11" x14ac:dyDescent="0.25">
      <c r="B544" t="s">
        <v>419</v>
      </c>
      <c r="C544">
        <v>2013</v>
      </c>
      <c r="D544" s="1">
        <v>1580000</v>
      </c>
      <c r="E544">
        <v>86000</v>
      </c>
      <c r="F544" t="s">
        <v>15</v>
      </c>
      <c r="G544" t="s">
        <v>27</v>
      </c>
      <c r="H544" t="s">
        <v>28</v>
      </c>
      <c r="I544" t="s">
        <v>12</v>
      </c>
      <c r="J544">
        <f t="shared" si="16"/>
        <v>13</v>
      </c>
      <c r="K544" t="str">
        <f t="shared" si="17"/>
        <v>Premium</v>
      </c>
    </row>
    <row r="545" spans="2:11" x14ac:dyDescent="0.25">
      <c r="B545" t="s">
        <v>420</v>
      </c>
      <c r="C545">
        <v>2019</v>
      </c>
      <c r="D545" s="1">
        <v>4950000</v>
      </c>
      <c r="E545">
        <v>30000</v>
      </c>
      <c r="F545" t="s">
        <v>15</v>
      </c>
      <c r="G545" t="s">
        <v>27</v>
      </c>
      <c r="H545" t="s">
        <v>28</v>
      </c>
      <c r="I545" t="s">
        <v>12</v>
      </c>
      <c r="J545">
        <f t="shared" si="16"/>
        <v>7</v>
      </c>
      <c r="K545" t="str">
        <f t="shared" si="17"/>
        <v>Premium</v>
      </c>
    </row>
    <row r="546" spans="2:11" x14ac:dyDescent="0.25">
      <c r="B546" t="s">
        <v>126</v>
      </c>
      <c r="C546">
        <v>2016</v>
      </c>
      <c r="D546" s="1">
        <v>535000</v>
      </c>
      <c r="E546">
        <v>52600</v>
      </c>
      <c r="F546" t="s">
        <v>15</v>
      </c>
      <c r="G546" t="s">
        <v>10</v>
      </c>
      <c r="H546" t="s">
        <v>11</v>
      </c>
      <c r="I546" t="s">
        <v>12</v>
      </c>
      <c r="J546">
        <f t="shared" si="16"/>
        <v>10</v>
      </c>
      <c r="K546" t="str">
        <f t="shared" si="17"/>
        <v>Mid Range</v>
      </c>
    </row>
    <row r="547" spans="2:11" x14ac:dyDescent="0.25">
      <c r="B547" t="s">
        <v>421</v>
      </c>
      <c r="C547">
        <v>2012</v>
      </c>
      <c r="D547" s="1">
        <v>225000</v>
      </c>
      <c r="E547">
        <v>110000</v>
      </c>
      <c r="F547" t="s">
        <v>9</v>
      </c>
      <c r="G547" t="s">
        <v>10</v>
      </c>
      <c r="H547" t="s">
        <v>11</v>
      </c>
      <c r="I547" t="s">
        <v>18</v>
      </c>
      <c r="J547">
        <f t="shared" si="16"/>
        <v>14</v>
      </c>
      <c r="K547" t="str">
        <f t="shared" si="17"/>
        <v>Budget</v>
      </c>
    </row>
    <row r="548" spans="2:11" x14ac:dyDescent="0.25">
      <c r="B548" t="s">
        <v>422</v>
      </c>
      <c r="C548">
        <v>2017</v>
      </c>
      <c r="D548" s="1">
        <v>550000</v>
      </c>
      <c r="E548">
        <v>19890</v>
      </c>
      <c r="F548" t="s">
        <v>9</v>
      </c>
      <c r="G548" t="s">
        <v>27</v>
      </c>
      <c r="H548" t="s">
        <v>28</v>
      </c>
      <c r="I548" t="s">
        <v>12</v>
      </c>
      <c r="J548">
        <f t="shared" si="16"/>
        <v>9</v>
      </c>
      <c r="K548" t="str">
        <f t="shared" si="17"/>
        <v>Mid Range</v>
      </c>
    </row>
    <row r="549" spans="2:11" x14ac:dyDescent="0.25">
      <c r="B549" t="s">
        <v>236</v>
      </c>
      <c r="C549">
        <v>2015</v>
      </c>
      <c r="D549" s="1">
        <v>625000</v>
      </c>
      <c r="E549">
        <v>11918</v>
      </c>
      <c r="F549" t="s">
        <v>9</v>
      </c>
      <c r="G549" t="s">
        <v>407</v>
      </c>
      <c r="H549" t="s">
        <v>11</v>
      </c>
      <c r="I549" t="s">
        <v>12</v>
      </c>
      <c r="J549">
        <f t="shared" si="16"/>
        <v>11</v>
      </c>
      <c r="K549" t="str">
        <f t="shared" si="17"/>
        <v>Mid Range</v>
      </c>
    </row>
    <row r="550" spans="2:11" x14ac:dyDescent="0.25">
      <c r="B550" t="s">
        <v>423</v>
      </c>
      <c r="C550">
        <v>2017</v>
      </c>
      <c r="D550" s="1">
        <v>520000</v>
      </c>
      <c r="E550">
        <v>10510</v>
      </c>
      <c r="F550" t="s">
        <v>9</v>
      </c>
      <c r="G550" t="s">
        <v>27</v>
      </c>
      <c r="H550" t="s">
        <v>28</v>
      </c>
      <c r="I550" t="s">
        <v>12</v>
      </c>
      <c r="J550">
        <f t="shared" si="16"/>
        <v>9</v>
      </c>
      <c r="K550" t="str">
        <f t="shared" si="17"/>
        <v>Mid Range</v>
      </c>
    </row>
    <row r="551" spans="2:11" x14ac:dyDescent="0.25">
      <c r="B551" t="s">
        <v>424</v>
      </c>
      <c r="C551">
        <v>2016</v>
      </c>
      <c r="D551" s="1">
        <v>239000</v>
      </c>
      <c r="E551">
        <v>41000</v>
      </c>
      <c r="F551" t="s">
        <v>9</v>
      </c>
      <c r="G551" t="s">
        <v>27</v>
      </c>
      <c r="H551" t="s">
        <v>11</v>
      </c>
      <c r="I551" t="s">
        <v>12</v>
      </c>
      <c r="J551">
        <f t="shared" si="16"/>
        <v>10</v>
      </c>
      <c r="K551" t="str">
        <f t="shared" si="17"/>
        <v>Budget</v>
      </c>
    </row>
    <row r="552" spans="2:11" x14ac:dyDescent="0.25">
      <c r="B552" t="s">
        <v>425</v>
      </c>
      <c r="C552">
        <v>2017</v>
      </c>
      <c r="D552" s="1">
        <v>2600000</v>
      </c>
      <c r="E552">
        <v>47162</v>
      </c>
      <c r="F552" t="s">
        <v>15</v>
      </c>
      <c r="G552" t="s">
        <v>407</v>
      </c>
      <c r="H552" t="s">
        <v>28</v>
      </c>
      <c r="I552" t="s">
        <v>12</v>
      </c>
      <c r="J552">
        <f t="shared" si="16"/>
        <v>9</v>
      </c>
      <c r="K552" t="str">
        <f t="shared" si="17"/>
        <v>Premium</v>
      </c>
    </row>
    <row r="553" spans="2:11" x14ac:dyDescent="0.25">
      <c r="B553" t="s">
        <v>426</v>
      </c>
      <c r="C553">
        <v>2012</v>
      </c>
      <c r="D553" s="1">
        <v>229999</v>
      </c>
      <c r="E553">
        <v>49824</v>
      </c>
      <c r="F553" t="s">
        <v>9</v>
      </c>
      <c r="G553" t="s">
        <v>27</v>
      </c>
      <c r="H553" t="s">
        <v>11</v>
      </c>
      <c r="I553" t="s">
        <v>12</v>
      </c>
      <c r="J553">
        <f t="shared" si="16"/>
        <v>14</v>
      </c>
      <c r="K553" t="str">
        <f t="shared" si="17"/>
        <v>Budget</v>
      </c>
    </row>
    <row r="554" spans="2:11" x14ac:dyDescent="0.25">
      <c r="B554" t="s">
        <v>94</v>
      </c>
      <c r="C554">
        <v>2013</v>
      </c>
      <c r="D554" s="1">
        <v>1300000</v>
      </c>
      <c r="E554">
        <v>58500</v>
      </c>
      <c r="F554" t="s">
        <v>15</v>
      </c>
      <c r="G554" t="s">
        <v>27</v>
      </c>
      <c r="H554" t="s">
        <v>28</v>
      </c>
      <c r="I554" t="s">
        <v>12</v>
      </c>
      <c r="J554">
        <f t="shared" si="16"/>
        <v>13</v>
      </c>
      <c r="K554" t="str">
        <f t="shared" si="17"/>
        <v>Premium</v>
      </c>
    </row>
    <row r="555" spans="2:11" x14ac:dyDescent="0.25">
      <c r="B555" t="s">
        <v>427</v>
      </c>
      <c r="C555">
        <v>2005</v>
      </c>
      <c r="D555" s="1">
        <v>80000</v>
      </c>
      <c r="E555">
        <v>56580</v>
      </c>
      <c r="F555" t="s">
        <v>9</v>
      </c>
      <c r="G555" t="s">
        <v>27</v>
      </c>
      <c r="H555" t="s">
        <v>11</v>
      </c>
      <c r="I555" t="s">
        <v>12</v>
      </c>
      <c r="J555">
        <f t="shared" si="16"/>
        <v>21</v>
      </c>
      <c r="K555" t="str">
        <f t="shared" si="17"/>
        <v>Budget</v>
      </c>
    </row>
    <row r="556" spans="2:11" x14ac:dyDescent="0.25">
      <c r="B556" t="s">
        <v>428</v>
      </c>
      <c r="C556">
        <v>2012</v>
      </c>
      <c r="D556" s="1">
        <v>385000</v>
      </c>
      <c r="E556">
        <v>52000</v>
      </c>
      <c r="F556" t="s">
        <v>15</v>
      </c>
      <c r="G556" t="s">
        <v>27</v>
      </c>
      <c r="H556" t="s">
        <v>11</v>
      </c>
      <c r="I556" t="s">
        <v>12</v>
      </c>
      <c r="J556">
        <f t="shared" si="16"/>
        <v>14</v>
      </c>
      <c r="K556" t="str">
        <f t="shared" si="17"/>
        <v>Budget</v>
      </c>
    </row>
    <row r="557" spans="2:11" x14ac:dyDescent="0.25">
      <c r="B557" t="s">
        <v>114</v>
      </c>
      <c r="C557">
        <v>2017</v>
      </c>
      <c r="D557" s="1">
        <v>600000</v>
      </c>
      <c r="E557">
        <v>46507</v>
      </c>
      <c r="F557" t="s">
        <v>15</v>
      </c>
      <c r="G557" t="s">
        <v>407</v>
      </c>
      <c r="H557" t="s">
        <v>11</v>
      </c>
      <c r="I557" t="s">
        <v>12</v>
      </c>
      <c r="J557">
        <f t="shared" si="16"/>
        <v>9</v>
      </c>
      <c r="K557" t="str">
        <f t="shared" si="17"/>
        <v>Mid Range</v>
      </c>
    </row>
    <row r="558" spans="2:11" x14ac:dyDescent="0.25">
      <c r="B558" t="s">
        <v>429</v>
      </c>
      <c r="C558">
        <v>2013</v>
      </c>
      <c r="D558" s="1">
        <v>350000</v>
      </c>
      <c r="E558">
        <v>50000</v>
      </c>
      <c r="F558" t="s">
        <v>9</v>
      </c>
      <c r="G558" t="s">
        <v>10</v>
      </c>
      <c r="H558" t="s">
        <v>11</v>
      </c>
      <c r="I558" t="s">
        <v>18</v>
      </c>
      <c r="J558">
        <f t="shared" si="16"/>
        <v>13</v>
      </c>
      <c r="K558" t="str">
        <f t="shared" si="17"/>
        <v>Budget</v>
      </c>
    </row>
    <row r="559" spans="2:11" x14ac:dyDescent="0.25">
      <c r="B559" t="s">
        <v>249</v>
      </c>
      <c r="C559">
        <v>2014</v>
      </c>
      <c r="D559" s="1">
        <v>114999</v>
      </c>
      <c r="E559">
        <v>30000</v>
      </c>
      <c r="F559" t="s">
        <v>9</v>
      </c>
      <c r="G559" t="s">
        <v>10</v>
      </c>
      <c r="H559" t="s">
        <v>11</v>
      </c>
      <c r="I559" t="s">
        <v>12</v>
      </c>
      <c r="J559">
        <f t="shared" si="16"/>
        <v>12</v>
      </c>
      <c r="K559" t="str">
        <f t="shared" si="17"/>
        <v>Budget</v>
      </c>
    </row>
    <row r="560" spans="2:11" x14ac:dyDescent="0.25">
      <c r="B560" t="s">
        <v>429</v>
      </c>
      <c r="C560">
        <v>2013</v>
      </c>
      <c r="D560" s="1">
        <v>380000</v>
      </c>
      <c r="E560">
        <v>50000</v>
      </c>
      <c r="F560" t="s">
        <v>9</v>
      </c>
      <c r="G560" t="s">
        <v>10</v>
      </c>
      <c r="H560" t="s">
        <v>11</v>
      </c>
      <c r="I560" t="s">
        <v>18</v>
      </c>
      <c r="J560">
        <f t="shared" si="16"/>
        <v>13</v>
      </c>
      <c r="K560" t="str">
        <f t="shared" si="17"/>
        <v>Budget</v>
      </c>
    </row>
    <row r="561" spans="2:11" x14ac:dyDescent="0.25">
      <c r="B561" t="s">
        <v>430</v>
      </c>
      <c r="C561">
        <v>1995</v>
      </c>
      <c r="D561" s="1">
        <v>95000</v>
      </c>
      <c r="E561">
        <v>100000</v>
      </c>
      <c r="F561" t="s">
        <v>9</v>
      </c>
      <c r="G561" t="s">
        <v>10</v>
      </c>
      <c r="H561" t="s">
        <v>11</v>
      </c>
      <c r="I561" t="s">
        <v>18</v>
      </c>
      <c r="J561">
        <f t="shared" si="16"/>
        <v>31</v>
      </c>
      <c r="K561" t="str">
        <f t="shared" si="17"/>
        <v>Budget</v>
      </c>
    </row>
    <row r="562" spans="2:11" x14ac:dyDescent="0.25">
      <c r="B562" t="s">
        <v>72</v>
      </c>
      <c r="C562">
        <v>2016</v>
      </c>
      <c r="D562" s="1">
        <v>900000</v>
      </c>
      <c r="E562">
        <v>35000</v>
      </c>
      <c r="F562" t="s">
        <v>15</v>
      </c>
      <c r="G562" t="s">
        <v>10</v>
      </c>
      <c r="H562" t="s">
        <v>11</v>
      </c>
      <c r="I562" t="s">
        <v>12</v>
      </c>
      <c r="J562">
        <f t="shared" si="16"/>
        <v>10</v>
      </c>
      <c r="K562" t="str">
        <f t="shared" si="17"/>
        <v>Mid Range</v>
      </c>
    </row>
    <row r="563" spans="2:11" x14ac:dyDescent="0.25">
      <c r="B563" t="s">
        <v>161</v>
      </c>
      <c r="C563">
        <v>2012</v>
      </c>
      <c r="D563" s="1">
        <v>200999</v>
      </c>
      <c r="E563">
        <v>90000</v>
      </c>
      <c r="F563" t="s">
        <v>9</v>
      </c>
      <c r="G563" t="s">
        <v>10</v>
      </c>
      <c r="H563" t="s">
        <v>11</v>
      </c>
      <c r="I563" t="s">
        <v>18</v>
      </c>
      <c r="J563">
        <f t="shared" si="16"/>
        <v>14</v>
      </c>
      <c r="K563" t="str">
        <f t="shared" si="17"/>
        <v>Budget</v>
      </c>
    </row>
    <row r="564" spans="2:11" x14ac:dyDescent="0.25">
      <c r="B564" t="s">
        <v>345</v>
      </c>
      <c r="C564">
        <v>2014</v>
      </c>
      <c r="D564" s="1">
        <v>229999</v>
      </c>
      <c r="E564">
        <v>11451</v>
      </c>
      <c r="F564" t="s">
        <v>9</v>
      </c>
      <c r="G564" t="s">
        <v>10</v>
      </c>
      <c r="H564" t="s">
        <v>11</v>
      </c>
      <c r="I564" t="s">
        <v>12</v>
      </c>
      <c r="J564">
        <f t="shared" si="16"/>
        <v>12</v>
      </c>
      <c r="K564" t="str">
        <f t="shared" si="17"/>
        <v>Budget</v>
      </c>
    </row>
    <row r="565" spans="2:11" x14ac:dyDescent="0.25">
      <c r="B565" t="s">
        <v>431</v>
      </c>
      <c r="C565">
        <v>2019</v>
      </c>
      <c r="D565" s="1">
        <v>800000</v>
      </c>
      <c r="E565">
        <v>60000</v>
      </c>
      <c r="F565" t="s">
        <v>15</v>
      </c>
      <c r="G565" t="s">
        <v>10</v>
      </c>
      <c r="H565" t="s">
        <v>11</v>
      </c>
      <c r="I565" t="s">
        <v>12</v>
      </c>
      <c r="J565">
        <f t="shared" si="16"/>
        <v>7</v>
      </c>
      <c r="K565" t="str">
        <f t="shared" si="17"/>
        <v>Mid Range</v>
      </c>
    </row>
    <row r="566" spans="2:11" x14ac:dyDescent="0.25">
      <c r="B566" t="s">
        <v>432</v>
      </c>
      <c r="C566">
        <v>2012</v>
      </c>
      <c r="D566" s="1">
        <v>150000</v>
      </c>
      <c r="E566">
        <v>172000</v>
      </c>
      <c r="F566" t="s">
        <v>15</v>
      </c>
      <c r="G566" t="s">
        <v>10</v>
      </c>
      <c r="H566" t="s">
        <v>11</v>
      </c>
      <c r="I566" t="s">
        <v>18</v>
      </c>
      <c r="J566">
        <f t="shared" si="16"/>
        <v>14</v>
      </c>
      <c r="K566" t="str">
        <f t="shared" si="17"/>
        <v>Budget</v>
      </c>
    </row>
    <row r="567" spans="2:11" x14ac:dyDescent="0.25">
      <c r="B567" t="s">
        <v>354</v>
      </c>
      <c r="C567">
        <v>2018</v>
      </c>
      <c r="D567" s="1">
        <v>600000</v>
      </c>
      <c r="E567">
        <v>60000</v>
      </c>
      <c r="F567" t="s">
        <v>15</v>
      </c>
      <c r="G567" t="s">
        <v>10</v>
      </c>
      <c r="H567" t="s">
        <v>11</v>
      </c>
      <c r="I567" t="s">
        <v>12</v>
      </c>
      <c r="J567">
        <f t="shared" si="16"/>
        <v>8</v>
      </c>
      <c r="K567" t="str">
        <f t="shared" si="17"/>
        <v>Mid Range</v>
      </c>
    </row>
    <row r="568" spans="2:11" x14ac:dyDescent="0.25">
      <c r="B568" t="s">
        <v>433</v>
      </c>
      <c r="C568">
        <v>2005</v>
      </c>
      <c r="D568" s="1">
        <v>150000</v>
      </c>
      <c r="E568">
        <v>150000</v>
      </c>
      <c r="F568" t="s">
        <v>15</v>
      </c>
      <c r="G568" t="s">
        <v>10</v>
      </c>
      <c r="H568" t="s">
        <v>11</v>
      </c>
      <c r="I568" t="s">
        <v>12</v>
      </c>
      <c r="J568">
        <f t="shared" si="16"/>
        <v>21</v>
      </c>
      <c r="K568" t="str">
        <f t="shared" si="17"/>
        <v>Budget</v>
      </c>
    </row>
    <row r="569" spans="2:11" x14ac:dyDescent="0.25">
      <c r="B569" t="s">
        <v>434</v>
      </c>
      <c r="C569">
        <v>2009</v>
      </c>
      <c r="D569" s="1">
        <v>150000</v>
      </c>
      <c r="E569">
        <v>66000</v>
      </c>
      <c r="F569" t="s">
        <v>15</v>
      </c>
      <c r="G569" t="s">
        <v>10</v>
      </c>
      <c r="H569" t="s">
        <v>11</v>
      </c>
      <c r="I569" t="s">
        <v>12</v>
      </c>
      <c r="J569">
        <f t="shared" si="16"/>
        <v>17</v>
      </c>
      <c r="K569" t="str">
        <f t="shared" si="17"/>
        <v>Budget</v>
      </c>
    </row>
    <row r="570" spans="2:11" x14ac:dyDescent="0.25">
      <c r="B570" t="s">
        <v>435</v>
      </c>
      <c r="C570">
        <v>2019</v>
      </c>
      <c r="D570" s="1">
        <v>380000</v>
      </c>
      <c r="E570">
        <v>5000</v>
      </c>
      <c r="F570" t="s">
        <v>9</v>
      </c>
      <c r="G570" t="s">
        <v>10</v>
      </c>
      <c r="H570" t="s">
        <v>11</v>
      </c>
      <c r="I570" t="s">
        <v>12</v>
      </c>
      <c r="J570">
        <f t="shared" si="16"/>
        <v>7</v>
      </c>
      <c r="K570" t="str">
        <f t="shared" si="17"/>
        <v>Budget</v>
      </c>
    </row>
    <row r="571" spans="2:11" x14ac:dyDescent="0.25">
      <c r="B571" t="s">
        <v>76</v>
      </c>
      <c r="C571">
        <v>2006</v>
      </c>
      <c r="D571" s="1">
        <v>80000</v>
      </c>
      <c r="E571">
        <v>66508</v>
      </c>
      <c r="F571" t="s">
        <v>9</v>
      </c>
      <c r="G571" t="s">
        <v>10</v>
      </c>
      <c r="H571" t="s">
        <v>11</v>
      </c>
      <c r="I571" t="s">
        <v>18</v>
      </c>
      <c r="J571">
        <f t="shared" si="16"/>
        <v>20</v>
      </c>
      <c r="K571" t="str">
        <f t="shared" si="17"/>
        <v>Budget</v>
      </c>
    </row>
    <row r="572" spans="2:11" x14ac:dyDescent="0.25">
      <c r="B572" t="s">
        <v>436</v>
      </c>
      <c r="C572">
        <v>2007</v>
      </c>
      <c r="D572" s="1">
        <v>225000</v>
      </c>
      <c r="E572">
        <v>55000</v>
      </c>
      <c r="F572" t="s">
        <v>9</v>
      </c>
      <c r="G572" t="s">
        <v>10</v>
      </c>
      <c r="H572" t="s">
        <v>11</v>
      </c>
      <c r="I572" t="s">
        <v>18</v>
      </c>
      <c r="J572">
        <f t="shared" si="16"/>
        <v>19</v>
      </c>
      <c r="K572" t="str">
        <f t="shared" si="17"/>
        <v>Budget</v>
      </c>
    </row>
    <row r="573" spans="2:11" x14ac:dyDescent="0.25">
      <c r="B573" t="s">
        <v>123</v>
      </c>
      <c r="C573">
        <v>2012</v>
      </c>
      <c r="D573" s="1">
        <v>75000</v>
      </c>
      <c r="E573">
        <v>29900</v>
      </c>
      <c r="F573" t="s">
        <v>9</v>
      </c>
      <c r="G573" t="s">
        <v>10</v>
      </c>
      <c r="H573" t="s">
        <v>11</v>
      </c>
      <c r="I573" t="s">
        <v>12</v>
      </c>
      <c r="J573">
        <f t="shared" si="16"/>
        <v>14</v>
      </c>
      <c r="K573" t="str">
        <f t="shared" si="17"/>
        <v>Budget</v>
      </c>
    </row>
    <row r="574" spans="2:11" x14ac:dyDescent="0.25">
      <c r="B574" t="s">
        <v>437</v>
      </c>
      <c r="C574">
        <v>2017</v>
      </c>
      <c r="D574" s="1">
        <v>1600000</v>
      </c>
      <c r="E574">
        <v>3000</v>
      </c>
      <c r="F574" t="s">
        <v>15</v>
      </c>
      <c r="G574" t="s">
        <v>10</v>
      </c>
      <c r="H574" t="s">
        <v>11</v>
      </c>
      <c r="I574" t="s">
        <v>12</v>
      </c>
      <c r="J574">
        <f t="shared" si="16"/>
        <v>9</v>
      </c>
      <c r="K574" t="str">
        <f t="shared" si="17"/>
        <v>Premium</v>
      </c>
    </row>
    <row r="575" spans="2:11" x14ac:dyDescent="0.25">
      <c r="B575" t="s">
        <v>438</v>
      </c>
      <c r="C575">
        <v>2012</v>
      </c>
      <c r="D575" s="1">
        <v>185000</v>
      </c>
      <c r="E575">
        <v>85000</v>
      </c>
      <c r="F575" t="s">
        <v>15</v>
      </c>
      <c r="G575" t="s">
        <v>10</v>
      </c>
      <c r="H575" t="s">
        <v>11</v>
      </c>
      <c r="I575" t="s">
        <v>12</v>
      </c>
      <c r="J575">
        <f t="shared" si="16"/>
        <v>14</v>
      </c>
      <c r="K575" t="str">
        <f t="shared" si="17"/>
        <v>Budget</v>
      </c>
    </row>
    <row r="576" spans="2:11" x14ac:dyDescent="0.25">
      <c r="B576" t="s">
        <v>439</v>
      </c>
      <c r="C576">
        <v>2011</v>
      </c>
      <c r="D576" s="1">
        <v>425000</v>
      </c>
      <c r="E576">
        <v>50000</v>
      </c>
      <c r="F576" t="s">
        <v>15</v>
      </c>
      <c r="G576" t="s">
        <v>10</v>
      </c>
      <c r="H576" t="s">
        <v>11</v>
      </c>
      <c r="I576" t="s">
        <v>12</v>
      </c>
      <c r="J576">
        <f t="shared" si="16"/>
        <v>15</v>
      </c>
      <c r="K576" t="str">
        <f t="shared" si="17"/>
        <v>Budget</v>
      </c>
    </row>
    <row r="577" spans="2:11" x14ac:dyDescent="0.25">
      <c r="B577" t="s">
        <v>128</v>
      </c>
      <c r="C577">
        <v>2010</v>
      </c>
      <c r="D577" s="1">
        <v>100000</v>
      </c>
      <c r="E577">
        <v>120000</v>
      </c>
      <c r="F577" t="s">
        <v>15</v>
      </c>
      <c r="G577" t="s">
        <v>10</v>
      </c>
      <c r="H577" t="s">
        <v>11</v>
      </c>
      <c r="I577" t="s">
        <v>18</v>
      </c>
      <c r="J577">
        <f t="shared" si="16"/>
        <v>16</v>
      </c>
      <c r="K577" t="str">
        <f t="shared" si="17"/>
        <v>Budget</v>
      </c>
    </row>
    <row r="578" spans="2:11" x14ac:dyDescent="0.25">
      <c r="B578" t="s">
        <v>440</v>
      </c>
      <c r="C578">
        <v>2008</v>
      </c>
      <c r="D578" s="1">
        <v>140000</v>
      </c>
      <c r="E578">
        <v>90000</v>
      </c>
      <c r="F578" t="s">
        <v>9</v>
      </c>
      <c r="G578" t="s">
        <v>10</v>
      </c>
      <c r="H578" t="s">
        <v>11</v>
      </c>
      <c r="I578" t="s">
        <v>49</v>
      </c>
      <c r="J578">
        <f t="shared" si="16"/>
        <v>18</v>
      </c>
      <c r="K578" t="str">
        <f t="shared" si="17"/>
        <v>Budget</v>
      </c>
    </row>
    <row r="579" spans="2:11" x14ac:dyDescent="0.25">
      <c r="B579" t="s">
        <v>441</v>
      </c>
      <c r="C579">
        <v>2017</v>
      </c>
      <c r="D579" s="1">
        <v>710000</v>
      </c>
      <c r="E579">
        <v>8000</v>
      </c>
      <c r="F579" t="s">
        <v>9</v>
      </c>
      <c r="G579" t="s">
        <v>10</v>
      </c>
      <c r="H579" t="s">
        <v>28</v>
      </c>
      <c r="I579" t="s">
        <v>12</v>
      </c>
      <c r="J579">
        <f t="shared" si="16"/>
        <v>9</v>
      </c>
      <c r="K579" t="str">
        <f t="shared" si="17"/>
        <v>Mid Range</v>
      </c>
    </row>
    <row r="580" spans="2:11" x14ac:dyDescent="0.25">
      <c r="B580" t="s">
        <v>442</v>
      </c>
      <c r="C580">
        <v>2015</v>
      </c>
      <c r="D580" s="1">
        <v>450000</v>
      </c>
      <c r="E580">
        <v>7900</v>
      </c>
      <c r="F580" t="s">
        <v>9</v>
      </c>
      <c r="G580" t="s">
        <v>10</v>
      </c>
      <c r="H580" t="s">
        <v>28</v>
      </c>
      <c r="I580" t="s">
        <v>12</v>
      </c>
      <c r="J580">
        <f t="shared" si="16"/>
        <v>11</v>
      </c>
      <c r="K580" t="str">
        <f t="shared" si="17"/>
        <v>Budget</v>
      </c>
    </row>
    <row r="581" spans="2:11" x14ac:dyDescent="0.25">
      <c r="B581" t="s">
        <v>16</v>
      </c>
      <c r="C581">
        <v>2017</v>
      </c>
      <c r="D581" s="1">
        <v>210000</v>
      </c>
      <c r="E581">
        <v>50000</v>
      </c>
      <c r="F581" t="s">
        <v>9</v>
      </c>
      <c r="G581" t="s">
        <v>10</v>
      </c>
      <c r="H581" t="s">
        <v>11</v>
      </c>
      <c r="I581" t="s">
        <v>12</v>
      </c>
      <c r="J581">
        <f t="shared" si="16"/>
        <v>9</v>
      </c>
      <c r="K581" t="str">
        <f t="shared" si="17"/>
        <v>Budget</v>
      </c>
    </row>
    <row r="582" spans="2:11" x14ac:dyDescent="0.25">
      <c r="B582" t="s">
        <v>170</v>
      </c>
      <c r="C582">
        <v>2016</v>
      </c>
      <c r="D582" s="1">
        <v>270000</v>
      </c>
      <c r="E582">
        <v>25000</v>
      </c>
      <c r="F582" t="s">
        <v>9</v>
      </c>
      <c r="G582" t="s">
        <v>10</v>
      </c>
      <c r="H582" t="s">
        <v>11</v>
      </c>
      <c r="I582" t="s">
        <v>12</v>
      </c>
      <c r="J582">
        <f t="shared" ref="J582:J645" si="18">2026 - C582</f>
        <v>10</v>
      </c>
      <c r="K582" t="str">
        <f t="shared" ref="K582:K645" si="19">IF(D582&lt;500000,"Budget",IF(D582&lt;=1000000,"Mid Range","Premium"))</f>
        <v>Budget</v>
      </c>
    </row>
    <row r="583" spans="2:11" x14ac:dyDescent="0.25">
      <c r="B583" t="s">
        <v>58</v>
      </c>
      <c r="C583">
        <v>2009</v>
      </c>
      <c r="D583" s="1">
        <v>110000</v>
      </c>
      <c r="E583">
        <v>20000</v>
      </c>
      <c r="F583" t="s">
        <v>9</v>
      </c>
      <c r="G583" t="s">
        <v>10</v>
      </c>
      <c r="H583" t="s">
        <v>11</v>
      </c>
      <c r="I583" t="s">
        <v>12</v>
      </c>
      <c r="J583">
        <f t="shared" si="18"/>
        <v>17</v>
      </c>
      <c r="K583" t="str">
        <f t="shared" si="19"/>
        <v>Budget</v>
      </c>
    </row>
    <row r="584" spans="2:11" x14ac:dyDescent="0.25">
      <c r="B584" t="s">
        <v>443</v>
      </c>
      <c r="C584">
        <v>2018</v>
      </c>
      <c r="D584" s="1">
        <v>540000</v>
      </c>
      <c r="E584">
        <v>17500</v>
      </c>
      <c r="F584" t="s">
        <v>9</v>
      </c>
      <c r="G584" t="s">
        <v>10</v>
      </c>
      <c r="H584" t="s">
        <v>11</v>
      </c>
      <c r="I584" t="s">
        <v>12</v>
      </c>
      <c r="J584">
        <f t="shared" si="18"/>
        <v>8</v>
      </c>
      <c r="K584" t="str">
        <f t="shared" si="19"/>
        <v>Mid Range</v>
      </c>
    </row>
    <row r="585" spans="2:11" x14ac:dyDescent="0.25">
      <c r="B585" t="s">
        <v>444</v>
      </c>
      <c r="C585">
        <v>2008</v>
      </c>
      <c r="D585" s="1">
        <v>145000</v>
      </c>
      <c r="E585">
        <v>25000</v>
      </c>
      <c r="F585" t="s">
        <v>9</v>
      </c>
      <c r="G585" t="s">
        <v>10</v>
      </c>
      <c r="H585" t="s">
        <v>11</v>
      </c>
      <c r="I585" t="s">
        <v>12</v>
      </c>
      <c r="J585">
        <f t="shared" si="18"/>
        <v>18</v>
      </c>
      <c r="K585" t="str">
        <f t="shared" si="19"/>
        <v>Budget</v>
      </c>
    </row>
    <row r="586" spans="2:11" x14ac:dyDescent="0.25">
      <c r="B586" t="s">
        <v>321</v>
      </c>
      <c r="C586">
        <v>2013</v>
      </c>
      <c r="D586" s="1">
        <v>360000</v>
      </c>
      <c r="E586">
        <v>206500</v>
      </c>
      <c r="F586" t="s">
        <v>15</v>
      </c>
      <c r="G586" t="s">
        <v>10</v>
      </c>
      <c r="H586" t="s">
        <v>11</v>
      </c>
      <c r="I586" t="s">
        <v>12</v>
      </c>
      <c r="J586">
        <f t="shared" si="18"/>
        <v>13</v>
      </c>
      <c r="K586" t="str">
        <f t="shared" si="19"/>
        <v>Budget</v>
      </c>
    </row>
    <row r="587" spans="2:11" x14ac:dyDescent="0.25">
      <c r="B587" t="s">
        <v>445</v>
      </c>
      <c r="C587">
        <v>2013</v>
      </c>
      <c r="D587" s="1">
        <v>250000</v>
      </c>
      <c r="E587">
        <v>88600</v>
      </c>
      <c r="F587" t="s">
        <v>152</v>
      </c>
      <c r="G587" t="s">
        <v>10</v>
      </c>
      <c r="H587" t="s">
        <v>11</v>
      </c>
      <c r="I587" t="s">
        <v>12</v>
      </c>
      <c r="J587">
        <f t="shared" si="18"/>
        <v>13</v>
      </c>
      <c r="K587" t="str">
        <f t="shared" si="19"/>
        <v>Budget</v>
      </c>
    </row>
    <row r="588" spans="2:11" x14ac:dyDescent="0.25">
      <c r="B588" t="s">
        <v>446</v>
      </c>
      <c r="C588">
        <v>2012</v>
      </c>
      <c r="D588" s="1">
        <v>110000</v>
      </c>
      <c r="E588">
        <v>80000</v>
      </c>
      <c r="F588" t="s">
        <v>15</v>
      </c>
      <c r="G588" t="s">
        <v>10</v>
      </c>
      <c r="H588" t="s">
        <v>11</v>
      </c>
      <c r="I588" t="s">
        <v>12</v>
      </c>
      <c r="J588">
        <f t="shared" si="18"/>
        <v>14</v>
      </c>
      <c r="K588" t="str">
        <f t="shared" si="19"/>
        <v>Budget</v>
      </c>
    </row>
    <row r="589" spans="2:11" x14ac:dyDescent="0.25">
      <c r="B589" t="s">
        <v>447</v>
      </c>
      <c r="C589">
        <v>2008</v>
      </c>
      <c r="D589" s="1">
        <v>250000</v>
      </c>
      <c r="E589">
        <v>100000</v>
      </c>
      <c r="F589" t="s">
        <v>15</v>
      </c>
      <c r="G589" t="s">
        <v>10</v>
      </c>
      <c r="H589" t="s">
        <v>11</v>
      </c>
      <c r="I589" t="s">
        <v>46</v>
      </c>
      <c r="J589">
        <f t="shared" si="18"/>
        <v>18</v>
      </c>
      <c r="K589" t="str">
        <f t="shared" si="19"/>
        <v>Budget</v>
      </c>
    </row>
    <row r="590" spans="2:11" x14ac:dyDescent="0.25">
      <c r="B590" t="s">
        <v>383</v>
      </c>
      <c r="C590">
        <v>2011</v>
      </c>
      <c r="D590" s="1">
        <v>150000</v>
      </c>
      <c r="E590">
        <v>186000</v>
      </c>
      <c r="F590" t="s">
        <v>15</v>
      </c>
      <c r="G590" t="s">
        <v>10</v>
      </c>
      <c r="H590" t="s">
        <v>11</v>
      </c>
      <c r="I590" t="s">
        <v>18</v>
      </c>
      <c r="J590">
        <f t="shared" si="18"/>
        <v>15</v>
      </c>
      <c r="K590" t="str">
        <f t="shared" si="19"/>
        <v>Budget</v>
      </c>
    </row>
    <row r="591" spans="2:11" x14ac:dyDescent="0.25">
      <c r="B591" t="s">
        <v>448</v>
      </c>
      <c r="C591">
        <v>2010</v>
      </c>
      <c r="D591" s="1">
        <v>140000</v>
      </c>
      <c r="E591">
        <v>60000</v>
      </c>
      <c r="F591" t="s">
        <v>9</v>
      </c>
      <c r="G591" t="s">
        <v>10</v>
      </c>
      <c r="H591" t="s">
        <v>11</v>
      </c>
      <c r="I591" t="s">
        <v>12</v>
      </c>
      <c r="J591">
        <f t="shared" si="18"/>
        <v>16</v>
      </c>
      <c r="K591" t="str">
        <f t="shared" si="19"/>
        <v>Budget</v>
      </c>
    </row>
    <row r="592" spans="2:11" x14ac:dyDescent="0.25">
      <c r="B592" t="s">
        <v>449</v>
      </c>
      <c r="C592">
        <v>2019</v>
      </c>
      <c r="D592" s="1">
        <v>925000</v>
      </c>
      <c r="E592">
        <v>11000</v>
      </c>
      <c r="F592" t="s">
        <v>9</v>
      </c>
      <c r="G592" t="s">
        <v>10</v>
      </c>
      <c r="H592" t="s">
        <v>11</v>
      </c>
      <c r="I592" t="s">
        <v>12</v>
      </c>
      <c r="J592">
        <f t="shared" si="18"/>
        <v>7</v>
      </c>
      <c r="K592" t="str">
        <f t="shared" si="19"/>
        <v>Mid Range</v>
      </c>
    </row>
    <row r="593" spans="2:11" x14ac:dyDescent="0.25">
      <c r="B593" t="s">
        <v>450</v>
      </c>
      <c r="C593">
        <v>2017</v>
      </c>
      <c r="D593" s="1">
        <v>969999</v>
      </c>
      <c r="E593">
        <v>30000</v>
      </c>
      <c r="F593" t="s">
        <v>15</v>
      </c>
      <c r="G593" t="s">
        <v>10</v>
      </c>
      <c r="H593" t="s">
        <v>11</v>
      </c>
      <c r="I593" t="s">
        <v>12</v>
      </c>
      <c r="J593">
        <f t="shared" si="18"/>
        <v>9</v>
      </c>
      <c r="K593" t="str">
        <f t="shared" si="19"/>
        <v>Mid Range</v>
      </c>
    </row>
    <row r="594" spans="2:11" x14ac:dyDescent="0.25">
      <c r="B594" t="s">
        <v>451</v>
      </c>
      <c r="C594">
        <v>2007</v>
      </c>
      <c r="D594" s="1">
        <v>90000</v>
      </c>
      <c r="E594">
        <v>80000</v>
      </c>
      <c r="F594" t="s">
        <v>24</v>
      </c>
      <c r="G594" t="s">
        <v>10</v>
      </c>
      <c r="H594" t="s">
        <v>11</v>
      </c>
      <c r="I594" t="s">
        <v>49</v>
      </c>
      <c r="J594">
        <f t="shared" si="18"/>
        <v>19</v>
      </c>
      <c r="K594" t="str">
        <f t="shared" si="19"/>
        <v>Budget</v>
      </c>
    </row>
    <row r="595" spans="2:11" x14ac:dyDescent="0.25">
      <c r="B595" t="s">
        <v>320</v>
      </c>
      <c r="C595">
        <v>2001</v>
      </c>
      <c r="D595" s="1">
        <v>55000</v>
      </c>
      <c r="E595">
        <v>60000</v>
      </c>
      <c r="F595" t="s">
        <v>9</v>
      </c>
      <c r="G595" t="s">
        <v>10</v>
      </c>
      <c r="H595" t="s">
        <v>11</v>
      </c>
      <c r="I595" t="s">
        <v>49</v>
      </c>
      <c r="J595">
        <f t="shared" si="18"/>
        <v>25</v>
      </c>
      <c r="K595" t="str">
        <f t="shared" si="19"/>
        <v>Budget</v>
      </c>
    </row>
    <row r="596" spans="2:11" x14ac:dyDescent="0.25">
      <c r="B596" t="s">
        <v>362</v>
      </c>
      <c r="C596">
        <v>2007</v>
      </c>
      <c r="D596" s="1">
        <v>155000</v>
      </c>
      <c r="E596">
        <v>100000</v>
      </c>
      <c r="F596" t="s">
        <v>15</v>
      </c>
      <c r="G596" t="s">
        <v>10</v>
      </c>
      <c r="H596" t="s">
        <v>11</v>
      </c>
      <c r="I596" t="s">
        <v>46</v>
      </c>
      <c r="J596">
        <f t="shared" si="18"/>
        <v>19</v>
      </c>
      <c r="K596" t="str">
        <f t="shared" si="19"/>
        <v>Budget</v>
      </c>
    </row>
    <row r="597" spans="2:11" x14ac:dyDescent="0.25">
      <c r="B597" t="s">
        <v>452</v>
      </c>
      <c r="C597">
        <v>2019</v>
      </c>
      <c r="D597" s="1">
        <v>900000</v>
      </c>
      <c r="E597">
        <v>15000</v>
      </c>
      <c r="F597" t="s">
        <v>15</v>
      </c>
      <c r="G597" t="s">
        <v>10</v>
      </c>
      <c r="H597" t="s">
        <v>11</v>
      </c>
      <c r="I597" t="s">
        <v>12</v>
      </c>
      <c r="J597">
        <f t="shared" si="18"/>
        <v>7</v>
      </c>
      <c r="K597" t="str">
        <f t="shared" si="19"/>
        <v>Mid Range</v>
      </c>
    </row>
    <row r="598" spans="2:11" x14ac:dyDescent="0.25">
      <c r="B598" t="s">
        <v>453</v>
      </c>
      <c r="C598">
        <v>2011</v>
      </c>
      <c r="D598" s="1">
        <v>135000</v>
      </c>
      <c r="E598">
        <v>90000</v>
      </c>
      <c r="F598" t="s">
        <v>9</v>
      </c>
      <c r="G598" t="s">
        <v>10</v>
      </c>
      <c r="H598" t="s">
        <v>11</v>
      </c>
      <c r="I598" t="s">
        <v>12</v>
      </c>
      <c r="J598">
        <f t="shared" si="18"/>
        <v>15</v>
      </c>
      <c r="K598" t="str">
        <f t="shared" si="19"/>
        <v>Budget</v>
      </c>
    </row>
    <row r="599" spans="2:11" x14ac:dyDescent="0.25">
      <c r="B599" t="s">
        <v>8</v>
      </c>
      <c r="C599">
        <v>2012</v>
      </c>
      <c r="D599" s="1">
        <v>180000</v>
      </c>
      <c r="E599">
        <v>120000</v>
      </c>
      <c r="F599" t="s">
        <v>9</v>
      </c>
      <c r="G599" t="s">
        <v>10</v>
      </c>
      <c r="H599" t="s">
        <v>11</v>
      </c>
      <c r="I599" t="s">
        <v>12</v>
      </c>
      <c r="J599">
        <f t="shared" si="18"/>
        <v>14</v>
      </c>
      <c r="K599" t="str">
        <f t="shared" si="19"/>
        <v>Budget</v>
      </c>
    </row>
    <row r="600" spans="2:11" x14ac:dyDescent="0.25">
      <c r="B600" t="s">
        <v>14</v>
      </c>
      <c r="C600">
        <v>2013</v>
      </c>
      <c r="D600" s="1">
        <v>495000</v>
      </c>
      <c r="E600">
        <v>100000</v>
      </c>
      <c r="F600" t="s">
        <v>15</v>
      </c>
      <c r="G600" t="s">
        <v>10</v>
      </c>
      <c r="H600" t="s">
        <v>11</v>
      </c>
      <c r="I600" t="s">
        <v>18</v>
      </c>
      <c r="J600">
        <f t="shared" si="18"/>
        <v>13</v>
      </c>
      <c r="K600" t="str">
        <f t="shared" si="19"/>
        <v>Budget</v>
      </c>
    </row>
    <row r="601" spans="2:11" x14ac:dyDescent="0.25">
      <c r="B601" t="s">
        <v>74</v>
      </c>
      <c r="C601">
        <v>2009</v>
      </c>
      <c r="D601" s="1">
        <v>400000</v>
      </c>
      <c r="E601">
        <v>138000</v>
      </c>
      <c r="F601" t="s">
        <v>15</v>
      </c>
      <c r="G601" t="s">
        <v>10</v>
      </c>
      <c r="H601" t="s">
        <v>11</v>
      </c>
      <c r="I601" t="s">
        <v>49</v>
      </c>
      <c r="J601">
        <f t="shared" si="18"/>
        <v>17</v>
      </c>
      <c r="K601" t="str">
        <f t="shared" si="19"/>
        <v>Budget</v>
      </c>
    </row>
    <row r="602" spans="2:11" x14ac:dyDescent="0.25">
      <c r="B602" t="s">
        <v>362</v>
      </c>
      <c r="C602">
        <v>2008</v>
      </c>
      <c r="D602" s="1">
        <v>250000</v>
      </c>
      <c r="E602">
        <v>110000</v>
      </c>
      <c r="F602" t="s">
        <v>15</v>
      </c>
      <c r="G602" t="s">
        <v>10</v>
      </c>
      <c r="H602" t="s">
        <v>11</v>
      </c>
      <c r="I602" t="s">
        <v>18</v>
      </c>
      <c r="J602">
        <f t="shared" si="18"/>
        <v>18</v>
      </c>
      <c r="K602" t="str">
        <f t="shared" si="19"/>
        <v>Budget</v>
      </c>
    </row>
    <row r="603" spans="2:11" x14ac:dyDescent="0.25">
      <c r="B603" t="s">
        <v>454</v>
      </c>
      <c r="C603">
        <v>2015</v>
      </c>
      <c r="D603" s="1">
        <v>138000</v>
      </c>
      <c r="E603">
        <v>120000</v>
      </c>
      <c r="F603" t="s">
        <v>9</v>
      </c>
      <c r="G603" t="s">
        <v>10</v>
      </c>
      <c r="H603" t="s">
        <v>11</v>
      </c>
      <c r="I603" t="s">
        <v>46</v>
      </c>
      <c r="J603">
        <f t="shared" si="18"/>
        <v>11</v>
      </c>
      <c r="K603" t="str">
        <f t="shared" si="19"/>
        <v>Budget</v>
      </c>
    </row>
    <row r="604" spans="2:11" x14ac:dyDescent="0.25">
      <c r="B604" t="s">
        <v>455</v>
      </c>
      <c r="C604">
        <v>2011</v>
      </c>
      <c r="D604" s="1">
        <v>311000</v>
      </c>
      <c r="E604">
        <v>70000</v>
      </c>
      <c r="F604" t="s">
        <v>9</v>
      </c>
      <c r="G604" t="s">
        <v>10</v>
      </c>
      <c r="H604" t="s">
        <v>28</v>
      </c>
      <c r="I604" t="s">
        <v>18</v>
      </c>
      <c r="J604">
        <f t="shared" si="18"/>
        <v>15</v>
      </c>
      <c r="K604" t="str">
        <f t="shared" si="19"/>
        <v>Budget</v>
      </c>
    </row>
    <row r="605" spans="2:11" x14ac:dyDescent="0.25">
      <c r="B605" t="s">
        <v>241</v>
      </c>
      <c r="C605">
        <v>2015</v>
      </c>
      <c r="D605" s="1">
        <v>190000</v>
      </c>
      <c r="E605">
        <v>70000</v>
      </c>
      <c r="F605" t="s">
        <v>9</v>
      </c>
      <c r="G605" t="s">
        <v>10</v>
      </c>
      <c r="H605" t="s">
        <v>11</v>
      </c>
      <c r="I605" t="s">
        <v>12</v>
      </c>
      <c r="J605">
        <f t="shared" si="18"/>
        <v>11</v>
      </c>
      <c r="K605" t="str">
        <f t="shared" si="19"/>
        <v>Budget</v>
      </c>
    </row>
    <row r="606" spans="2:11" x14ac:dyDescent="0.25">
      <c r="B606" t="s">
        <v>252</v>
      </c>
      <c r="C606">
        <v>2011</v>
      </c>
      <c r="D606" s="1">
        <v>311000</v>
      </c>
      <c r="E606">
        <v>140000</v>
      </c>
      <c r="F606" t="s">
        <v>15</v>
      </c>
      <c r="G606" t="s">
        <v>10</v>
      </c>
      <c r="H606" t="s">
        <v>11</v>
      </c>
      <c r="I606" t="s">
        <v>12</v>
      </c>
      <c r="J606">
        <f t="shared" si="18"/>
        <v>15</v>
      </c>
      <c r="K606" t="str">
        <f t="shared" si="19"/>
        <v>Budget</v>
      </c>
    </row>
    <row r="607" spans="2:11" x14ac:dyDescent="0.25">
      <c r="B607" t="s">
        <v>456</v>
      </c>
      <c r="C607">
        <v>2009</v>
      </c>
      <c r="D607" s="1">
        <v>300000</v>
      </c>
      <c r="E607">
        <v>15000</v>
      </c>
      <c r="F607" t="s">
        <v>9</v>
      </c>
      <c r="G607" t="s">
        <v>10</v>
      </c>
      <c r="H607" t="s">
        <v>11</v>
      </c>
      <c r="I607" t="s">
        <v>12</v>
      </c>
      <c r="J607">
        <f t="shared" si="18"/>
        <v>17</v>
      </c>
      <c r="K607" t="str">
        <f t="shared" si="19"/>
        <v>Budget</v>
      </c>
    </row>
    <row r="608" spans="2:11" x14ac:dyDescent="0.25">
      <c r="B608" t="s">
        <v>457</v>
      </c>
      <c r="C608">
        <v>2018</v>
      </c>
      <c r="D608" s="1">
        <v>600000</v>
      </c>
      <c r="E608">
        <v>20000</v>
      </c>
      <c r="F608" t="s">
        <v>9</v>
      </c>
      <c r="G608" t="s">
        <v>10</v>
      </c>
      <c r="H608" t="s">
        <v>11</v>
      </c>
      <c r="I608" t="s">
        <v>12</v>
      </c>
      <c r="J608">
        <f t="shared" si="18"/>
        <v>8</v>
      </c>
      <c r="K608" t="str">
        <f t="shared" si="19"/>
        <v>Mid Range</v>
      </c>
    </row>
    <row r="609" spans="2:11" x14ac:dyDescent="0.25">
      <c r="B609" t="s">
        <v>458</v>
      </c>
      <c r="C609">
        <v>2009</v>
      </c>
      <c r="D609" s="1">
        <v>550000</v>
      </c>
      <c r="E609">
        <v>100000</v>
      </c>
      <c r="F609" t="s">
        <v>15</v>
      </c>
      <c r="G609" t="s">
        <v>10</v>
      </c>
      <c r="H609" t="s">
        <v>11</v>
      </c>
      <c r="I609" t="s">
        <v>12</v>
      </c>
      <c r="J609">
        <f t="shared" si="18"/>
        <v>17</v>
      </c>
      <c r="K609" t="str">
        <f t="shared" si="19"/>
        <v>Mid Range</v>
      </c>
    </row>
    <row r="610" spans="2:11" x14ac:dyDescent="0.25">
      <c r="B610" t="s">
        <v>459</v>
      </c>
      <c r="C610">
        <v>2015</v>
      </c>
      <c r="D610" s="1">
        <v>600000</v>
      </c>
      <c r="E610">
        <v>70000</v>
      </c>
      <c r="F610" t="s">
        <v>9</v>
      </c>
      <c r="G610" t="s">
        <v>10</v>
      </c>
      <c r="H610" t="s">
        <v>28</v>
      </c>
      <c r="I610" t="s">
        <v>12</v>
      </c>
      <c r="J610">
        <f t="shared" si="18"/>
        <v>11</v>
      </c>
      <c r="K610" t="str">
        <f t="shared" si="19"/>
        <v>Mid Range</v>
      </c>
    </row>
    <row r="611" spans="2:11" x14ac:dyDescent="0.25">
      <c r="B611" t="s">
        <v>241</v>
      </c>
      <c r="C611">
        <v>2018</v>
      </c>
      <c r="D611" s="1">
        <v>195000</v>
      </c>
      <c r="E611">
        <v>5000</v>
      </c>
      <c r="F611" t="s">
        <v>9</v>
      </c>
      <c r="G611" t="s">
        <v>10</v>
      </c>
      <c r="H611" t="s">
        <v>11</v>
      </c>
      <c r="I611" t="s">
        <v>12</v>
      </c>
      <c r="J611">
        <f t="shared" si="18"/>
        <v>8</v>
      </c>
      <c r="K611" t="str">
        <f t="shared" si="19"/>
        <v>Budget</v>
      </c>
    </row>
    <row r="612" spans="2:11" x14ac:dyDescent="0.25">
      <c r="B612" t="s">
        <v>460</v>
      </c>
      <c r="C612">
        <v>2013</v>
      </c>
      <c r="D612" s="1">
        <v>58000</v>
      </c>
      <c r="E612">
        <v>27974</v>
      </c>
      <c r="F612" t="s">
        <v>9</v>
      </c>
      <c r="G612" t="s">
        <v>10</v>
      </c>
      <c r="H612" t="s">
        <v>11</v>
      </c>
      <c r="I612" t="s">
        <v>12</v>
      </c>
      <c r="J612">
        <f t="shared" si="18"/>
        <v>13</v>
      </c>
      <c r="K612" t="str">
        <f t="shared" si="19"/>
        <v>Budget</v>
      </c>
    </row>
    <row r="613" spans="2:11" x14ac:dyDescent="0.25">
      <c r="B613" t="s">
        <v>241</v>
      </c>
      <c r="C613">
        <v>2018</v>
      </c>
      <c r="D613" s="1">
        <v>183000</v>
      </c>
      <c r="E613">
        <v>40000</v>
      </c>
      <c r="F613" t="s">
        <v>9</v>
      </c>
      <c r="G613" t="s">
        <v>10</v>
      </c>
      <c r="H613" t="s">
        <v>11</v>
      </c>
      <c r="I613" t="s">
        <v>12</v>
      </c>
      <c r="J613">
        <f t="shared" si="18"/>
        <v>8</v>
      </c>
      <c r="K613" t="str">
        <f t="shared" si="19"/>
        <v>Budget</v>
      </c>
    </row>
    <row r="614" spans="2:11" x14ac:dyDescent="0.25">
      <c r="B614" t="s">
        <v>461</v>
      </c>
      <c r="C614">
        <v>2007</v>
      </c>
      <c r="D614" s="1">
        <v>95000</v>
      </c>
      <c r="E614">
        <v>80000</v>
      </c>
      <c r="F614" t="s">
        <v>9</v>
      </c>
      <c r="G614" t="s">
        <v>10</v>
      </c>
      <c r="H614" t="s">
        <v>11</v>
      </c>
      <c r="I614" t="s">
        <v>12</v>
      </c>
      <c r="J614">
        <f t="shared" si="18"/>
        <v>19</v>
      </c>
      <c r="K614" t="str">
        <f t="shared" si="19"/>
        <v>Budget</v>
      </c>
    </row>
    <row r="615" spans="2:11" x14ac:dyDescent="0.25">
      <c r="B615" t="s">
        <v>462</v>
      </c>
      <c r="C615">
        <v>2013</v>
      </c>
      <c r="D615" s="1">
        <v>250000</v>
      </c>
      <c r="E615">
        <v>38000</v>
      </c>
      <c r="F615" t="s">
        <v>9</v>
      </c>
      <c r="G615" t="s">
        <v>10</v>
      </c>
      <c r="H615" t="s">
        <v>11</v>
      </c>
      <c r="I615" t="s">
        <v>12</v>
      </c>
      <c r="J615">
        <f t="shared" si="18"/>
        <v>13</v>
      </c>
      <c r="K615" t="str">
        <f t="shared" si="19"/>
        <v>Budget</v>
      </c>
    </row>
    <row r="616" spans="2:11" x14ac:dyDescent="0.25">
      <c r="B616" t="s">
        <v>359</v>
      </c>
      <c r="C616">
        <v>2014</v>
      </c>
      <c r="D616" s="1">
        <v>400000</v>
      </c>
      <c r="E616">
        <v>35000</v>
      </c>
      <c r="F616" t="s">
        <v>9</v>
      </c>
      <c r="G616" t="s">
        <v>10</v>
      </c>
      <c r="H616" t="s">
        <v>11</v>
      </c>
      <c r="I616" t="s">
        <v>12</v>
      </c>
      <c r="J616">
        <f t="shared" si="18"/>
        <v>12</v>
      </c>
      <c r="K616" t="str">
        <f t="shared" si="19"/>
        <v>Budget</v>
      </c>
    </row>
    <row r="617" spans="2:11" x14ac:dyDescent="0.25">
      <c r="B617" t="s">
        <v>243</v>
      </c>
      <c r="C617">
        <v>2012</v>
      </c>
      <c r="D617" s="1">
        <v>409999</v>
      </c>
      <c r="E617">
        <v>60000</v>
      </c>
      <c r="F617" t="s">
        <v>15</v>
      </c>
      <c r="G617" t="s">
        <v>10</v>
      </c>
      <c r="H617" t="s">
        <v>11</v>
      </c>
      <c r="I617" t="s">
        <v>18</v>
      </c>
      <c r="J617">
        <f t="shared" si="18"/>
        <v>14</v>
      </c>
      <c r="K617" t="str">
        <f t="shared" si="19"/>
        <v>Budget</v>
      </c>
    </row>
    <row r="618" spans="2:11" x14ac:dyDescent="0.25">
      <c r="B618" t="s">
        <v>463</v>
      </c>
      <c r="C618">
        <v>2004</v>
      </c>
      <c r="D618" s="1">
        <v>120000</v>
      </c>
      <c r="E618">
        <v>120000</v>
      </c>
      <c r="F618" t="s">
        <v>15</v>
      </c>
      <c r="G618" t="s">
        <v>10</v>
      </c>
      <c r="H618" t="s">
        <v>11</v>
      </c>
      <c r="I618" t="s">
        <v>18</v>
      </c>
      <c r="J618">
        <f t="shared" si="18"/>
        <v>22</v>
      </c>
      <c r="K618" t="str">
        <f t="shared" si="19"/>
        <v>Budget</v>
      </c>
    </row>
    <row r="619" spans="2:11" x14ac:dyDescent="0.25">
      <c r="B619" t="s">
        <v>464</v>
      </c>
      <c r="C619">
        <v>2018</v>
      </c>
      <c r="D619" s="1">
        <v>600000</v>
      </c>
      <c r="E619">
        <v>18000</v>
      </c>
      <c r="F619" t="s">
        <v>9</v>
      </c>
      <c r="G619" t="s">
        <v>10</v>
      </c>
      <c r="H619" t="s">
        <v>28</v>
      </c>
      <c r="I619" t="s">
        <v>12</v>
      </c>
      <c r="J619">
        <f t="shared" si="18"/>
        <v>8</v>
      </c>
      <c r="K619" t="str">
        <f t="shared" si="19"/>
        <v>Mid Range</v>
      </c>
    </row>
    <row r="620" spans="2:11" x14ac:dyDescent="0.25">
      <c r="B620" t="s">
        <v>465</v>
      </c>
      <c r="C620">
        <v>2016</v>
      </c>
      <c r="D620" s="1">
        <v>600000</v>
      </c>
      <c r="E620">
        <v>10000</v>
      </c>
      <c r="F620" t="s">
        <v>9</v>
      </c>
      <c r="G620" t="s">
        <v>10</v>
      </c>
      <c r="H620" t="s">
        <v>11</v>
      </c>
      <c r="I620" t="s">
        <v>12</v>
      </c>
      <c r="J620">
        <f t="shared" si="18"/>
        <v>10</v>
      </c>
      <c r="K620" t="str">
        <f t="shared" si="19"/>
        <v>Mid Range</v>
      </c>
    </row>
    <row r="621" spans="2:11" x14ac:dyDescent="0.25">
      <c r="B621" t="s">
        <v>195</v>
      </c>
      <c r="C621">
        <v>2015</v>
      </c>
      <c r="D621" s="1">
        <v>825000</v>
      </c>
      <c r="E621">
        <v>90000</v>
      </c>
      <c r="F621" t="s">
        <v>15</v>
      </c>
      <c r="G621" t="s">
        <v>10</v>
      </c>
      <c r="H621" t="s">
        <v>11</v>
      </c>
      <c r="I621" t="s">
        <v>49</v>
      </c>
      <c r="J621">
        <f t="shared" si="18"/>
        <v>11</v>
      </c>
      <c r="K621" t="str">
        <f t="shared" si="19"/>
        <v>Mid Range</v>
      </c>
    </row>
    <row r="622" spans="2:11" x14ac:dyDescent="0.25">
      <c r="B622" t="s">
        <v>69</v>
      </c>
      <c r="C622">
        <v>2016</v>
      </c>
      <c r="D622" s="1">
        <v>625000</v>
      </c>
      <c r="E622">
        <v>80000</v>
      </c>
      <c r="F622" t="s">
        <v>15</v>
      </c>
      <c r="G622" t="s">
        <v>10</v>
      </c>
      <c r="H622" t="s">
        <v>11</v>
      </c>
      <c r="I622" t="s">
        <v>18</v>
      </c>
      <c r="J622">
        <f t="shared" si="18"/>
        <v>10</v>
      </c>
      <c r="K622" t="str">
        <f t="shared" si="19"/>
        <v>Mid Range</v>
      </c>
    </row>
    <row r="623" spans="2:11" x14ac:dyDescent="0.25">
      <c r="B623" t="s">
        <v>466</v>
      </c>
      <c r="C623">
        <v>2020</v>
      </c>
      <c r="D623" s="1">
        <v>700000</v>
      </c>
      <c r="E623">
        <v>1400</v>
      </c>
      <c r="F623" t="s">
        <v>15</v>
      </c>
      <c r="G623" t="s">
        <v>10</v>
      </c>
      <c r="H623" t="s">
        <v>11</v>
      </c>
      <c r="I623" t="s">
        <v>12</v>
      </c>
      <c r="J623">
        <f t="shared" si="18"/>
        <v>6</v>
      </c>
      <c r="K623" t="str">
        <f t="shared" si="19"/>
        <v>Mid Range</v>
      </c>
    </row>
    <row r="624" spans="2:11" x14ac:dyDescent="0.25">
      <c r="B624" t="s">
        <v>353</v>
      </c>
      <c r="C624">
        <v>2011</v>
      </c>
      <c r="D624" s="1">
        <v>160000</v>
      </c>
      <c r="E624">
        <v>60000</v>
      </c>
      <c r="F624" t="s">
        <v>9</v>
      </c>
      <c r="G624" t="s">
        <v>10</v>
      </c>
      <c r="H624" t="s">
        <v>11</v>
      </c>
      <c r="I624" t="s">
        <v>12</v>
      </c>
      <c r="J624">
        <f t="shared" si="18"/>
        <v>15</v>
      </c>
      <c r="K624" t="str">
        <f t="shared" si="19"/>
        <v>Budget</v>
      </c>
    </row>
    <row r="625" spans="2:11" x14ac:dyDescent="0.25">
      <c r="B625" t="s">
        <v>172</v>
      </c>
      <c r="C625">
        <v>2011</v>
      </c>
      <c r="D625" s="1">
        <v>114999</v>
      </c>
      <c r="E625">
        <v>60000</v>
      </c>
      <c r="F625" t="s">
        <v>9</v>
      </c>
      <c r="G625" t="s">
        <v>10</v>
      </c>
      <c r="H625" t="s">
        <v>11</v>
      </c>
      <c r="I625" t="s">
        <v>49</v>
      </c>
      <c r="J625">
        <f t="shared" si="18"/>
        <v>15</v>
      </c>
      <c r="K625" t="str">
        <f t="shared" si="19"/>
        <v>Budget</v>
      </c>
    </row>
    <row r="626" spans="2:11" x14ac:dyDescent="0.25">
      <c r="B626" t="s">
        <v>13</v>
      </c>
      <c r="C626">
        <v>2009</v>
      </c>
      <c r="D626" s="1">
        <v>150000</v>
      </c>
      <c r="E626">
        <v>53000</v>
      </c>
      <c r="F626" t="s">
        <v>9</v>
      </c>
      <c r="G626" t="s">
        <v>10</v>
      </c>
      <c r="H626" t="s">
        <v>11</v>
      </c>
      <c r="I626" t="s">
        <v>12</v>
      </c>
      <c r="J626">
        <f t="shared" si="18"/>
        <v>17</v>
      </c>
      <c r="K626" t="str">
        <f t="shared" si="19"/>
        <v>Budget</v>
      </c>
    </row>
    <row r="627" spans="2:11" x14ac:dyDescent="0.25">
      <c r="B627" t="s">
        <v>467</v>
      </c>
      <c r="C627">
        <v>2010</v>
      </c>
      <c r="D627" s="1">
        <v>250000</v>
      </c>
      <c r="E627">
        <v>100000</v>
      </c>
      <c r="F627" t="s">
        <v>15</v>
      </c>
      <c r="G627" t="s">
        <v>27</v>
      </c>
      <c r="H627" t="s">
        <v>11</v>
      </c>
      <c r="I627" t="s">
        <v>12</v>
      </c>
      <c r="J627">
        <f t="shared" si="18"/>
        <v>16</v>
      </c>
      <c r="K627" t="str">
        <f t="shared" si="19"/>
        <v>Budget</v>
      </c>
    </row>
    <row r="628" spans="2:11" x14ac:dyDescent="0.25">
      <c r="B628" t="s">
        <v>14</v>
      </c>
      <c r="C628">
        <v>2012</v>
      </c>
      <c r="D628" s="1">
        <v>390000</v>
      </c>
      <c r="E628">
        <v>86000</v>
      </c>
      <c r="F628" t="s">
        <v>15</v>
      </c>
      <c r="G628" t="s">
        <v>27</v>
      </c>
      <c r="H628" t="s">
        <v>11</v>
      </c>
      <c r="I628" t="s">
        <v>18</v>
      </c>
      <c r="J628">
        <f t="shared" si="18"/>
        <v>14</v>
      </c>
      <c r="K628" t="str">
        <f t="shared" si="19"/>
        <v>Budget</v>
      </c>
    </row>
    <row r="629" spans="2:11" x14ac:dyDescent="0.25">
      <c r="B629" t="s">
        <v>364</v>
      </c>
      <c r="C629">
        <v>2015</v>
      </c>
      <c r="D629" s="1">
        <v>650000</v>
      </c>
      <c r="E629">
        <v>100000</v>
      </c>
      <c r="F629" t="s">
        <v>15</v>
      </c>
      <c r="G629" t="s">
        <v>10</v>
      </c>
      <c r="H629" t="s">
        <v>11</v>
      </c>
      <c r="I629" t="s">
        <v>12</v>
      </c>
      <c r="J629">
        <f t="shared" si="18"/>
        <v>11</v>
      </c>
      <c r="K629" t="str">
        <f t="shared" si="19"/>
        <v>Mid Range</v>
      </c>
    </row>
    <row r="630" spans="2:11" x14ac:dyDescent="0.25">
      <c r="B630" t="s">
        <v>468</v>
      </c>
      <c r="C630">
        <v>2016</v>
      </c>
      <c r="D630" s="1">
        <v>600000</v>
      </c>
      <c r="E630">
        <v>30000</v>
      </c>
      <c r="F630" t="s">
        <v>15</v>
      </c>
      <c r="G630" t="s">
        <v>10</v>
      </c>
      <c r="H630" t="s">
        <v>11</v>
      </c>
      <c r="I630" t="s">
        <v>12</v>
      </c>
      <c r="J630">
        <f t="shared" si="18"/>
        <v>10</v>
      </c>
      <c r="K630" t="str">
        <f t="shared" si="19"/>
        <v>Mid Range</v>
      </c>
    </row>
    <row r="631" spans="2:11" x14ac:dyDescent="0.25">
      <c r="B631" t="s">
        <v>184</v>
      </c>
      <c r="C631">
        <v>2011</v>
      </c>
      <c r="D631" s="1">
        <v>250000</v>
      </c>
      <c r="E631">
        <v>120000</v>
      </c>
      <c r="F631" t="s">
        <v>9</v>
      </c>
      <c r="G631" t="s">
        <v>10</v>
      </c>
      <c r="H631" t="s">
        <v>11</v>
      </c>
      <c r="I631" t="s">
        <v>12</v>
      </c>
      <c r="J631">
        <f t="shared" si="18"/>
        <v>15</v>
      </c>
      <c r="K631" t="str">
        <f t="shared" si="19"/>
        <v>Budget</v>
      </c>
    </row>
    <row r="632" spans="2:11" x14ac:dyDescent="0.25">
      <c r="B632" t="s">
        <v>469</v>
      </c>
      <c r="C632">
        <v>2011</v>
      </c>
      <c r="D632" s="1">
        <v>229999</v>
      </c>
      <c r="E632">
        <v>60000</v>
      </c>
      <c r="F632" t="s">
        <v>152</v>
      </c>
      <c r="G632" t="s">
        <v>10</v>
      </c>
      <c r="H632" t="s">
        <v>11</v>
      </c>
      <c r="I632" t="s">
        <v>18</v>
      </c>
      <c r="J632">
        <f t="shared" si="18"/>
        <v>15</v>
      </c>
      <c r="K632" t="str">
        <f t="shared" si="19"/>
        <v>Budget</v>
      </c>
    </row>
    <row r="633" spans="2:11" x14ac:dyDescent="0.25">
      <c r="B633" t="s">
        <v>389</v>
      </c>
      <c r="C633">
        <v>2016</v>
      </c>
      <c r="D633" s="1">
        <v>299000</v>
      </c>
      <c r="E633">
        <v>50000</v>
      </c>
      <c r="F633" t="s">
        <v>15</v>
      </c>
      <c r="G633" t="s">
        <v>10</v>
      </c>
      <c r="H633" t="s">
        <v>11</v>
      </c>
      <c r="I633" t="s">
        <v>18</v>
      </c>
      <c r="J633">
        <f t="shared" si="18"/>
        <v>10</v>
      </c>
      <c r="K633" t="str">
        <f t="shared" si="19"/>
        <v>Budget</v>
      </c>
    </row>
    <row r="634" spans="2:11" x14ac:dyDescent="0.25">
      <c r="B634" t="s">
        <v>130</v>
      </c>
      <c r="C634">
        <v>2010</v>
      </c>
      <c r="D634" s="1">
        <v>330000</v>
      </c>
      <c r="E634">
        <v>124000</v>
      </c>
      <c r="F634" t="s">
        <v>15</v>
      </c>
      <c r="G634" t="s">
        <v>10</v>
      </c>
      <c r="H634" t="s">
        <v>11</v>
      </c>
      <c r="I634" t="s">
        <v>18</v>
      </c>
      <c r="J634">
        <f t="shared" si="18"/>
        <v>16</v>
      </c>
      <c r="K634" t="str">
        <f t="shared" si="19"/>
        <v>Budget</v>
      </c>
    </row>
    <row r="635" spans="2:11" x14ac:dyDescent="0.25">
      <c r="B635" t="s">
        <v>470</v>
      </c>
      <c r="C635">
        <v>2012</v>
      </c>
      <c r="D635" s="1">
        <v>180000</v>
      </c>
      <c r="E635">
        <v>100000</v>
      </c>
      <c r="F635" t="s">
        <v>9</v>
      </c>
      <c r="G635" t="s">
        <v>10</v>
      </c>
      <c r="H635" t="s">
        <v>11</v>
      </c>
      <c r="I635" t="s">
        <v>49</v>
      </c>
      <c r="J635">
        <f t="shared" si="18"/>
        <v>14</v>
      </c>
      <c r="K635" t="str">
        <f t="shared" si="19"/>
        <v>Budget</v>
      </c>
    </row>
    <row r="636" spans="2:11" x14ac:dyDescent="0.25">
      <c r="B636" t="s">
        <v>57</v>
      </c>
      <c r="C636">
        <v>2017</v>
      </c>
      <c r="D636" s="1">
        <v>475000</v>
      </c>
      <c r="E636">
        <v>42000</v>
      </c>
      <c r="F636" t="s">
        <v>9</v>
      </c>
      <c r="G636" t="s">
        <v>10</v>
      </c>
      <c r="H636" t="s">
        <v>11</v>
      </c>
      <c r="I636" t="s">
        <v>12</v>
      </c>
      <c r="J636">
        <f t="shared" si="18"/>
        <v>9</v>
      </c>
      <c r="K636" t="str">
        <f t="shared" si="19"/>
        <v>Budget</v>
      </c>
    </row>
    <row r="637" spans="2:11" x14ac:dyDescent="0.25">
      <c r="B637" t="s">
        <v>84</v>
      </c>
      <c r="C637">
        <v>2015</v>
      </c>
      <c r="D637" s="1">
        <v>325000</v>
      </c>
      <c r="E637">
        <v>100000</v>
      </c>
      <c r="F637" t="s">
        <v>15</v>
      </c>
      <c r="G637" t="s">
        <v>10</v>
      </c>
      <c r="H637" t="s">
        <v>11</v>
      </c>
      <c r="I637" t="s">
        <v>12</v>
      </c>
      <c r="J637">
        <f t="shared" si="18"/>
        <v>11</v>
      </c>
      <c r="K637" t="str">
        <f t="shared" si="19"/>
        <v>Budget</v>
      </c>
    </row>
    <row r="638" spans="2:11" x14ac:dyDescent="0.25">
      <c r="B638" t="s">
        <v>415</v>
      </c>
      <c r="C638">
        <v>2016</v>
      </c>
      <c r="D638" s="1">
        <v>639000</v>
      </c>
      <c r="E638">
        <v>28205</v>
      </c>
      <c r="F638" t="s">
        <v>9</v>
      </c>
      <c r="G638" t="s">
        <v>27</v>
      </c>
      <c r="H638" t="s">
        <v>11</v>
      </c>
      <c r="I638" t="s">
        <v>12</v>
      </c>
      <c r="J638">
        <f t="shared" si="18"/>
        <v>10</v>
      </c>
      <c r="K638" t="str">
        <f t="shared" si="19"/>
        <v>Mid Range</v>
      </c>
    </row>
    <row r="639" spans="2:11" x14ac:dyDescent="0.25">
      <c r="B639" t="s">
        <v>471</v>
      </c>
      <c r="C639">
        <v>2017</v>
      </c>
      <c r="D639" s="1">
        <v>415000</v>
      </c>
      <c r="E639">
        <v>32670</v>
      </c>
      <c r="F639" t="s">
        <v>9</v>
      </c>
      <c r="G639" t="s">
        <v>27</v>
      </c>
      <c r="H639" t="s">
        <v>28</v>
      </c>
      <c r="I639" t="s">
        <v>12</v>
      </c>
      <c r="J639">
        <f t="shared" si="18"/>
        <v>9</v>
      </c>
      <c r="K639" t="str">
        <f t="shared" si="19"/>
        <v>Budget</v>
      </c>
    </row>
    <row r="640" spans="2:11" x14ac:dyDescent="0.25">
      <c r="B640" t="s">
        <v>472</v>
      </c>
      <c r="C640">
        <v>2016</v>
      </c>
      <c r="D640" s="1">
        <v>1199000</v>
      </c>
      <c r="E640">
        <v>30093</v>
      </c>
      <c r="F640" t="s">
        <v>15</v>
      </c>
      <c r="G640" t="s">
        <v>27</v>
      </c>
      <c r="H640" t="s">
        <v>28</v>
      </c>
      <c r="I640" t="s">
        <v>12</v>
      </c>
      <c r="J640">
        <f t="shared" si="18"/>
        <v>10</v>
      </c>
      <c r="K640" t="str">
        <f t="shared" si="19"/>
        <v>Premium</v>
      </c>
    </row>
    <row r="641" spans="2:11" x14ac:dyDescent="0.25">
      <c r="B641" t="s">
        <v>473</v>
      </c>
      <c r="C641">
        <v>2013</v>
      </c>
      <c r="D641" s="1">
        <v>525000</v>
      </c>
      <c r="E641">
        <v>56228</v>
      </c>
      <c r="F641" t="s">
        <v>24</v>
      </c>
      <c r="G641" t="s">
        <v>27</v>
      </c>
      <c r="H641" t="s">
        <v>11</v>
      </c>
      <c r="I641" t="s">
        <v>12</v>
      </c>
      <c r="J641">
        <f t="shared" si="18"/>
        <v>13</v>
      </c>
      <c r="K641" t="str">
        <f t="shared" si="19"/>
        <v>Mid Range</v>
      </c>
    </row>
    <row r="642" spans="2:11" x14ac:dyDescent="0.25">
      <c r="B642" t="s">
        <v>474</v>
      </c>
      <c r="C642">
        <v>2013</v>
      </c>
      <c r="D642" s="1">
        <v>425000</v>
      </c>
      <c r="E642">
        <v>59319</v>
      </c>
      <c r="F642" t="s">
        <v>9</v>
      </c>
      <c r="G642" t="s">
        <v>27</v>
      </c>
      <c r="H642" t="s">
        <v>11</v>
      </c>
      <c r="I642" t="s">
        <v>12</v>
      </c>
      <c r="J642">
        <f t="shared" si="18"/>
        <v>13</v>
      </c>
      <c r="K642" t="str">
        <f t="shared" si="19"/>
        <v>Budget</v>
      </c>
    </row>
    <row r="643" spans="2:11" x14ac:dyDescent="0.25">
      <c r="B643" t="s">
        <v>146</v>
      </c>
      <c r="C643">
        <v>2016</v>
      </c>
      <c r="D643" s="1">
        <v>699000</v>
      </c>
      <c r="E643">
        <v>39503</v>
      </c>
      <c r="F643" t="s">
        <v>15</v>
      </c>
      <c r="G643" t="s">
        <v>27</v>
      </c>
      <c r="H643" t="s">
        <v>11</v>
      </c>
      <c r="I643" t="s">
        <v>12</v>
      </c>
      <c r="J643">
        <f t="shared" si="18"/>
        <v>10</v>
      </c>
      <c r="K643" t="str">
        <f t="shared" si="19"/>
        <v>Mid Range</v>
      </c>
    </row>
    <row r="644" spans="2:11" x14ac:dyDescent="0.25">
      <c r="B644" t="s">
        <v>475</v>
      </c>
      <c r="C644">
        <v>2013</v>
      </c>
      <c r="D644" s="1">
        <v>325000</v>
      </c>
      <c r="E644">
        <v>35299</v>
      </c>
      <c r="F644" t="s">
        <v>9</v>
      </c>
      <c r="G644" t="s">
        <v>27</v>
      </c>
      <c r="H644" t="s">
        <v>11</v>
      </c>
      <c r="I644" t="s">
        <v>12</v>
      </c>
      <c r="J644">
        <f t="shared" si="18"/>
        <v>13</v>
      </c>
      <c r="K644" t="str">
        <f t="shared" si="19"/>
        <v>Budget</v>
      </c>
    </row>
    <row r="645" spans="2:11" x14ac:dyDescent="0.25">
      <c r="B645" t="s">
        <v>476</v>
      </c>
      <c r="C645">
        <v>2011</v>
      </c>
      <c r="D645" s="1">
        <v>275000</v>
      </c>
      <c r="E645">
        <v>51687</v>
      </c>
      <c r="F645" t="s">
        <v>9</v>
      </c>
      <c r="G645" t="s">
        <v>27</v>
      </c>
      <c r="H645" t="s">
        <v>11</v>
      </c>
      <c r="I645" t="s">
        <v>12</v>
      </c>
      <c r="J645">
        <f t="shared" si="18"/>
        <v>15</v>
      </c>
      <c r="K645" t="str">
        <f t="shared" si="19"/>
        <v>Budget</v>
      </c>
    </row>
    <row r="646" spans="2:11" x14ac:dyDescent="0.25">
      <c r="B646" t="s">
        <v>477</v>
      </c>
      <c r="C646">
        <v>2011</v>
      </c>
      <c r="D646" s="1">
        <v>269000</v>
      </c>
      <c r="E646">
        <v>76259</v>
      </c>
      <c r="F646" t="s">
        <v>9</v>
      </c>
      <c r="G646" t="s">
        <v>27</v>
      </c>
      <c r="H646" t="s">
        <v>28</v>
      </c>
      <c r="I646" t="s">
        <v>12</v>
      </c>
      <c r="J646">
        <f t="shared" ref="J646:J709" si="20">2026 - C646</f>
        <v>15</v>
      </c>
      <c r="K646" t="str">
        <f t="shared" ref="K646:K709" si="21">IF(D646&lt;500000,"Budget",IF(D646&lt;=1000000,"Mid Range","Premium"))</f>
        <v>Budget</v>
      </c>
    </row>
    <row r="647" spans="2:11" x14ac:dyDescent="0.25">
      <c r="B647" t="s">
        <v>478</v>
      </c>
      <c r="C647">
        <v>2013</v>
      </c>
      <c r="D647" s="1">
        <v>399000</v>
      </c>
      <c r="E647">
        <v>44049</v>
      </c>
      <c r="F647" t="s">
        <v>15</v>
      </c>
      <c r="G647" t="s">
        <v>27</v>
      </c>
      <c r="H647" t="s">
        <v>11</v>
      </c>
      <c r="I647" t="s">
        <v>12</v>
      </c>
      <c r="J647">
        <f t="shared" si="20"/>
        <v>13</v>
      </c>
      <c r="K647" t="str">
        <f t="shared" si="21"/>
        <v>Budget</v>
      </c>
    </row>
    <row r="648" spans="2:11" x14ac:dyDescent="0.25">
      <c r="B648" t="s">
        <v>479</v>
      </c>
      <c r="C648">
        <v>2017</v>
      </c>
      <c r="D648" s="1">
        <v>475000</v>
      </c>
      <c r="E648">
        <v>45087</v>
      </c>
      <c r="F648" t="s">
        <v>15</v>
      </c>
      <c r="G648" t="s">
        <v>27</v>
      </c>
      <c r="H648" t="s">
        <v>11</v>
      </c>
      <c r="I648" t="s">
        <v>12</v>
      </c>
      <c r="J648">
        <f t="shared" si="20"/>
        <v>9</v>
      </c>
      <c r="K648" t="str">
        <f t="shared" si="21"/>
        <v>Budget</v>
      </c>
    </row>
    <row r="649" spans="2:11" x14ac:dyDescent="0.25">
      <c r="B649" t="s">
        <v>476</v>
      </c>
      <c r="C649">
        <v>2011</v>
      </c>
      <c r="D649" s="1">
        <v>249000</v>
      </c>
      <c r="E649">
        <v>41125</v>
      </c>
      <c r="F649" t="s">
        <v>9</v>
      </c>
      <c r="G649" t="s">
        <v>27</v>
      </c>
      <c r="H649" t="s">
        <v>11</v>
      </c>
      <c r="I649" t="s">
        <v>12</v>
      </c>
      <c r="J649">
        <f t="shared" si="20"/>
        <v>15</v>
      </c>
      <c r="K649" t="str">
        <f t="shared" si="21"/>
        <v>Budget</v>
      </c>
    </row>
    <row r="650" spans="2:11" x14ac:dyDescent="0.25">
      <c r="B650" t="s">
        <v>480</v>
      </c>
      <c r="C650">
        <v>2014</v>
      </c>
      <c r="D650" s="1">
        <v>1549000</v>
      </c>
      <c r="E650">
        <v>42215</v>
      </c>
      <c r="F650" t="s">
        <v>15</v>
      </c>
      <c r="G650" t="s">
        <v>27</v>
      </c>
      <c r="H650" t="s">
        <v>28</v>
      </c>
      <c r="I650" t="s">
        <v>12</v>
      </c>
      <c r="J650">
        <f t="shared" si="20"/>
        <v>12</v>
      </c>
      <c r="K650" t="str">
        <f t="shared" si="21"/>
        <v>Premium</v>
      </c>
    </row>
    <row r="651" spans="2:11" x14ac:dyDescent="0.25">
      <c r="B651" t="s">
        <v>481</v>
      </c>
      <c r="C651">
        <v>2011</v>
      </c>
      <c r="D651" s="1">
        <v>254999</v>
      </c>
      <c r="E651">
        <v>54206</v>
      </c>
      <c r="F651" t="s">
        <v>9</v>
      </c>
      <c r="G651" t="s">
        <v>27</v>
      </c>
      <c r="H651" t="s">
        <v>11</v>
      </c>
      <c r="I651" t="s">
        <v>12</v>
      </c>
      <c r="J651">
        <f t="shared" si="20"/>
        <v>15</v>
      </c>
      <c r="K651" t="str">
        <f t="shared" si="21"/>
        <v>Budget</v>
      </c>
    </row>
    <row r="652" spans="2:11" x14ac:dyDescent="0.25">
      <c r="B652" t="s">
        <v>482</v>
      </c>
      <c r="C652">
        <v>2012</v>
      </c>
      <c r="D652" s="1">
        <v>269000</v>
      </c>
      <c r="E652">
        <v>52547</v>
      </c>
      <c r="F652" t="s">
        <v>9</v>
      </c>
      <c r="G652" t="s">
        <v>27</v>
      </c>
      <c r="H652" t="s">
        <v>11</v>
      </c>
      <c r="I652" t="s">
        <v>12</v>
      </c>
      <c r="J652">
        <f t="shared" si="20"/>
        <v>14</v>
      </c>
      <c r="K652" t="str">
        <f t="shared" si="21"/>
        <v>Budget</v>
      </c>
    </row>
    <row r="653" spans="2:11" x14ac:dyDescent="0.25">
      <c r="B653" t="s">
        <v>483</v>
      </c>
      <c r="C653">
        <v>2014</v>
      </c>
      <c r="D653" s="1">
        <v>665000</v>
      </c>
      <c r="E653">
        <v>59110</v>
      </c>
      <c r="F653" t="s">
        <v>15</v>
      </c>
      <c r="G653" t="s">
        <v>27</v>
      </c>
      <c r="H653" t="s">
        <v>11</v>
      </c>
      <c r="I653" t="s">
        <v>12</v>
      </c>
      <c r="J653">
        <f t="shared" si="20"/>
        <v>12</v>
      </c>
      <c r="K653" t="str">
        <f t="shared" si="21"/>
        <v>Mid Range</v>
      </c>
    </row>
    <row r="654" spans="2:11" x14ac:dyDescent="0.25">
      <c r="B654" t="s">
        <v>484</v>
      </c>
      <c r="C654">
        <v>2014</v>
      </c>
      <c r="D654" s="1">
        <v>299000</v>
      </c>
      <c r="E654">
        <v>54565</v>
      </c>
      <c r="F654" t="s">
        <v>9</v>
      </c>
      <c r="G654" t="s">
        <v>27</v>
      </c>
      <c r="H654" t="s">
        <v>11</v>
      </c>
      <c r="I654" t="s">
        <v>12</v>
      </c>
      <c r="J654">
        <f t="shared" si="20"/>
        <v>12</v>
      </c>
      <c r="K654" t="str">
        <f t="shared" si="21"/>
        <v>Budget</v>
      </c>
    </row>
    <row r="655" spans="2:11" x14ac:dyDescent="0.25">
      <c r="B655" t="s">
        <v>173</v>
      </c>
      <c r="C655">
        <v>2010</v>
      </c>
      <c r="D655" s="1">
        <v>265000</v>
      </c>
      <c r="E655">
        <v>47564</v>
      </c>
      <c r="F655" t="s">
        <v>9</v>
      </c>
      <c r="G655" t="s">
        <v>27</v>
      </c>
      <c r="H655" t="s">
        <v>11</v>
      </c>
      <c r="I655" t="s">
        <v>18</v>
      </c>
      <c r="J655">
        <f t="shared" si="20"/>
        <v>16</v>
      </c>
      <c r="K655" t="str">
        <f t="shared" si="21"/>
        <v>Budget</v>
      </c>
    </row>
    <row r="656" spans="2:11" x14ac:dyDescent="0.25">
      <c r="B656" t="s">
        <v>481</v>
      </c>
      <c r="C656">
        <v>2010</v>
      </c>
      <c r="D656" s="1">
        <v>211000</v>
      </c>
      <c r="E656">
        <v>45143</v>
      </c>
      <c r="F656" t="s">
        <v>9</v>
      </c>
      <c r="G656" t="s">
        <v>27</v>
      </c>
      <c r="H656" t="s">
        <v>11</v>
      </c>
      <c r="I656" t="s">
        <v>18</v>
      </c>
      <c r="J656">
        <f t="shared" si="20"/>
        <v>16</v>
      </c>
      <c r="K656" t="str">
        <f t="shared" si="21"/>
        <v>Budget</v>
      </c>
    </row>
    <row r="657" spans="2:11" x14ac:dyDescent="0.25">
      <c r="B657" t="s">
        <v>485</v>
      </c>
      <c r="C657">
        <v>2013</v>
      </c>
      <c r="D657" s="1">
        <v>599000</v>
      </c>
      <c r="E657">
        <v>61624</v>
      </c>
      <c r="F657" t="s">
        <v>9</v>
      </c>
      <c r="G657" t="s">
        <v>27</v>
      </c>
      <c r="H657" t="s">
        <v>28</v>
      </c>
      <c r="I657" t="s">
        <v>18</v>
      </c>
      <c r="J657">
        <f t="shared" si="20"/>
        <v>13</v>
      </c>
      <c r="K657" t="str">
        <f t="shared" si="21"/>
        <v>Mid Range</v>
      </c>
    </row>
    <row r="658" spans="2:11" x14ac:dyDescent="0.25">
      <c r="B658" t="s">
        <v>486</v>
      </c>
      <c r="C658">
        <v>2007</v>
      </c>
      <c r="D658" s="1">
        <v>55000</v>
      </c>
      <c r="E658">
        <v>195000</v>
      </c>
      <c r="F658" t="s">
        <v>15</v>
      </c>
      <c r="G658" t="s">
        <v>10</v>
      </c>
      <c r="H658" t="s">
        <v>11</v>
      </c>
      <c r="I658" t="s">
        <v>49</v>
      </c>
      <c r="J658">
        <f t="shared" si="20"/>
        <v>19</v>
      </c>
      <c r="K658" t="str">
        <f t="shared" si="21"/>
        <v>Budget</v>
      </c>
    </row>
    <row r="659" spans="2:11" x14ac:dyDescent="0.25">
      <c r="B659" t="s">
        <v>243</v>
      </c>
      <c r="C659">
        <v>2014</v>
      </c>
      <c r="D659" s="1">
        <v>550000</v>
      </c>
      <c r="E659">
        <v>50000</v>
      </c>
      <c r="F659" t="s">
        <v>15</v>
      </c>
      <c r="G659" t="s">
        <v>10</v>
      </c>
      <c r="H659" t="s">
        <v>11</v>
      </c>
      <c r="I659" t="s">
        <v>12</v>
      </c>
      <c r="J659">
        <f t="shared" si="20"/>
        <v>12</v>
      </c>
      <c r="K659" t="str">
        <f t="shared" si="21"/>
        <v>Mid Range</v>
      </c>
    </row>
    <row r="660" spans="2:11" x14ac:dyDescent="0.25">
      <c r="B660" t="s">
        <v>487</v>
      </c>
      <c r="C660">
        <v>2018</v>
      </c>
      <c r="D660" s="1">
        <v>4000000</v>
      </c>
      <c r="E660">
        <v>68000</v>
      </c>
      <c r="F660" t="s">
        <v>15</v>
      </c>
      <c r="G660" t="s">
        <v>10</v>
      </c>
      <c r="H660" t="s">
        <v>28</v>
      </c>
      <c r="I660" t="s">
        <v>12</v>
      </c>
      <c r="J660">
        <f t="shared" si="20"/>
        <v>8</v>
      </c>
      <c r="K660" t="str">
        <f t="shared" si="21"/>
        <v>Premium</v>
      </c>
    </row>
    <row r="661" spans="2:11" x14ac:dyDescent="0.25">
      <c r="B661" t="s">
        <v>488</v>
      </c>
      <c r="C661">
        <v>2010</v>
      </c>
      <c r="D661" s="1">
        <v>220000</v>
      </c>
      <c r="E661">
        <v>120000</v>
      </c>
      <c r="F661" t="s">
        <v>15</v>
      </c>
      <c r="G661" t="s">
        <v>10</v>
      </c>
      <c r="H661" t="s">
        <v>11</v>
      </c>
      <c r="I661" t="s">
        <v>18</v>
      </c>
      <c r="J661">
        <f t="shared" si="20"/>
        <v>16</v>
      </c>
      <c r="K661" t="str">
        <f t="shared" si="21"/>
        <v>Budget</v>
      </c>
    </row>
    <row r="662" spans="2:11" x14ac:dyDescent="0.25">
      <c r="B662" t="s">
        <v>443</v>
      </c>
      <c r="C662">
        <v>2019</v>
      </c>
      <c r="D662" s="1">
        <v>500000</v>
      </c>
      <c r="E662">
        <v>20000</v>
      </c>
      <c r="F662" t="s">
        <v>9</v>
      </c>
      <c r="G662" t="s">
        <v>10</v>
      </c>
      <c r="H662" t="s">
        <v>11</v>
      </c>
      <c r="I662" t="s">
        <v>12</v>
      </c>
      <c r="J662">
        <f t="shared" si="20"/>
        <v>7</v>
      </c>
      <c r="K662" t="str">
        <f t="shared" si="21"/>
        <v>Mid Range</v>
      </c>
    </row>
    <row r="663" spans="2:11" x14ac:dyDescent="0.25">
      <c r="B663" t="s">
        <v>58</v>
      </c>
      <c r="C663">
        <v>2010</v>
      </c>
      <c r="D663" s="1">
        <v>140000</v>
      </c>
      <c r="E663">
        <v>30000</v>
      </c>
      <c r="F663" t="s">
        <v>9</v>
      </c>
      <c r="G663" t="s">
        <v>10</v>
      </c>
      <c r="H663" t="s">
        <v>11</v>
      </c>
      <c r="I663" t="s">
        <v>12</v>
      </c>
      <c r="J663">
        <f t="shared" si="20"/>
        <v>16</v>
      </c>
      <c r="K663" t="str">
        <f t="shared" si="21"/>
        <v>Budget</v>
      </c>
    </row>
    <row r="664" spans="2:11" x14ac:dyDescent="0.25">
      <c r="B664" t="s">
        <v>354</v>
      </c>
      <c r="C664">
        <v>2013</v>
      </c>
      <c r="D664" s="1">
        <v>325000</v>
      </c>
      <c r="E664">
        <v>60000</v>
      </c>
      <c r="F664" t="s">
        <v>15</v>
      </c>
      <c r="G664" t="s">
        <v>10</v>
      </c>
      <c r="H664" t="s">
        <v>11</v>
      </c>
      <c r="I664" t="s">
        <v>12</v>
      </c>
      <c r="J664">
        <f t="shared" si="20"/>
        <v>13</v>
      </c>
      <c r="K664" t="str">
        <f t="shared" si="21"/>
        <v>Budget</v>
      </c>
    </row>
    <row r="665" spans="2:11" x14ac:dyDescent="0.25">
      <c r="B665" t="s">
        <v>489</v>
      </c>
      <c r="C665">
        <v>2010</v>
      </c>
      <c r="D665" s="1">
        <v>210000</v>
      </c>
      <c r="E665">
        <v>90000</v>
      </c>
      <c r="F665" t="s">
        <v>9</v>
      </c>
      <c r="G665" t="s">
        <v>10</v>
      </c>
      <c r="H665" t="s">
        <v>11</v>
      </c>
      <c r="I665" t="s">
        <v>49</v>
      </c>
      <c r="J665">
        <f t="shared" si="20"/>
        <v>16</v>
      </c>
      <c r="K665" t="str">
        <f t="shared" si="21"/>
        <v>Budget</v>
      </c>
    </row>
    <row r="666" spans="2:11" x14ac:dyDescent="0.25">
      <c r="B666" t="s">
        <v>58</v>
      </c>
      <c r="C666">
        <v>2008</v>
      </c>
      <c r="D666" s="1">
        <v>110000</v>
      </c>
      <c r="E666">
        <v>90000</v>
      </c>
      <c r="F666" t="s">
        <v>9</v>
      </c>
      <c r="G666" t="s">
        <v>10</v>
      </c>
      <c r="H666" t="s">
        <v>11</v>
      </c>
      <c r="I666" t="s">
        <v>18</v>
      </c>
      <c r="J666">
        <f t="shared" si="20"/>
        <v>18</v>
      </c>
      <c r="K666" t="str">
        <f t="shared" si="21"/>
        <v>Budget</v>
      </c>
    </row>
    <row r="667" spans="2:11" x14ac:dyDescent="0.25">
      <c r="B667" t="s">
        <v>490</v>
      </c>
      <c r="C667">
        <v>2019</v>
      </c>
      <c r="D667" s="1">
        <v>1200000</v>
      </c>
      <c r="E667">
        <v>25000</v>
      </c>
      <c r="F667" t="s">
        <v>15</v>
      </c>
      <c r="G667" t="s">
        <v>10</v>
      </c>
      <c r="H667" t="s">
        <v>11</v>
      </c>
      <c r="I667" t="s">
        <v>12</v>
      </c>
      <c r="J667">
        <f t="shared" si="20"/>
        <v>7</v>
      </c>
      <c r="K667" t="str">
        <f t="shared" si="21"/>
        <v>Premium</v>
      </c>
    </row>
    <row r="668" spans="2:11" x14ac:dyDescent="0.25">
      <c r="B668" t="s">
        <v>241</v>
      </c>
      <c r="C668">
        <v>2017</v>
      </c>
      <c r="D668" s="1">
        <v>229999</v>
      </c>
      <c r="E668">
        <v>40000</v>
      </c>
      <c r="F668" t="s">
        <v>9</v>
      </c>
      <c r="G668" t="s">
        <v>10</v>
      </c>
      <c r="H668" t="s">
        <v>11</v>
      </c>
      <c r="I668" t="s">
        <v>12</v>
      </c>
      <c r="J668">
        <f t="shared" si="20"/>
        <v>9</v>
      </c>
      <c r="K668" t="str">
        <f t="shared" si="21"/>
        <v>Budget</v>
      </c>
    </row>
    <row r="669" spans="2:11" x14ac:dyDescent="0.25">
      <c r="B669" t="s">
        <v>249</v>
      </c>
      <c r="C669">
        <v>2006</v>
      </c>
      <c r="D669" s="1">
        <v>165000</v>
      </c>
      <c r="E669">
        <v>132000</v>
      </c>
      <c r="F669" t="s">
        <v>9</v>
      </c>
      <c r="G669" t="s">
        <v>10</v>
      </c>
      <c r="H669" t="s">
        <v>11</v>
      </c>
      <c r="I669" t="s">
        <v>12</v>
      </c>
      <c r="J669">
        <f t="shared" si="20"/>
        <v>20</v>
      </c>
      <c r="K669" t="str">
        <f t="shared" si="21"/>
        <v>Budget</v>
      </c>
    </row>
    <row r="670" spans="2:11" x14ac:dyDescent="0.25">
      <c r="B670" t="s">
        <v>491</v>
      </c>
      <c r="C670">
        <v>2018</v>
      </c>
      <c r="D670" s="1">
        <v>525000</v>
      </c>
      <c r="E670">
        <v>10980</v>
      </c>
      <c r="F670" t="s">
        <v>9</v>
      </c>
      <c r="G670" t="s">
        <v>27</v>
      </c>
      <c r="H670" t="s">
        <v>28</v>
      </c>
      <c r="I670" t="s">
        <v>12</v>
      </c>
      <c r="J670">
        <f t="shared" si="20"/>
        <v>8</v>
      </c>
      <c r="K670" t="str">
        <f t="shared" si="21"/>
        <v>Mid Range</v>
      </c>
    </row>
    <row r="671" spans="2:11" x14ac:dyDescent="0.25">
      <c r="B671" t="s">
        <v>136</v>
      </c>
      <c r="C671">
        <v>2018</v>
      </c>
      <c r="D671" s="1">
        <v>325000</v>
      </c>
      <c r="E671">
        <v>20629</v>
      </c>
      <c r="F671" t="s">
        <v>9</v>
      </c>
      <c r="G671" t="s">
        <v>27</v>
      </c>
      <c r="H671" t="s">
        <v>11</v>
      </c>
      <c r="I671" t="s">
        <v>12</v>
      </c>
      <c r="J671">
        <f t="shared" si="20"/>
        <v>8</v>
      </c>
      <c r="K671" t="str">
        <f t="shared" si="21"/>
        <v>Budget</v>
      </c>
    </row>
    <row r="672" spans="2:11" x14ac:dyDescent="0.25">
      <c r="B672" t="s">
        <v>492</v>
      </c>
      <c r="C672">
        <v>2018</v>
      </c>
      <c r="D672" s="1">
        <v>1500000</v>
      </c>
      <c r="E672">
        <v>50000</v>
      </c>
      <c r="F672" t="s">
        <v>15</v>
      </c>
      <c r="G672" t="s">
        <v>10</v>
      </c>
      <c r="H672" t="s">
        <v>11</v>
      </c>
      <c r="I672" t="s">
        <v>12</v>
      </c>
      <c r="J672">
        <f t="shared" si="20"/>
        <v>8</v>
      </c>
      <c r="K672" t="str">
        <f t="shared" si="21"/>
        <v>Premium</v>
      </c>
    </row>
    <row r="673" spans="2:11" x14ac:dyDescent="0.25">
      <c r="B673" t="s">
        <v>493</v>
      </c>
      <c r="C673">
        <v>2015</v>
      </c>
      <c r="D673" s="1">
        <v>400000</v>
      </c>
      <c r="E673">
        <v>30000</v>
      </c>
      <c r="F673" t="s">
        <v>9</v>
      </c>
      <c r="G673" t="s">
        <v>10</v>
      </c>
      <c r="H673" t="s">
        <v>28</v>
      </c>
      <c r="I673" t="s">
        <v>12</v>
      </c>
      <c r="J673">
        <f t="shared" si="20"/>
        <v>11</v>
      </c>
      <c r="K673" t="str">
        <f t="shared" si="21"/>
        <v>Budget</v>
      </c>
    </row>
    <row r="674" spans="2:11" x14ac:dyDescent="0.25">
      <c r="B674" t="s">
        <v>494</v>
      </c>
      <c r="C674">
        <v>2015</v>
      </c>
      <c r="D674" s="1">
        <v>550000</v>
      </c>
      <c r="E674">
        <v>69782</v>
      </c>
      <c r="F674" t="s">
        <v>9</v>
      </c>
      <c r="G674" t="s">
        <v>27</v>
      </c>
      <c r="H674" t="s">
        <v>11</v>
      </c>
      <c r="I674" t="s">
        <v>12</v>
      </c>
      <c r="J674">
        <f t="shared" si="20"/>
        <v>11</v>
      </c>
      <c r="K674" t="str">
        <f t="shared" si="21"/>
        <v>Mid Range</v>
      </c>
    </row>
    <row r="675" spans="2:11" x14ac:dyDescent="0.25">
      <c r="B675" t="s">
        <v>134</v>
      </c>
      <c r="C675">
        <v>2003</v>
      </c>
      <c r="D675" s="1">
        <v>98000</v>
      </c>
      <c r="E675">
        <v>54000</v>
      </c>
      <c r="F675" t="s">
        <v>9</v>
      </c>
      <c r="G675" t="s">
        <v>10</v>
      </c>
      <c r="H675" t="s">
        <v>11</v>
      </c>
      <c r="I675" t="s">
        <v>12</v>
      </c>
      <c r="J675">
        <f t="shared" si="20"/>
        <v>23</v>
      </c>
      <c r="K675" t="str">
        <f t="shared" si="21"/>
        <v>Budget</v>
      </c>
    </row>
    <row r="676" spans="2:11" x14ac:dyDescent="0.25">
      <c r="B676" t="s">
        <v>495</v>
      </c>
      <c r="C676">
        <v>2013</v>
      </c>
      <c r="D676" s="1">
        <v>900000</v>
      </c>
      <c r="E676">
        <v>63654</v>
      </c>
      <c r="F676" t="s">
        <v>15</v>
      </c>
      <c r="G676" t="s">
        <v>27</v>
      </c>
      <c r="H676" t="s">
        <v>11</v>
      </c>
      <c r="I676" t="s">
        <v>12</v>
      </c>
      <c r="J676">
        <f t="shared" si="20"/>
        <v>13</v>
      </c>
      <c r="K676" t="str">
        <f t="shared" si="21"/>
        <v>Mid Range</v>
      </c>
    </row>
    <row r="677" spans="2:11" x14ac:dyDescent="0.25">
      <c r="B677" t="s">
        <v>496</v>
      </c>
      <c r="C677">
        <v>2017</v>
      </c>
      <c r="D677" s="1">
        <v>700000</v>
      </c>
      <c r="E677">
        <v>60000</v>
      </c>
      <c r="F677" t="s">
        <v>15</v>
      </c>
      <c r="G677" t="s">
        <v>10</v>
      </c>
      <c r="H677" t="s">
        <v>11</v>
      </c>
      <c r="I677" t="s">
        <v>12</v>
      </c>
      <c r="J677">
        <f t="shared" si="20"/>
        <v>9</v>
      </c>
      <c r="K677" t="str">
        <f t="shared" si="21"/>
        <v>Mid Range</v>
      </c>
    </row>
    <row r="678" spans="2:11" x14ac:dyDescent="0.25">
      <c r="B678" t="s">
        <v>497</v>
      </c>
      <c r="C678">
        <v>2015</v>
      </c>
      <c r="D678" s="1">
        <v>890000</v>
      </c>
      <c r="E678">
        <v>52000</v>
      </c>
      <c r="F678" t="s">
        <v>15</v>
      </c>
      <c r="G678" t="s">
        <v>27</v>
      </c>
      <c r="H678" t="s">
        <v>11</v>
      </c>
      <c r="I678" t="s">
        <v>12</v>
      </c>
      <c r="J678">
        <f t="shared" si="20"/>
        <v>11</v>
      </c>
      <c r="K678" t="str">
        <f t="shared" si="21"/>
        <v>Mid Range</v>
      </c>
    </row>
    <row r="679" spans="2:11" x14ac:dyDescent="0.25">
      <c r="B679" t="s">
        <v>498</v>
      </c>
      <c r="C679">
        <v>2015</v>
      </c>
      <c r="D679" s="1">
        <v>490000</v>
      </c>
      <c r="E679">
        <v>59385</v>
      </c>
      <c r="F679" t="s">
        <v>15</v>
      </c>
      <c r="G679" t="s">
        <v>27</v>
      </c>
      <c r="H679" t="s">
        <v>11</v>
      </c>
      <c r="I679" t="s">
        <v>12</v>
      </c>
      <c r="J679">
        <f t="shared" si="20"/>
        <v>11</v>
      </c>
      <c r="K679" t="str">
        <f t="shared" si="21"/>
        <v>Budget</v>
      </c>
    </row>
    <row r="680" spans="2:11" x14ac:dyDescent="0.25">
      <c r="B680" t="s">
        <v>499</v>
      </c>
      <c r="C680">
        <v>2015</v>
      </c>
      <c r="D680" s="1">
        <v>525000</v>
      </c>
      <c r="E680">
        <v>70378</v>
      </c>
      <c r="F680" t="s">
        <v>9</v>
      </c>
      <c r="G680" t="s">
        <v>27</v>
      </c>
      <c r="H680" t="s">
        <v>11</v>
      </c>
      <c r="I680" t="s">
        <v>12</v>
      </c>
      <c r="J680">
        <f t="shared" si="20"/>
        <v>11</v>
      </c>
      <c r="K680" t="str">
        <f t="shared" si="21"/>
        <v>Mid Range</v>
      </c>
    </row>
    <row r="681" spans="2:11" x14ac:dyDescent="0.25">
      <c r="B681" t="s">
        <v>500</v>
      </c>
      <c r="C681">
        <v>2013</v>
      </c>
      <c r="D681" s="1">
        <v>330000</v>
      </c>
      <c r="E681">
        <v>55425</v>
      </c>
      <c r="F681" t="s">
        <v>9</v>
      </c>
      <c r="G681" t="s">
        <v>27</v>
      </c>
      <c r="H681" t="s">
        <v>11</v>
      </c>
      <c r="I681" t="s">
        <v>12</v>
      </c>
      <c r="J681">
        <f t="shared" si="20"/>
        <v>13</v>
      </c>
      <c r="K681" t="str">
        <f t="shared" si="21"/>
        <v>Budget</v>
      </c>
    </row>
    <row r="682" spans="2:11" x14ac:dyDescent="0.25">
      <c r="B682" t="s">
        <v>501</v>
      </c>
      <c r="C682">
        <v>2013</v>
      </c>
      <c r="D682" s="1">
        <v>550000</v>
      </c>
      <c r="E682">
        <v>78413</v>
      </c>
      <c r="F682" t="s">
        <v>15</v>
      </c>
      <c r="G682" t="s">
        <v>27</v>
      </c>
      <c r="H682" t="s">
        <v>11</v>
      </c>
      <c r="I682" t="s">
        <v>18</v>
      </c>
      <c r="J682">
        <f t="shared" si="20"/>
        <v>13</v>
      </c>
      <c r="K682" t="str">
        <f t="shared" si="21"/>
        <v>Mid Range</v>
      </c>
    </row>
    <row r="683" spans="2:11" x14ac:dyDescent="0.25">
      <c r="B683" t="s">
        <v>105</v>
      </c>
      <c r="C683">
        <v>2018</v>
      </c>
      <c r="D683" s="1">
        <v>790000</v>
      </c>
      <c r="E683">
        <v>40890</v>
      </c>
      <c r="F683" t="s">
        <v>15</v>
      </c>
      <c r="G683" t="s">
        <v>27</v>
      </c>
      <c r="H683" t="s">
        <v>11</v>
      </c>
      <c r="I683" t="s">
        <v>12</v>
      </c>
      <c r="J683">
        <f t="shared" si="20"/>
        <v>8</v>
      </c>
      <c r="K683" t="str">
        <f t="shared" si="21"/>
        <v>Mid Range</v>
      </c>
    </row>
    <row r="684" spans="2:11" x14ac:dyDescent="0.25">
      <c r="B684" t="s">
        <v>87</v>
      </c>
      <c r="C684">
        <v>2015</v>
      </c>
      <c r="D684" s="1">
        <v>350000</v>
      </c>
      <c r="E684">
        <v>34823</v>
      </c>
      <c r="F684" t="s">
        <v>9</v>
      </c>
      <c r="G684" t="s">
        <v>27</v>
      </c>
      <c r="H684" t="s">
        <v>11</v>
      </c>
      <c r="I684" t="s">
        <v>18</v>
      </c>
      <c r="J684">
        <f t="shared" si="20"/>
        <v>11</v>
      </c>
      <c r="K684" t="str">
        <f t="shared" si="21"/>
        <v>Budget</v>
      </c>
    </row>
    <row r="685" spans="2:11" x14ac:dyDescent="0.25">
      <c r="B685" t="s">
        <v>502</v>
      </c>
      <c r="C685">
        <v>2017</v>
      </c>
      <c r="D685" s="1">
        <v>1700000</v>
      </c>
      <c r="E685">
        <v>75000</v>
      </c>
      <c r="F685" t="s">
        <v>15</v>
      </c>
      <c r="G685" t="s">
        <v>10</v>
      </c>
      <c r="H685" t="s">
        <v>28</v>
      </c>
      <c r="I685" t="s">
        <v>12</v>
      </c>
      <c r="J685">
        <f t="shared" si="20"/>
        <v>9</v>
      </c>
      <c r="K685" t="str">
        <f t="shared" si="21"/>
        <v>Premium</v>
      </c>
    </row>
    <row r="686" spans="2:11" x14ac:dyDescent="0.25">
      <c r="B686" t="s">
        <v>503</v>
      </c>
      <c r="C686">
        <v>2017</v>
      </c>
      <c r="D686" s="1">
        <v>750000</v>
      </c>
      <c r="E686">
        <v>55545</v>
      </c>
      <c r="F686" t="s">
        <v>15</v>
      </c>
      <c r="G686" t="s">
        <v>27</v>
      </c>
      <c r="H686" t="s">
        <v>11</v>
      </c>
      <c r="I686" t="s">
        <v>12</v>
      </c>
      <c r="J686">
        <f t="shared" si="20"/>
        <v>9</v>
      </c>
      <c r="K686" t="str">
        <f t="shared" si="21"/>
        <v>Mid Range</v>
      </c>
    </row>
    <row r="687" spans="2:11" x14ac:dyDescent="0.25">
      <c r="B687" t="s">
        <v>394</v>
      </c>
      <c r="C687">
        <v>2014</v>
      </c>
      <c r="D687" s="1">
        <v>409999</v>
      </c>
      <c r="E687">
        <v>56541</v>
      </c>
      <c r="F687" t="s">
        <v>15</v>
      </c>
      <c r="G687" t="s">
        <v>27</v>
      </c>
      <c r="H687" t="s">
        <v>11</v>
      </c>
      <c r="I687" t="s">
        <v>12</v>
      </c>
      <c r="J687">
        <f t="shared" si="20"/>
        <v>12</v>
      </c>
      <c r="K687" t="str">
        <f t="shared" si="21"/>
        <v>Budget</v>
      </c>
    </row>
    <row r="688" spans="2:11" x14ac:dyDescent="0.25">
      <c r="B688" t="s">
        <v>68</v>
      </c>
      <c r="C688">
        <v>2016</v>
      </c>
      <c r="D688" s="1">
        <v>220000</v>
      </c>
      <c r="E688">
        <v>43700</v>
      </c>
      <c r="F688" t="s">
        <v>9</v>
      </c>
      <c r="G688" t="s">
        <v>10</v>
      </c>
      <c r="H688" t="s">
        <v>11</v>
      </c>
      <c r="I688" t="s">
        <v>12</v>
      </c>
      <c r="J688">
        <f t="shared" si="20"/>
        <v>10</v>
      </c>
      <c r="K688" t="str">
        <f t="shared" si="21"/>
        <v>Budget</v>
      </c>
    </row>
    <row r="689" spans="2:11" x14ac:dyDescent="0.25">
      <c r="B689" t="s">
        <v>504</v>
      </c>
      <c r="C689">
        <v>2009</v>
      </c>
      <c r="D689" s="1">
        <v>68000</v>
      </c>
      <c r="E689">
        <v>120000</v>
      </c>
      <c r="F689" t="s">
        <v>9</v>
      </c>
      <c r="G689" t="s">
        <v>10</v>
      </c>
      <c r="H689" t="s">
        <v>11</v>
      </c>
      <c r="I689" t="s">
        <v>18</v>
      </c>
      <c r="J689">
        <f t="shared" si="20"/>
        <v>17</v>
      </c>
      <c r="K689" t="str">
        <f t="shared" si="21"/>
        <v>Budget</v>
      </c>
    </row>
    <row r="690" spans="2:11" x14ac:dyDescent="0.25">
      <c r="B690" t="s">
        <v>136</v>
      </c>
      <c r="C690">
        <v>2017</v>
      </c>
      <c r="D690" s="1">
        <v>290000</v>
      </c>
      <c r="E690">
        <v>20000</v>
      </c>
      <c r="F690" t="s">
        <v>9</v>
      </c>
      <c r="G690" t="s">
        <v>10</v>
      </c>
      <c r="H690" t="s">
        <v>11</v>
      </c>
      <c r="I690" t="s">
        <v>12</v>
      </c>
      <c r="J690">
        <f t="shared" si="20"/>
        <v>9</v>
      </c>
      <c r="K690" t="str">
        <f t="shared" si="21"/>
        <v>Budget</v>
      </c>
    </row>
    <row r="691" spans="2:11" x14ac:dyDescent="0.25">
      <c r="B691" t="s">
        <v>505</v>
      </c>
      <c r="C691">
        <v>2014</v>
      </c>
      <c r="D691" s="1">
        <v>600000</v>
      </c>
      <c r="E691">
        <v>27483</v>
      </c>
      <c r="F691" t="s">
        <v>15</v>
      </c>
      <c r="G691" t="s">
        <v>27</v>
      </c>
      <c r="H691" t="s">
        <v>11</v>
      </c>
      <c r="I691" t="s">
        <v>12</v>
      </c>
      <c r="J691">
        <f t="shared" si="20"/>
        <v>12</v>
      </c>
      <c r="K691" t="str">
        <f t="shared" si="21"/>
        <v>Mid Range</v>
      </c>
    </row>
    <row r="692" spans="2:11" x14ac:dyDescent="0.25">
      <c r="B692" t="s">
        <v>506</v>
      </c>
      <c r="C692">
        <v>2019</v>
      </c>
      <c r="D692" s="1">
        <v>470000</v>
      </c>
      <c r="E692">
        <v>8000</v>
      </c>
      <c r="F692" t="s">
        <v>9</v>
      </c>
      <c r="G692" t="s">
        <v>10</v>
      </c>
      <c r="H692" t="s">
        <v>11</v>
      </c>
      <c r="I692" t="s">
        <v>12</v>
      </c>
      <c r="J692">
        <f t="shared" si="20"/>
        <v>7</v>
      </c>
      <c r="K692" t="str">
        <f t="shared" si="21"/>
        <v>Budget</v>
      </c>
    </row>
    <row r="693" spans="2:11" x14ac:dyDescent="0.25">
      <c r="B693" t="s">
        <v>80</v>
      </c>
      <c r="C693">
        <v>2008</v>
      </c>
      <c r="D693" s="1">
        <v>150000</v>
      </c>
      <c r="E693">
        <v>30000</v>
      </c>
      <c r="F693" t="s">
        <v>9</v>
      </c>
      <c r="G693" t="s">
        <v>10</v>
      </c>
      <c r="H693" t="s">
        <v>11</v>
      </c>
      <c r="I693" t="s">
        <v>12</v>
      </c>
      <c r="J693">
        <f t="shared" si="20"/>
        <v>18</v>
      </c>
      <c r="K693" t="str">
        <f t="shared" si="21"/>
        <v>Budget</v>
      </c>
    </row>
    <row r="694" spans="2:11" x14ac:dyDescent="0.25">
      <c r="B694" t="s">
        <v>249</v>
      </c>
      <c r="C694">
        <v>2014</v>
      </c>
      <c r="D694" s="1">
        <v>180000</v>
      </c>
      <c r="E694">
        <v>56207</v>
      </c>
      <c r="F694" t="s">
        <v>9</v>
      </c>
      <c r="G694" t="s">
        <v>27</v>
      </c>
      <c r="H694" t="s">
        <v>11</v>
      </c>
      <c r="I694" t="s">
        <v>18</v>
      </c>
      <c r="J694">
        <f t="shared" si="20"/>
        <v>12</v>
      </c>
      <c r="K694" t="str">
        <f t="shared" si="21"/>
        <v>Budget</v>
      </c>
    </row>
    <row r="695" spans="2:11" x14ac:dyDescent="0.25">
      <c r="B695" t="s">
        <v>507</v>
      </c>
      <c r="C695">
        <v>2006</v>
      </c>
      <c r="D695" s="1">
        <v>80000</v>
      </c>
      <c r="E695">
        <v>70000</v>
      </c>
      <c r="F695" t="s">
        <v>9</v>
      </c>
      <c r="G695" t="s">
        <v>10</v>
      </c>
      <c r="H695" t="s">
        <v>11</v>
      </c>
      <c r="I695" t="s">
        <v>12</v>
      </c>
      <c r="J695">
        <f t="shared" si="20"/>
        <v>20</v>
      </c>
      <c r="K695" t="str">
        <f t="shared" si="21"/>
        <v>Budget</v>
      </c>
    </row>
    <row r="696" spans="2:11" x14ac:dyDescent="0.25">
      <c r="B696" t="s">
        <v>508</v>
      </c>
      <c r="C696">
        <v>2018</v>
      </c>
      <c r="D696" s="1">
        <v>875000</v>
      </c>
      <c r="E696">
        <v>1440</v>
      </c>
      <c r="F696" t="s">
        <v>9</v>
      </c>
      <c r="G696" t="s">
        <v>10</v>
      </c>
      <c r="H696" t="s">
        <v>11</v>
      </c>
      <c r="I696" t="s">
        <v>12</v>
      </c>
      <c r="J696">
        <f t="shared" si="20"/>
        <v>8</v>
      </c>
      <c r="K696" t="str">
        <f t="shared" si="21"/>
        <v>Mid Range</v>
      </c>
    </row>
    <row r="697" spans="2:11" x14ac:dyDescent="0.25">
      <c r="B697" t="s">
        <v>249</v>
      </c>
      <c r="C697">
        <v>2019</v>
      </c>
      <c r="D697" s="1">
        <v>300000</v>
      </c>
      <c r="E697">
        <v>50000</v>
      </c>
      <c r="F697" t="s">
        <v>9</v>
      </c>
      <c r="G697" t="s">
        <v>10</v>
      </c>
      <c r="H697" t="s">
        <v>11</v>
      </c>
      <c r="I697" t="s">
        <v>12</v>
      </c>
      <c r="J697">
        <f t="shared" si="20"/>
        <v>7</v>
      </c>
      <c r="K697" t="str">
        <f t="shared" si="21"/>
        <v>Budget</v>
      </c>
    </row>
    <row r="698" spans="2:11" x14ac:dyDescent="0.25">
      <c r="B698" t="s">
        <v>509</v>
      </c>
      <c r="C698">
        <v>2017</v>
      </c>
      <c r="D698" s="1">
        <v>2800000</v>
      </c>
      <c r="E698">
        <v>20000</v>
      </c>
      <c r="F698" t="s">
        <v>15</v>
      </c>
      <c r="G698" t="s">
        <v>10</v>
      </c>
      <c r="H698" t="s">
        <v>28</v>
      </c>
      <c r="I698" t="s">
        <v>12</v>
      </c>
      <c r="J698">
        <f t="shared" si="20"/>
        <v>9</v>
      </c>
      <c r="K698" t="str">
        <f t="shared" si="21"/>
        <v>Premium</v>
      </c>
    </row>
    <row r="699" spans="2:11" x14ac:dyDescent="0.25">
      <c r="B699" t="s">
        <v>510</v>
      </c>
      <c r="C699">
        <v>2017</v>
      </c>
      <c r="D699" s="1">
        <v>1330000</v>
      </c>
      <c r="E699">
        <v>91195</v>
      </c>
      <c r="F699" t="s">
        <v>15</v>
      </c>
      <c r="G699" t="s">
        <v>27</v>
      </c>
      <c r="H699" t="s">
        <v>11</v>
      </c>
      <c r="I699" t="s">
        <v>12</v>
      </c>
      <c r="J699">
        <f t="shared" si="20"/>
        <v>9</v>
      </c>
      <c r="K699" t="str">
        <f t="shared" si="21"/>
        <v>Premium</v>
      </c>
    </row>
    <row r="700" spans="2:11" x14ac:dyDescent="0.25">
      <c r="B700" t="s">
        <v>511</v>
      </c>
      <c r="C700">
        <v>2011</v>
      </c>
      <c r="D700" s="1">
        <v>220000</v>
      </c>
      <c r="E700">
        <v>63657</v>
      </c>
      <c r="F700" t="s">
        <v>15</v>
      </c>
      <c r="G700" t="s">
        <v>27</v>
      </c>
      <c r="H700" t="s">
        <v>11</v>
      </c>
      <c r="I700" t="s">
        <v>12</v>
      </c>
      <c r="J700">
        <f t="shared" si="20"/>
        <v>15</v>
      </c>
      <c r="K700" t="str">
        <f t="shared" si="21"/>
        <v>Budget</v>
      </c>
    </row>
    <row r="701" spans="2:11" x14ac:dyDescent="0.25">
      <c r="B701" t="s">
        <v>512</v>
      </c>
      <c r="C701">
        <v>2013</v>
      </c>
      <c r="D701" s="1">
        <v>250000</v>
      </c>
      <c r="E701">
        <v>60000</v>
      </c>
      <c r="F701" t="s">
        <v>15</v>
      </c>
      <c r="G701" t="s">
        <v>10</v>
      </c>
      <c r="H701" t="s">
        <v>11</v>
      </c>
      <c r="I701" t="s">
        <v>12</v>
      </c>
      <c r="J701">
        <f t="shared" si="20"/>
        <v>13</v>
      </c>
      <c r="K701" t="str">
        <f t="shared" si="21"/>
        <v>Budget</v>
      </c>
    </row>
    <row r="702" spans="2:11" x14ac:dyDescent="0.25">
      <c r="B702" t="s">
        <v>42</v>
      </c>
      <c r="C702">
        <v>2016</v>
      </c>
      <c r="D702" s="1">
        <v>919999</v>
      </c>
      <c r="E702">
        <v>75000</v>
      </c>
      <c r="F702" t="s">
        <v>15</v>
      </c>
      <c r="G702" t="s">
        <v>27</v>
      </c>
      <c r="H702" t="s">
        <v>11</v>
      </c>
      <c r="I702" t="s">
        <v>12</v>
      </c>
      <c r="J702">
        <f t="shared" si="20"/>
        <v>10</v>
      </c>
      <c r="K702" t="str">
        <f t="shared" si="21"/>
        <v>Mid Range</v>
      </c>
    </row>
    <row r="703" spans="2:11" x14ac:dyDescent="0.25">
      <c r="B703" t="s">
        <v>513</v>
      </c>
      <c r="C703">
        <v>2013</v>
      </c>
      <c r="D703" s="1">
        <v>380000</v>
      </c>
      <c r="E703">
        <v>97248</v>
      </c>
      <c r="F703" t="s">
        <v>9</v>
      </c>
      <c r="G703" t="s">
        <v>27</v>
      </c>
      <c r="H703" t="s">
        <v>11</v>
      </c>
      <c r="I703" t="s">
        <v>12</v>
      </c>
      <c r="J703">
        <f t="shared" si="20"/>
        <v>13</v>
      </c>
      <c r="K703" t="str">
        <f t="shared" si="21"/>
        <v>Budget</v>
      </c>
    </row>
    <row r="704" spans="2:11" x14ac:dyDescent="0.25">
      <c r="B704" t="s">
        <v>354</v>
      </c>
      <c r="C704">
        <v>2012</v>
      </c>
      <c r="D704" s="1">
        <v>450000</v>
      </c>
      <c r="E704">
        <v>46000</v>
      </c>
      <c r="F704" t="s">
        <v>15</v>
      </c>
      <c r="G704" t="s">
        <v>10</v>
      </c>
      <c r="H704" t="s">
        <v>11</v>
      </c>
      <c r="I704" t="s">
        <v>12</v>
      </c>
      <c r="J704">
        <f t="shared" si="20"/>
        <v>14</v>
      </c>
      <c r="K704" t="str">
        <f t="shared" si="21"/>
        <v>Budget</v>
      </c>
    </row>
    <row r="705" spans="2:11" x14ac:dyDescent="0.25">
      <c r="B705" t="s">
        <v>115</v>
      </c>
      <c r="C705">
        <v>2016</v>
      </c>
      <c r="D705" s="1">
        <v>770000</v>
      </c>
      <c r="E705">
        <v>10000</v>
      </c>
      <c r="F705" t="s">
        <v>9</v>
      </c>
      <c r="G705" t="s">
        <v>10</v>
      </c>
      <c r="H705" t="s">
        <v>28</v>
      </c>
      <c r="I705" t="s">
        <v>12</v>
      </c>
      <c r="J705">
        <f t="shared" si="20"/>
        <v>10</v>
      </c>
      <c r="K705" t="str">
        <f t="shared" si="21"/>
        <v>Mid Range</v>
      </c>
    </row>
    <row r="706" spans="2:11" x14ac:dyDescent="0.25">
      <c r="B706" t="s">
        <v>514</v>
      </c>
      <c r="C706">
        <v>2018</v>
      </c>
      <c r="D706" s="1">
        <v>550000</v>
      </c>
      <c r="E706">
        <v>80000</v>
      </c>
      <c r="F706" t="s">
        <v>15</v>
      </c>
      <c r="G706" t="s">
        <v>10</v>
      </c>
      <c r="H706" t="s">
        <v>11</v>
      </c>
      <c r="I706" t="s">
        <v>12</v>
      </c>
      <c r="J706">
        <f t="shared" si="20"/>
        <v>8</v>
      </c>
      <c r="K706" t="str">
        <f t="shared" si="21"/>
        <v>Mid Range</v>
      </c>
    </row>
    <row r="707" spans="2:11" x14ac:dyDescent="0.25">
      <c r="B707" t="s">
        <v>515</v>
      </c>
      <c r="C707">
        <v>2011</v>
      </c>
      <c r="D707" s="1">
        <v>320000</v>
      </c>
      <c r="E707">
        <v>100000</v>
      </c>
      <c r="F707" t="s">
        <v>15</v>
      </c>
      <c r="G707" t="s">
        <v>10</v>
      </c>
      <c r="H707" t="s">
        <v>11</v>
      </c>
      <c r="I707" t="s">
        <v>18</v>
      </c>
      <c r="J707">
        <f t="shared" si="20"/>
        <v>15</v>
      </c>
      <c r="K707" t="str">
        <f t="shared" si="21"/>
        <v>Budget</v>
      </c>
    </row>
    <row r="708" spans="2:11" x14ac:dyDescent="0.25">
      <c r="B708" t="s">
        <v>421</v>
      </c>
      <c r="C708">
        <v>2013</v>
      </c>
      <c r="D708" s="1">
        <v>400000</v>
      </c>
      <c r="E708">
        <v>35000</v>
      </c>
      <c r="F708" t="s">
        <v>9</v>
      </c>
      <c r="G708" t="s">
        <v>10</v>
      </c>
      <c r="H708" t="s">
        <v>11</v>
      </c>
      <c r="I708" t="s">
        <v>12</v>
      </c>
      <c r="J708">
        <f t="shared" si="20"/>
        <v>13</v>
      </c>
      <c r="K708" t="str">
        <f t="shared" si="21"/>
        <v>Budget</v>
      </c>
    </row>
    <row r="709" spans="2:11" x14ac:dyDescent="0.25">
      <c r="B709" t="s">
        <v>471</v>
      </c>
      <c r="C709">
        <v>2017</v>
      </c>
      <c r="D709" s="1">
        <v>450000</v>
      </c>
      <c r="E709">
        <v>50000</v>
      </c>
      <c r="F709" t="s">
        <v>9</v>
      </c>
      <c r="G709" t="s">
        <v>10</v>
      </c>
      <c r="H709" t="s">
        <v>28</v>
      </c>
      <c r="I709" t="s">
        <v>12</v>
      </c>
      <c r="J709">
        <f t="shared" si="20"/>
        <v>9</v>
      </c>
      <c r="K709" t="str">
        <f t="shared" si="21"/>
        <v>Budget</v>
      </c>
    </row>
    <row r="710" spans="2:11" x14ac:dyDescent="0.25">
      <c r="B710" t="s">
        <v>516</v>
      </c>
      <c r="C710">
        <v>2011</v>
      </c>
      <c r="D710" s="1">
        <v>220000</v>
      </c>
      <c r="E710">
        <v>90000</v>
      </c>
      <c r="F710" t="s">
        <v>15</v>
      </c>
      <c r="G710" t="s">
        <v>10</v>
      </c>
      <c r="H710" t="s">
        <v>11</v>
      </c>
      <c r="I710" t="s">
        <v>49</v>
      </c>
      <c r="J710">
        <f t="shared" ref="J710:J773" si="22">2026 - C710</f>
        <v>15</v>
      </c>
      <c r="K710" t="str">
        <f t="shared" ref="K710:K773" si="23">IF(D710&lt;500000,"Budget",IF(D710&lt;=1000000,"Mid Range","Premium"))</f>
        <v>Budget</v>
      </c>
    </row>
    <row r="711" spans="2:11" x14ac:dyDescent="0.25">
      <c r="B711" t="s">
        <v>90</v>
      </c>
      <c r="C711">
        <v>2012</v>
      </c>
      <c r="D711" s="1">
        <v>400000</v>
      </c>
      <c r="E711">
        <v>150000</v>
      </c>
      <c r="F711" t="s">
        <v>15</v>
      </c>
      <c r="G711" t="s">
        <v>10</v>
      </c>
      <c r="H711" t="s">
        <v>11</v>
      </c>
      <c r="I711" t="s">
        <v>18</v>
      </c>
      <c r="J711">
        <f t="shared" si="22"/>
        <v>14</v>
      </c>
      <c r="K711" t="str">
        <f t="shared" si="23"/>
        <v>Budget</v>
      </c>
    </row>
    <row r="712" spans="2:11" x14ac:dyDescent="0.25">
      <c r="B712" t="s">
        <v>517</v>
      </c>
      <c r="C712">
        <v>2013</v>
      </c>
      <c r="D712" s="1">
        <v>530000</v>
      </c>
      <c r="E712">
        <v>89000</v>
      </c>
      <c r="F712" t="s">
        <v>9</v>
      </c>
      <c r="G712" t="s">
        <v>10</v>
      </c>
      <c r="H712" t="s">
        <v>11</v>
      </c>
      <c r="I712" t="s">
        <v>18</v>
      </c>
      <c r="J712">
        <f t="shared" si="22"/>
        <v>13</v>
      </c>
      <c r="K712" t="str">
        <f t="shared" si="23"/>
        <v>Mid Range</v>
      </c>
    </row>
    <row r="713" spans="2:11" x14ac:dyDescent="0.25">
      <c r="B713" t="s">
        <v>114</v>
      </c>
      <c r="C713">
        <v>2014</v>
      </c>
      <c r="D713" s="1">
        <v>390000</v>
      </c>
      <c r="E713">
        <v>60000</v>
      </c>
      <c r="F713" t="s">
        <v>15</v>
      </c>
      <c r="G713" t="s">
        <v>10</v>
      </c>
      <c r="H713" t="s">
        <v>11</v>
      </c>
      <c r="I713" t="s">
        <v>18</v>
      </c>
      <c r="J713">
        <f t="shared" si="22"/>
        <v>12</v>
      </c>
      <c r="K713" t="str">
        <f t="shared" si="23"/>
        <v>Budget</v>
      </c>
    </row>
    <row r="714" spans="2:11" x14ac:dyDescent="0.25">
      <c r="B714" t="s">
        <v>518</v>
      </c>
      <c r="C714">
        <v>2012</v>
      </c>
      <c r="D714" s="1">
        <v>185000</v>
      </c>
      <c r="E714">
        <v>100000</v>
      </c>
      <c r="F714" t="s">
        <v>15</v>
      </c>
      <c r="G714" t="s">
        <v>10</v>
      </c>
      <c r="H714" t="s">
        <v>11</v>
      </c>
      <c r="I714" t="s">
        <v>18</v>
      </c>
      <c r="J714">
        <f t="shared" si="22"/>
        <v>14</v>
      </c>
      <c r="K714" t="str">
        <f t="shared" si="23"/>
        <v>Budget</v>
      </c>
    </row>
    <row r="715" spans="2:11" x14ac:dyDescent="0.25">
      <c r="B715" t="s">
        <v>421</v>
      </c>
      <c r="C715">
        <v>2012</v>
      </c>
      <c r="D715" s="1">
        <v>300000</v>
      </c>
      <c r="E715">
        <v>100000</v>
      </c>
      <c r="F715" t="s">
        <v>9</v>
      </c>
      <c r="G715" t="s">
        <v>10</v>
      </c>
      <c r="H715" t="s">
        <v>11</v>
      </c>
      <c r="I715" t="s">
        <v>18</v>
      </c>
      <c r="J715">
        <f t="shared" si="22"/>
        <v>14</v>
      </c>
      <c r="K715" t="str">
        <f t="shared" si="23"/>
        <v>Budget</v>
      </c>
    </row>
    <row r="716" spans="2:11" x14ac:dyDescent="0.25">
      <c r="B716" t="s">
        <v>162</v>
      </c>
      <c r="C716">
        <v>2014</v>
      </c>
      <c r="D716" s="1">
        <v>575000</v>
      </c>
      <c r="E716">
        <v>90000</v>
      </c>
      <c r="F716" t="s">
        <v>15</v>
      </c>
      <c r="G716" t="s">
        <v>10</v>
      </c>
      <c r="H716" t="s">
        <v>11</v>
      </c>
      <c r="I716" t="s">
        <v>18</v>
      </c>
      <c r="J716">
        <f t="shared" si="22"/>
        <v>12</v>
      </c>
      <c r="K716" t="str">
        <f t="shared" si="23"/>
        <v>Mid Range</v>
      </c>
    </row>
    <row r="717" spans="2:11" x14ac:dyDescent="0.25">
      <c r="B717" t="s">
        <v>519</v>
      </c>
      <c r="C717">
        <v>2014</v>
      </c>
      <c r="D717" s="1">
        <v>300000</v>
      </c>
      <c r="E717">
        <v>75000</v>
      </c>
      <c r="F717" t="s">
        <v>9</v>
      </c>
      <c r="G717" t="s">
        <v>10</v>
      </c>
      <c r="H717" t="s">
        <v>11</v>
      </c>
      <c r="I717" t="s">
        <v>12</v>
      </c>
      <c r="J717">
        <f t="shared" si="22"/>
        <v>12</v>
      </c>
      <c r="K717" t="str">
        <f t="shared" si="23"/>
        <v>Budget</v>
      </c>
    </row>
    <row r="718" spans="2:11" x14ac:dyDescent="0.25">
      <c r="B718" t="s">
        <v>520</v>
      </c>
      <c r="C718">
        <v>2017</v>
      </c>
      <c r="D718" s="1">
        <v>425000</v>
      </c>
      <c r="E718">
        <v>36000</v>
      </c>
      <c r="F718" t="s">
        <v>15</v>
      </c>
      <c r="G718" t="s">
        <v>27</v>
      </c>
      <c r="H718" t="s">
        <v>11</v>
      </c>
      <c r="I718" t="s">
        <v>12</v>
      </c>
      <c r="J718">
        <f t="shared" si="22"/>
        <v>9</v>
      </c>
      <c r="K718" t="str">
        <f t="shared" si="23"/>
        <v>Budget</v>
      </c>
    </row>
    <row r="719" spans="2:11" x14ac:dyDescent="0.25">
      <c r="B719" t="s">
        <v>521</v>
      </c>
      <c r="C719">
        <v>2016</v>
      </c>
      <c r="D719" s="1">
        <v>350000</v>
      </c>
      <c r="E719">
        <v>12000</v>
      </c>
      <c r="F719" t="s">
        <v>9</v>
      </c>
      <c r="G719" t="s">
        <v>10</v>
      </c>
      <c r="H719" t="s">
        <v>11</v>
      </c>
      <c r="I719" t="s">
        <v>12</v>
      </c>
      <c r="J719">
        <f t="shared" si="22"/>
        <v>10</v>
      </c>
      <c r="K719" t="str">
        <f t="shared" si="23"/>
        <v>Budget</v>
      </c>
    </row>
    <row r="720" spans="2:11" x14ac:dyDescent="0.25">
      <c r="B720" t="s">
        <v>522</v>
      </c>
      <c r="C720">
        <v>2017</v>
      </c>
      <c r="D720" s="1">
        <v>550000</v>
      </c>
      <c r="E720">
        <v>12997</v>
      </c>
      <c r="F720" t="s">
        <v>15</v>
      </c>
      <c r="G720" t="s">
        <v>27</v>
      </c>
      <c r="H720" t="s">
        <v>11</v>
      </c>
      <c r="I720" t="s">
        <v>12</v>
      </c>
      <c r="J720">
        <f t="shared" si="22"/>
        <v>9</v>
      </c>
      <c r="K720" t="str">
        <f t="shared" si="23"/>
        <v>Mid Range</v>
      </c>
    </row>
    <row r="721" spans="2:11" x14ac:dyDescent="0.25">
      <c r="B721" t="s">
        <v>523</v>
      </c>
      <c r="C721">
        <v>2017</v>
      </c>
      <c r="D721" s="1">
        <v>500000</v>
      </c>
      <c r="E721">
        <v>40000</v>
      </c>
      <c r="F721" t="s">
        <v>9</v>
      </c>
      <c r="G721" t="s">
        <v>10</v>
      </c>
      <c r="H721" t="s">
        <v>28</v>
      </c>
      <c r="I721" t="s">
        <v>12</v>
      </c>
      <c r="J721">
        <f t="shared" si="22"/>
        <v>9</v>
      </c>
      <c r="K721" t="str">
        <f t="shared" si="23"/>
        <v>Mid Range</v>
      </c>
    </row>
    <row r="722" spans="2:11" x14ac:dyDescent="0.25">
      <c r="B722" t="s">
        <v>524</v>
      </c>
      <c r="C722">
        <v>2015</v>
      </c>
      <c r="D722" s="1">
        <v>600000</v>
      </c>
      <c r="E722">
        <v>60000</v>
      </c>
      <c r="F722" t="s">
        <v>15</v>
      </c>
      <c r="G722" t="s">
        <v>10</v>
      </c>
      <c r="H722" t="s">
        <v>11</v>
      </c>
      <c r="I722" t="s">
        <v>12</v>
      </c>
      <c r="J722">
        <f t="shared" si="22"/>
        <v>11</v>
      </c>
      <c r="K722" t="str">
        <f t="shared" si="23"/>
        <v>Mid Range</v>
      </c>
    </row>
    <row r="723" spans="2:11" x14ac:dyDescent="0.25">
      <c r="B723" t="s">
        <v>149</v>
      </c>
      <c r="C723">
        <v>2013</v>
      </c>
      <c r="D723" s="1">
        <v>300000</v>
      </c>
      <c r="E723">
        <v>25000</v>
      </c>
      <c r="F723" t="s">
        <v>15</v>
      </c>
      <c r="G723" t="s">
        <v>10</v>
      </c>
      <c r="H723" t="s">
        <v>11</v>
      </c>
      <c r="I723" t="s">
        <v>18</v>
      </c>
      <c r="J723">
        <f t="shared" si="22"/>
        <v>13</v>
      </c>
      <c r="K723" t="str">
        <f t="shared" si="23"/>
        <v>Budget</v>
      </c>
    </row>
    <row r="724" spans="2:11" x14ac:dyDescent="0.25">
      <c r="B724" t="s">
        <v>490</v>
      </c>
      <c r="C724">
        <v>2018</v>
      </c>
      <c r="D724" s="1">
        <v>1150000</v>
      </c>
      <c r="E724">
        <v>26430</v>
      </c>
      <c r="F724" t="s">
        <v>15</v>
      </c>
      <c r="G724" t="s">
        <v>27</v>
      </c>
      <c r="H724" t="s">
        <v>11</v>
      </c>
      <c r="I724" t="s">
        <v>12</v>
      </c>
      <c r="J724">
        <f t="shared" si="22"/>
        <v>8</v>
      </c>
      <c r="K724" t="str">
        <f t="shared" si="23"/>
        <v>Premium</v>
      </c>
    </row>
    <row r="725" spans="2:11" x14ac:dyDescent="0.25">
      <c r="B725" t="s">
        <v>525</v>
      </c>
      <c r="C725">
        <v>2015</v>
      </c>
      <c r="D725" s="1">
        <v>475000</v>
      </c>
      <c r="E725">
        <v>24600</v>
      </c>
      <c r="F725" t="s">
        <v>9</v>
      </c>
      <c r="G725" t="s">
        <v>27</v>
      </c>
      <c r="H725" t="s">
        <v>11</v>
      </c>
      <c r="I725" t="s">
        <v>12</v>
      </c>
      <c r="J725">
        <f t="shared" si="22"/>
        <v>11</v>
      </c>
      <c r="K725" t="str">
        <f t="shared" si="23"/>
        <v>Budget</v>
      </c>
    </row>
    <row r="726" spans="2:11" x14ac:dyDescent="0.25">
      <c r="B726" t="s">
        <v>153</v>
      </c>
      <c r="C726">
        <v>2011</v>
      </c>
      <c r="D726" s="1">
        <v>260000</v>
      </c>
      <c r="E726">
        <v>28481</v>
      </c>
      <c r="F726" t="s">
        <v>9</v>
      </c>
      <c r="G726" t="s">
        <v>27</v>
      </c>
      <c r="H726" t="s">
        <v>11</v>
      </c>
      <c r="I726" t="s">
        <v>12</v>
      </c>
      <c r="J726">
        <f t="shared" si="22"/>
        <v>15</v>
      </c>
      <c r="K726" t="str">
        <f t="shared" si="23"/>
        <v>Budget</v>
      </c>
    </row>
    <row r="727" spans="2:11" x14ac:dyDescent="0.25">
      <c r="B727" t="s">
        <v>526</v>
      </c>
      <c r="C727">
        <v>2013</v>
      </c>
      <c r="D727" s="1">
        <v>350000</v>
      </c>
      <c r="E727">
        <v>100000</v>
      </c>
      <c r="F727" t="s">
        <v>9</v>
      </c>
      <c r="G727" t="s">
        <v>10</v>
      </c>
      <c r="H727" t="s">
        <v>11</v>
      </c>
      <c r="I727" t="s">
        <v>12</v>
      </c>
      <c r="J727">
        <f t="shared" si="22"/>
        <v>13</v>
      </c>
      <c r="K727" t="str">
        <f t="shared" si="23"/>
        <v>Budget</v>
      </c>
    </row>
    <row r="728" spans="2:11" x14ac:dyDescent="0.25">
      <c r="B728" t="s">
        <v>90</v>
      </c>
      <c r="C728">
        <v>2013</v>
      </c>
      <c r="D728" s="1">
        <v>750000</v>
      </c>
      <c r="E728">
        <v>41988</v>
      </c>
      <c r="F728" t="s">
        <v>15</v>
      </c>
      <c r="G728" t="s">
        <v>27</v>
      </c>
      <c r="H728" t="s">
        <v>11</v>
      </c>
      <c r="I728" t="s">
        <v>12</v>
      </c>
      <c r="J728">
        <f t="shared" si="22"/>
        <v>13</v>
      </c>
      <c r="K728" t="str">
        <f t="shared" si="23"/>
        <v>Mid Range</v>
      </c>
    </row>
    <row r="729" spans="2:11" x14ac:dyDescent="0.25">
      <c r="B729" t="s">
        <v>153</v>
      </c>
      <c r="C729">
        <v>2009</v>
      </c>
      <c r="D729" s="1">
        <v>180000</v>
      </c>
      <c r="E729">
        <v>30375</v>
      </c>
      <c r="F729" t="s">
        <v>9</v>
      </c>
      <c r="G729" t="s">
        <v>27</v>
      </c>
      <c r="H729" t="s">
        <v>11</v>
      </c>
      <c r="I729" t="s">
        <v>12</v>
      </c>
      <c r="J729">
        <f t="shared" si="22"/>
        <v>17</v>
      </c>
      <c r="K729" t="str">
        <f t="shared" si="23"/>
        <v>Budget</v>
      </c>
    </row>
    <row r="730" spans="2:11" x14ac:dyDescent="0.25">
      <c r="B730" t="s">
        <v>527</v>
      </c>
      <c r="C730">
        <v>2017</v>
      </c>
      <c r="D730" s="1">
        <v>350000</v>
      </c>
      <c r="E730">
        <v>7658</v>
      </c>
      <c r="F730" t="s">
        <v>9</v>
      </c>
      <c r="G730" t="s">
        <v>27</v>
      </c>
      <c r="H730" t="s">
        <v>28</v>
      </c>
      <c r="I730" t="s">
        <v>12</v>
      </c>
      <c r="J730">
        <f t="shared" si="22"/>
        <v>9</v>
      </c>
      <c r="K730" t="str">
        <f t="shared" si="23"/>
        <v>Budget</v>
      </c>
    </row>
    <row r="731" spans="2:11" x14ac:dyDescent="0.25">
      <c r="B731" t="s">
        <v>114</v>
      </c>
      <c r="C731">
        <v>2017</v>
      </c>
      <c r="D731" s="1">
        <v>611000</v>
      </c>
      <c r="E731">
        <v>34400</v>
      </c>
      <c r="F731" t="s">
        <v>15</v>
      </c>
      <c r="G731" t="s">
        <v>27</v>
      </c>
      <c r="H731" t="s">
        <v>11</v>
      </c>
      <c r="I731" t="s">
        <v>12</v>
      </c>
      <c r="J731">
        <f t="shared" si="22"/>
        <v>9</v>
      </c>
      <c r="K731" t="str">
        <f t="shared" si="23"/>
        <v>Mid Range</v>
      </c>
    </row>
    <row r="732" spans="2:11" x14ac:dyDescent="0.25">
      <c r="B732" t="s">
        <v>528</v>
      </c>
      <c r="C732">
        <v>2017</v>
      </c>
      <c r="D732" s="1">
        <v>325000</v>
      </c>
      <c r="E732">
        <v>18500</v>
      </c>
      <c r="F732" t="s">
        <v>9</v>
      </c>
      <c r="G732" t="s">
        <v>27</v>
      </c>
      <c r="H732" t="s">
        <v>11</v>
      </c>
      <c r="I732" t="s">
        <v>12</v>
      </c>
      <c r="J732">
        <f t="shared" si="22"/>
        <v>9</v>
      </c>
      <c r="K732" t="str">
        <f t="shared" si="23"/>
        <v>Budget</v>
      </c>
    </row>
    <row r="733" spans="2:11" x14ac:dyDescent="0.25">
      <c r="B733" t="s">
        <v>529</v>
      </c>
      <c r="C733">
        <v>2012</v>
      </c>
      <c r="D733" s="1">
        <v>225000</v>
      </c>
      <c r="E733">
        <v>48000</v>
      </c>
      <c r="F733" t="s">
        <v>9</v>
      </c>
      <c r="G733" t="s">
        <v>27</v>
      </c>
      <c r="H733" t="s">
        <v>11</v>
      </c>
      <c r="I733" t="s">
        <v>12</v>
      </c>
      <c r="J733">
        <f t="shared" si="22"/>
        <v>14</v>
      </c>
      <c r="K733" t="str">
        <f t="shared" si="23"/>
        <v>Budget</v>
      </c>
    </row>
    <row r="734" spans="2:11" x14ac:dyDescent="0.25">
      <c r="B734" t="s">
        <v>355</v>
      </c>
      <c r="C734">
        <v>2014</v>
      </c>
      <c r="D734" s="1">
        <v>300000</v>
      </c>
      <c r="E734">
        <v>28942</v>
      </c>
      <c r="F734" t="s">
        <v>9</v>
      </c>
      <c r="G734" t="s">
        <v>27</v>
      </c>
      <c r="H734" t="s">
        <v>28</v>
      </c>
      <c r="I734" t="s">
        <v>12</v>
      </c>
      <c r="J734">
        <f t="shared" si="22"/>
        <v>12</v>
      </c>
      <c r="K734" t="str">
        <f t="shared" si="23"/>
        <v>Budget</v>
      </c>
    </row>
    <row r="735" spans="2:11" x14ac:dyDescent="0.25">
      <c r="B735" t="s">
        <v>105</v>
      </c>
      <c r="C735">
        <v>2017</v>
      </c>
      <c r="D735" s="1">
        <v>400000</v>
      </c>
      <c r="E735">
        <v>50000</v>
      </c>
      <c r="F735" t="s">
        <v>15</v>
      </c>
      <c r="G735" t="s">
        <v>10</v>
      </c>
      <c r="H735" t="s">
        <v>11</v>
      </c>
      <c r="I735" t="s">
        <v>18</v>
      </c>
      <c r="J735">
        <f t="shared" si="22"/>
        <v>9</v>
      </c>
      <c r="K735" t="str">
        <f t="shared" si="23"/>
        <v>Budget</v>
      </c>
    </row>
    <row r="736" spans="2:11" x14ac:dyDescent="0.25">
      <c r="B736" t="s">
        <v>90</v>
      </c>
      <c r="C736">
        <v>2012</v>
      </c>
      <c r="D736" s="1">
        <v>711000</v>
      </c>
      <c r="E736">
        <v>53600</v>
      </c>
      <c r="F736" t="s">
        <v>15</v>
      </c>
      <c r="G736" t="s">
        <v>27</v>
      </c>
      <c r="H736" t="s">
        <v>11</v>
      </c>
      <c r="I736" t="s">
        <v>12</v>
      </c>
      <c r="J736">
        <f t="shared" si="22"/>
        <v>14</v>
      </c>
      <c r="K736" t="str">
        <f t="shared" si="23"/>
        <v>Mid Range</v>
      </c>
    </row>
    <row r="737" spans="2:11" x14ac:dyDescent="0.25">
      <c r="B737" t="s">
        <v>530</v>
      </c>
      <c r="C737">
        <v>2015</v>
      </c>
      <c r="D737" s="1">
        <v>851000</v>
      </c>
      <c r="E737">
        <v>53652</v>
      </c>
      <c r="F737" t="s">
        <v>15</v>
      </c>
      <c r="G737" t="s">
        <v>27</v>
      </c>
      <c r="H737" t="s">
        <v>11</v>
      </c>
      <c r="I737" t="s">
        <v>12</v>
      </c>
      <c r="J737">
        <f t="shared" si="22"/>
        <v>11</v>
      </c>
      <c r="K737" t="str">
        <f t="shared" si="23"/>
        <v>Mid Range</v>
      </c>
    </row>
    <row r="738" spans="2:11" x14ac:dyDescent="0.25">
      <c r="B738" t="s">
        <v>236</v>
      </c>
      <c r="C738">
        <v>2014</v>
      </c>
      <c r="D738" s="1">
        <v>500000</v>
      </c>
      <c r="E738">
        <v>25000</v>
      </c>
      <c r="F738" t="s">
        <v>9</v>
      </c>
      <c r="G738" t="s">
        <v>10</v>
      </c>
      <c r="H738" t="s">
        <v>11</v>
      </c>
      <c r="I738" t="s">
        <v>12</v>
      </c>
      <c r="J738">
        <f t="shared" si="22"/>
        <v>12</v>
      </c>
      <c r="K738" t="str">
        <f t="shared" si="23"/>
        <v>Mid Range</v>
      </c>
    </row>
    <row r="739" spans="2:11" x14ac:dyDescent="0.25">
      <c r="B739" t="s">
        <v>531</v>
      </c>
      <c r="C739">
        <v>2007</v>
      </c>
      <c r="D739" s="1">
        <v>250000</v>
      </c>
      <c r="E739">
        <v>80000</v>
      </c>
      <c r="F739" t="s">
        <v>15</v>
      </c>
      <c r="G739" t="s">
        <v>10</v>
      </c>
      <c r="H739" t="s">
        <v>11</v>
      </c>
      <c r="I739" t="s">
        <v>18</v>
      </c>
      <c r="J739">
        <f t="shared" si="22"/>
        <v>19</v>
      </c>
      <c r="K739" t="str">
        <f t="shared" si="23"/>
        <v>Budget</v>
      </c>
    </row>
    <row r="740" spans="2:11" x14ac:dyDescent="0.25">
      <c r="B740" t="s">
        <v>241</v>
      </c>
      <c r="C740">
        <v>2017</v>
      </c>
      <c r="D740" s="1">
        <v>150000</v>
      </c>
      <c r="E740">
        <v>50000</v>
      </c>
      <c r="F740" t="s">
        <v>9</v>
      </c>
      <c r="G740" t="s">
        <v>10</v>
      </c>
      <c r="H740" t="s">
        <v>11</v>
      </c>
      <c r="I740" t="s">
        <v>12</v>
      </c>
      <c r="J740">
        <f t="shared" si="22"/>
        <v>9</v>
      </c>
      <c r="K740" t="str">
        <f t="shared" si="23"/>
        <v>Budget</v>
      </c>
    </row>
    <row r="741" spans="2:11" x14ac:dyDescent="0.25">
      <c r="B741" t="s">
        <v>51</v>
      </c>
      <c r="C741">
        <v>2016</v>
      </c>
      <c r="D741" s="1">
        <v>610000</v>
      </c>
      <c r="E741">
        <v>15000</v>
      </c>
      <c r="F741" t="s">
        <v>15</v>
      </c>
      <c r="G741" t="s">
        <v>10</v>
      </c>
      <c r="H741" t="s">
        <v>11</v>
      </c>
      <c r="I741" t="s">
        <v>18</v>
      </c>
      <c r="J741">
        <f t="shared" si="22"/>
        <v>10</v>
      </c>
      <c r="K741" t="str">
        <f t="shared" si="23"/>
        <v>Mid Range</v>
      </c>
    </row>
    <row r="742" spans="2:11" x14ac:dyDescent="0.25">
      <c r="B742" t="s">
        <v>532</v>
      </c>
      <c r="C742">
        <v>2018</v>
      </c>
      <c r="D742" s="1">
        <v>450000</v>
      </c>
      <c r="E742">
        <v>5000</v>
      </c>
      <c r="F742" t="s">
        <v>9</v>
      </c>
      <c r="G742" t="s">
        <v>10</v>
      </c>
      <c r="H742" t="s">
        <v>11</v>
      </c>
      <c r="I742" t="s">
        <v>12</v>
      </c>
      <c r="J742">
        <f t="shared" si="22"/>
        <v>8</v>
      </c>
      <c r="K742" t="str">
        <f t="shared" si="23"/>
        <v>Budget</v>
      </c>
    </row>
    <row r="743" spans="2:11" x14ac:dyDescent="0.25">
      <c r="B743" t="s">
        <v>533</v>
      </c>
      <c r="C743">
        <v>2017</v>
      </c>
      <c r="D743" s="1">
        <v>744000</v>
      </c>
      <c r="E743">
        <v>106000</v>
      </c>
      <c r="F743" t="s">
        <v>15</v>
      </c>
      <c r="G743" t="s">
        <v>10</v>
      </c>
      <c r="H743" t="s">
        <v>11</v>
      </c>
      <c r="I743" t="s">
        <v>12</v>
      </c>
      <c r="J743">
        <f t="shared" si="22"/>
        <v>9</v>
      </c>
      <c r="K743" t="str">
        <f t="shared" si="23"/>
        <v>Mid Range</v>
      </c>
    </row>
    <row r="744" spans="2:11" x14ac:dyDescent="0.25">
      <c r="B744" t="s">
        <v>308</v>
      </c>
      <c r="C744">
        <v>2008</v>
      </c>
      <c r="D744" s="1">
        <v>120000</v>
      </c>
      <c r="E744">
        <v>100000</v>
      </c>
      <c r="F744" t="s">
        <v>9</v>
      </c>
      <c r="G744" t="s">
        <v>10</v>
      </c>
      <c r="H744" t="s">
        <v>11</v>
      </c>
      <c r="I744" t="s">
        <v>49</v>
      </c>
      <c r="J744">
        <f t="shared" si="22"/>
        <v>18</v>
      </c>
      <c r="K744" t="str">
        <f t="shared" si="23"/>
        <v>Budget</v>
      </c>
    </row>
    <row r="745" spans="2:11" x14ac:dyDescent="0.25">
      <c r="B745" t="s">
        <v>534</v>
      </c>
      <c r="C745">
        <v>2016</v>
      </c>
      <c r="D745" s="1">
        <v>220000</v>
      </c>
      <c r="E745">
        <v>60000</v>
      </c>
      <c r="F745" t="s">
        <v>9</v>
      </c>
      <c r="G745" t="s">
        <v>10</v>
      </c>
      <c r="H745" t="s">
        <v>11</v>
      </c>
      <c r="I745" t="s">
        <v>49</v>
      </c>
      <c r="J745">
        <f t="shared" si="22"/>
        <v>10</v>
      </c>
      <c r="K745" t="str">
        <f t="shared" si="23"/>
        <v>Budget</v>
      </c>
    </row>
    <row r="746" spans="2:11" x14ac:dyDescent="0.25">
      <c r="B746" t="s">
        <v>483</v>
      </c>
      <c r="C746">
        <v>2012</v>
      </c>
      <c r="D746" s="1">
        <v>480000</v>
      </c>
      <c r="E746">
        <v>120000</v>
      </c>
      <c r="F746" t="s">
        <v>15</v>
      </c>
      <c r="G746" t="s">
        <v>10</v>
      </c>
      <c r="H746" t="s">
        <v>11</v>
      </c>
      <c r="I746" t="s">
        <v>46</v>
      </c>
      <c r="J746">
        <f t="shared" si="22"/>
        <v>14</v>
      </c>
      <c r="K746" t="str">
        <f t="shared" si="23"/>
        <v>Budget</v>
      </c>
    </row>
    <row r="747" spans="2:11" x14ac:dyDescent="0.25">
      <c r="B747" t="s">
        <v>535</v>
      </c>
      <c r="C747">
        <v>2017</v>
      </c>
      <c r="D747" s="1">
        <v>370000</v>
      </c>
      <c r="E747">
        <v>82000</v>
      </c>
      <c r="F747" t="s">
        <v>9</v>
      </c>
      <c r="G747" t="s">
        <v>10</v>
      </c>
      <c r="H747" t="s">
        <v>28</v>
      </c>
      <c r="I747" t="s">
        <v>12</v>
      </c>
      <c r="J747">
        <f t="shared" si="22"/>
        <v>9</v>
      </c>
      <c r="K747" t="str">
        <f t="shared" si="23"/>
        <v>Budget</v>
      </c>
    </row>
    <row r="748" spans="2:11" x14ac:dyDescent="0.25">
      <c r="B748" t="s">
        <v>536</v>
      </c>
      <c r="C748">
        <v>2003</v>
      </c>
      <c r="D748" s="1">
        <v>55000</v>
      </c>
      <c r="E748">
        <v>35000</v>
      </c>
      <c r="F748" t="s">
        <v>15</v>
      </c>
      <c r="G748" t="s">
        <v>10</v>
      </c>
      <c r="H748" t="s">
        <v>11</v>
      </c>
      <c r="I748" t="s">
        <v>18</v>
      </c>
      <c r="J748">
        <f t="shared" si="22"/>
        <v>23</v>
      </c>
      <c r="K748" t="str">
        <f t="shared" si="23"/>
        <v>Budget</v>
      </c>
    </row>
    <row r="749" spans="2:11" x14ac:dyDescent="0.25">
      <c r="B749" t="s">
        <v>68</v>
      </c>
      <c r="C749">
        <v>2013</v>
      </c>
      <c r="D749" s="1">
        <v>125000</v>
      </c>
      <c r="E749">
        <v>205000</v>
      </c>
      <c r="F749" t="s">
        <v>9</v>
      </c>
      <c r="G749" t="s">
        <v>10</v>
      </c>
      <c r="H749" t="s">
        <v>11</v>
      </c>
      <c r="I749" t="s">
        <v>12</v>
      </c>
      <c r="J749">
        <f t="shared" si="22"/>
        <v>13</v>
      </c>
      <c r="K749" t="str">
        <f t="shared" si="23"/>
        <v>Budget</v>
      </c>
    </row>
    <row r="750" spans="2:11" x14ac:dyDescent="0.25">
      <c r="B750" t="s">
        <v>338</v>
      </c>
      <c r="C750">
        <v>2011</v>
      </c>
      <c r="D750" s="1">
        <v>260000</v>
      </c>
      <c r="E750">
        <v>125000</v>
      </c>
      <c r="F750" t="s">
        <v>15</v>
      </c>
      <c r="G750" t="s">
        <v>10</v>
      </c>
      <c r="H750" t="s">
        <v>11</v>
      </c>
      <c r="I750" t="s">
        <v>49</v>
      </c>
      <c r="J750">
        <f t="shared" si="22"/>
        <v>15</v>
      </c>
      <c r="K750" t="str">
        <f t="shared" si="23"/>
        <v>Budget</v>
      </c>
    </row>
    <row r="751" spans="2:11" x14ac:dyDescent="0.25">
      <c r="B751" t="s">
        <v>537</v>
      </c>
      <c r="C751">
        <v>2015</v>
      </c>
      <c r="D751" s="1">
        <v>350000</v>
      </c>
      <c r="E751">
        <v>130000</v>
      </c>
      <c r="F751" t="s">
        <v>15</v>
      </c>
      <c r="G751" t="s">
        <v>10</v>
      </c>
      <c r="H751" t="s">
        <v>11</v>
      </c>
      <c r="I751" t="s">
        <v>12</v>
      </c>
      <c r="J751">
        <f t="shared" si="22"/>
        <v>11</v>
      </c>
      <c r="K751" t="str">
        <f t="shared" si="23"/>
        <v>Budget</v>
      </c>
    </row>
    <row r="752" spans="2:11" x14ac:dyDescent="0.25">
      <c r="B752" t="s">
        <v>538</v>
      </c>
      <c r="C752">
        <v>2012</v>
      </c>
      <c r="D752" s="1">
        <v>170000</v>
      </c>
      <c r="E752">
        <v>97000</v>
      </c>
      <c r="F752" t="s">
        <v>24</v>
      </c>
      <c r="G752" t="s">
        <v>10</v>
      </c>
      <c r="H752" t="s">
        <v>11</v>
      </c>
      <c r="I752" t="s">
        <v>18</v>
      </c>
      <c r="J752">
        <f t="shared" si="22"/>
        <v>14</v>
      </c>
      <c r="K752" t="str">
        <f t="shared" si="23"/>
        <v>Budget</v>
      </c>
    </row>
    <row r="753" spans="2:11" x14ac:dyDescent="0.25">
      <c r="B753" t="s">
        <v>289</v>
      </c>
      <c r="C753">
        <v>2015</v>
      </c>
      <c r="D753" s="1">
        <v>350000</v>
      </c>
      <c r="E753">
        <v>90000</v>
      </c>
      <c r="F753" t="s">
        <v>9</v>
      </c>
      <c r="G753" t="s">
        <v>10</v>
      </c>
      <c r="H753" t="s">
        <v>11</v>
      </c>
      <c r="I753" t="s">
        <v>18</v>
      </c>
      <c r="J753">
        <f t="shared" si="22"/>
        <v>11</v>
      </c>
      <c r="K753" t="str">
        <f t="shared" si="23"/>
        <v>Budget</v>
      </c>
    </row>
    <row r="754" spans="2:11" x14ac:dyDescent="0.25">
      <c r="B754" t="s">
        <v>539</v>
      </c>
      <c r="C754">
        <v>2009</v>
      </c>
      <c r="D754" s="1">
        <v>250000</v>
      </c>
      <c r="E754">
        <v>60000</v>
      </c>
      <c r="F754" t="s">
        <v>9</v>
      </c>
      <c r="G754" t="s">
        <v>10</v>
      </c>
      <c r="H754" t="s">
        <v>11</v>
      </c>
      <c r="I754" t="s">
        <v>49</v>
      </c>
      <c r="J754">
        <f t="shared" si="22"/>
        <v>17</v>
      </c>
      <c r="K754" t="str">
        <f t="shared" si="23"/>
        <v>Budget</v>
      </c>
    </row>
    <row r="755" spans="2:11" x14ac:dyDescent="0.25">
      <c r="B755" t="s">
        <v>159</v>
      </c>
      <c r="C755">
        <v>2013</v>
      </c>
      <c r="D755" s="1">
        <v>170000</v>
      </c>
      <c r="E755">
        <v>60000</v>
      </c>
      <c r="F755" t="s">
        <v>15</v>
      </c>
      <c r="G755" t="s">
        <v>10</v>
      </c>
      <c r="H755" t="s">
        <v>11</v>
      </c>
      <c r="I755" t="s">
        <v>12</v>
      </c>
      <c r="J755">
        <f t="shared" si="22"/>
        <v>13</v>
      </c>
      <c r="K755" t="str">
        <f t="shared" si="23"/>
        <v>Budget</v>
      </c>
    </row>
    <row r="756" spans="2:11" x14ac:dyDescent="0.25">
      <c r="B756" t="s">
        <v>207</v>
      </c>
      <c r="C756">
        <v>2018</v>
      </c>
      <c r="D756" s="1">
        <v>1300000</v>
      </c>
      <c r="E756">
        <v>35000</v>
      </c>
      <c r="F756" t="s">
        <v>15</v>
      </c>
      <c r="G756" t="s">
        <v>10</v>
      </c>
      <c r="H756" t="s">
        <v>11</v>
      </c>
      <c r="I756" t="s">
        <v>12</v>
      </c>
      <c r="J756">
        <f t="shared" si="22"/>
        <v>8</v>
      </c>
      <c r="K756" t="str">
        <f t="shared" si="23"/>
        <v>Premium</v>
      </c>
    </row>
    <row r="757" spans="2:11" x14ac:dyDescent="0.25">
      <c r="B757" t="s">
        <v>540</v>
      </c>
      <c r="C757">
        <v>2019</v>
      </c>
      <c r="D757" s="1">
        <v>550000</v>
      </c>
      <c r="E757">
        <v>25000</v>
      </c>
      <c r="F757" t="s">
        <v>9</v>
      </c>
      <c r="G757" t="s">
        <v>10</v>
      </c>
      <c r="H757" t="s">
        <v>11</v>
      </c>
      <c r="I757" t="s">
        <v>12</v>
      </c>
      <c r="J757">
        <f t="shared" si="22"/>
        <v>7</v>
      </c>
      <c r="K757" t="str">
        <f t="shared" si="23"/>
        <v>Mid Range</v>
      </c>
    </row>
    <row r="758" spans="2:11" x14ac:dyDescent="0.25">
      <c r="B758" t="s">
        <v>541</v>
      </c>
      <c r="C758">
        <v>2017</v>
      </c>
      <c r="D758" s="1">
        <v>400000</v>
      </c>
      <c r="E758">
        <v>15000</v>
      </c>
      <c r="F758" t="s">
        <v>9</v>
      </c>
      <c r="G758" t="s">
        <v>10</v>
      </c>
      <c r="H758" t="s">
        <v>11</v>
      </c>
      <c r="I758" t="s">
        <v>12</v>
      </c>
      <c r="J758">
        <f t="shared" si="22"/>
        <v>9</v>
      </c>
      <c r="K758" t="str">
        <f t="shared" si="23"/>
        <v>Budget</v>
      </c>
    </row>
    <row r="759" spans="2:11" x14ac:dyDescent="0.25">
      <c r="B759" t="s">
        <v>349</v>
      </c>
      <c r="C759">
        <v>2011</v>
      </c>
      <c r="D759" s="1">
        <v>120000</v>
      </c>
      <c r="E759">
        <v>20000</v>
      </c>
      <c r="F759" t="s">
        <v>9</v>
      </c>
      <c r="G759" t="s">
        <v>10</v>
      </c>
      <c r="H759" t="s">
        <v>11</v>
      </c>
      <c r="I759" t="s">
        <v>12</v>
      </c>
      <c r="J759">
        <f t="shared" si="22"/>
        <v>15</v>
      </c>
      <c r="K759" t="str">
        <f t="shared" si="23"/>
        <v>Budget</v>
      </c>
    </row>
    <row r="760" spans="2:11" x14ac:dyDescent="0.25">
      <c r="B760" t="s">
        <v>192</v>
      </c>
      <c r="C760">
        <v>2010</v>
      </c>
      <c r="D760" s="1">
        <v>275000</v>
      </c>
      <c r="E760">
        <v>70000</v>
      </c>
      <c r="F760" t="s">
        <v>9</v>
      </c>
      <c r="G760" t="s">
        <v>10</v>
      </c>
      <c r="H760" t="s">
        <v>11</v>
      </c>
      <c r="I760" t="s">
        <v>12</v>
      </c>
      <c r="J760">
        <f t="shared" si="22"/>
        <v>16</v>
      </c>
      <c r="K760" t="str">
        <f t="shared" si="23"/>
        <v>Budget</v>
      </c>
    </row>
    <row r="761" spans="2:11" x14ac:dyDescent="0.25">
      <c r="B761" t="s">
        <v>542</v>
      </c>
      <c r="C761">
        <v>2016</v>
      </c>
      <c r="D761" s="1">
        <v>285000</v>
      </c>
      <c r="E761">
        <v>90000</v>
      </c>
      <c r="F761" t="s">
        <v>9</v>
      </c>
      <c r="G761" t="s">
        <v>10</v>
      </c>
      <c r="H761" t="s">
        <v>11</v>
      </c>
      <c r="I761" t="s">
        <v>12</v>
      </c>
      <c r="J761">
        <f t="shared" si="22"/>
        <v>10</v>
      </c>
      <c r="K761" t="str">
        <f t="shared" si="23"/>
        <v>Budget</v>
      </c>
    </row>
    <row r="762" spans="2:11" x14ac:dyDescent="0.25">
      <c r="B762" t="s">
        <v>543</v>
      </c>
      <c r="C762">
        <v>2016</v>
      </c>
      <c r="D762" s="1">
        <v>900000</v>
      </c>
      <c r="E762">
        <v>80000</v>
      </c>
      <c r="F762" t="s">
        <v>15</v>
      </c>
      <c r="G762" t="s">
        <v>10</v>
      </c>
      <c r="H762" t="s">
        <v>11</v>
      </c>
      <c r="I762" t="s">
        <v>12</v>
      </c>
      <c r="J762">
        <f t="shared" si="22"/>
        <v>10</v>
      </c>
      <c r="K762" t="str">
        <f t="shared" si="23"/>
        <v>Mid Range</v>
      </c>
    </row>
    <row r="763" spans="2:11" x14ac:dyDescent="0.25">
      <c r="B763" t="s">
        <v>544</v>
      </c>
      <c r="C763">
        <v>2014</v>
      </c>
      <c r="D763" s="1">
        <v>2500000</v>
      </c>
      <c r="E763">
        <v>79500</v>
      </c>
      <c r="F763" t="s">
        <v>15</v>
      </c>
      <c r="G763" t="s">
        <v>10</v>
      </c>
      <c r="H763" t="s">
        <v>28</v>
      </c>
      <c r="I763" t="s">
        <v>18</v>
      </c>
      <c r="J763">
        <f t="shared" si="22"/>
        <v>12</v>
      </c>
      <c r="K763" t="str">
        <f t="shared" si="23"/>
        <v>Premium</v>
      </c>
    </row>
    <row r="764" spans="2:11" x14ac:dyDescent="0.25">
      <c r="B764" t="s">
        <v>243</v>
      </c>
      <c r="C764">
        <v>2013</v>
      </c>
      <c r="D764" s="1">
        <v>620000</v>
      </c>
      <c r="E764">
        <v>70000</v>
      </c>
      <c r="F764" t="s">
        <v>15</v>
      </c>
      <c r="G764" t="s">
        <v>10</v>
      </c>
      <c r="H764" t="s">
        <v>11</v>
      </c>
      <c r="I764" t="s">
        <v>18</v>
      </c>
      <c r="J764">
        <f t="shared" si="22"/>
        <v>13</v>
      </c>
      <c r="K764" t="str">
        <f t="shared" si="23"/>
        <v>Mid Range</v>
      </c>
    </row>
    <row r="765" spans="2:11" x14ac:dyDescent="0.25">
      <c r="B765" t="s">
        <v>545</v>
      </c>
      <c r="C765">
        <v>2018</v>
      </c>
      <c r="D765" s="1">
        <v>1700000</v>
      </c>
      <c r="E765">
        <v>5000</v>
      </c>
      <c r="F765" t="s">
        <v>15</v>
      </c>
      <c r="G765" t="s">
        <v>10</v>
      </c>
      <c r="H765" t="s">
        <v>11</v>
      </c>
      <c r="I765" t="s">
        <v>12</v>
      </c>
      <c r="J765">
        <f t="shared" si="22"/>
        <v>8</v>
      </c>
      <c r="K765" t="str">
        <f t="shared" si="23"/>
        <v>Premium</v>
      </c>
    </row>
    <row r="766" spans="2:11" x14ac:dyDescent="0.25">
      <c r="B766" t="s">
        <v>131</v>
      </c>
      <c r="C766">
        <v>2018</v>
      </c>
      <c r="D766" s="1">
        <v>650000</v>
      </c>
      <c r="E766">
        <v>15000</v>
      </c>
      <c r="F766" t="s">
        <v>9</v>
      </c>
      <c r="G766" t="s">
        <v>10</v>
      </c>
      <c r="H766" t="s">
        <v>11</v>
      </c>
      <c r="I766" t="s">
        <v>12</v>
      </c>
      <c r="J766">
        <f t="shared" si="22"/>
        <v>8</v>
      </c>
      <c r="K766" t="str">
        <f t="shared" si="23"/>
        <v>Mid Range</v>
      </c>
    </row>
    <row r="767" spans="2:11" x14ac:dyDescent="0.25">
      <c r="B767" t="s">
        <v>236</v>
      </c>
      <c r="C767">
        <v>2014</v>
      </c>
      <c r="D767" s="1">
        <v>500000</v>
      </c>
      <c r="E767">
        <v>35000</v>
      </c>
      <c r="F767" t="s">
        <v>9</v>
      </c>
      <c r="G767" t="s">
        <v>10</v>
      </c>
      <c r="H767" t="s">
        <v>11</v>
      </c>
      <c r="I767" t="s">
        <v>12</v>
      </c>
      <c r="J767">
        <f t="shared" si="22"/>
        <v>12</v>
      </c>
      <c r="K767" t="str">
        <f t="shared" si="23"/>
        <v>Mid Range</v>
      </c>
    </row>
    <row r="768" spans="2:11" x14ac:dyDescent="0.25">
      <c r="B768" t="s">
        <v>546</v>
      </c>
      <c r="C768">
        <v>2009</v>
      </c>
      <c r="D768" s="1">
        <v>250000</v>
      </c>
      <c r="E768">
        <v>120000</v>
      </c>
      <c r="F768" t="s">
        <v>15</v>
      </c>
      <c r="G768" t="s">
        <v>10</v>
      </c>
      <c r="H768" t="s">
        <v>11</v>
      </c>
      <c r="I768" t="s">
        <v>18</v>
      </c>
      <c r="J768">
        <f t="shared" si="22"/>
        <v>17</v>
      </c>
      <c r="K768" t="str">
        <f t="shared" si="23"/>
        <v>Budget</v>
      </c>
    </row>
    <row r="769" spans="2:11" x14ac:dyDescent="0.25">
      <c r="B769" t="s">
        <v>547</v>
      </c>
      <c r="C769">
        <v>2018</v>
      </c>
      <c r="D769" s="1">
        <v>950000</v>
      </c>
      <c r="E769">
        <v>15000</v>
      </c>
      <c r="F769" t="s">
        <v>15</v>
      </c>
      <c r="G769" t="s">
        <v>10</v>
      </c>
      <c r="H769" t="s">
        <v>11</v>
      </c>
      <c r="I769" t="s">
        <v>18</v>
      </c>
      <c r="J769">
        <f t="shared" si="22"/>
        <v>8</v>
      </c>
      <c r="K769" t="str">
        <f t="shared" si="23"/>
        <v>Mid Range</v>
      </c>
    </row>
    <row r="770" spans="2:11" x14ac:dyDescent="0.25">
      <c r="B770" t="s">
        <v>548</v>
      </c>
      <c r="C770">
        <v>2015</v>
      </c>
      <c r="D770" s="1">
        <v>320000</v>
      </c>
      <c r="E770">
        <v>60000</v>
      </c>
      <c r="F770" t="s">
        <v>9</v>
      </c>
      <c r="G770" t="s">
        <v>10</v>
      </c>
      <c r="H770" t="s">
        <v>11</v>
      </c>
      <c r="I770" t="s">
        <v>12</v>
      </c>
      <c r="J770">
        <f t="shared" si="22"/>
        <v>11</v>
      </c>
      <c r="K770" t="str">
        <f t="shared" si="23"/>
        <v>Budget</v>
      </c>
    </row>
    <row r="771" spans="2:11" x14ac:dyDescent="0.25">
      <c r="B771" t="s">
        <v>163</v>
      </c>
      <c r="C771">
        <v>2013</v>
      </c>
      <c r="D771" s="1">
        <v>450000</v>
      </c>
      <c r="E771">
        <v>120000</v>
      </c>
      <c r="F771" t="s">
        <v>15</v>
      </c>
      <c r="G771" t="s">
        <v>10</v>
      </c>
      <c r="H771" t="s">
        <v>11</v>
      </c>
      <c r="I771" t="s">
        <v>12</v>
      </c>
      <c r="J771">
        <f t="shared" si="22"/>
        <v>13</v>
      </c>
      <c r="K771" t="str">
        <f t="shared" si="23"/>
        <v>Budget</v>
      </c>
    </row>
    <row r="772" spans="2:11" x14ac:dyDescent="0.25">
      <c r="B772" t="s">
        <v>549</v>
      </c>
      <c r="C772">
        <v>2016</v>
      </c>
      <c r="D772" s="1">
        <v>350000</v>
      </c>
      <c r="E772">
        <v>90000</v>
      </c>
      <c r="F772" t="s">
        <v>15</v>
      </c>
      <c r="G772" t="s">
        <v>10</v>
      </c>
      <c r="H772" t="s">
        <v>11</v>
      </c>
      <c r="I772" t="s">
        <v>12</v>
      </c>
      <c r="J772">
        <f t="shared" si="22"/>
        <v>10</v>
      </c>
      <c r="K772" t="str">
        <f t="shared" si="23"/>
        <v>Budget</v>
      </c>
    </row>
    <row r="773" spans="2:11" x14ac:dyDescent="0.25">
      <c r="B773" t="s">
        <v>550</v>
      </c>
      <c r="C773">
        <v>2015</v>
      </c>
      <c r="D773" s="1">
        <v>400000</v>
      </c>
      <c r="E773">
        <v>90000</v>
      </c>
      <c r="F773" t="s">
        <v>9</v>
      </c>
      <c r="G773" t="s">
        <v>10</v>
      </c>
      <c r="H773" t="s">
        <v>11</v>
      </c>
      <c r="I773" t="s">
        <v>12</v>
      </c>
      <c r="J773">
        <f t="shared" si="22"/>
        <v>11</v>
      </c>
      <c r="K773" t="str">
        <f t="shared" si="23"/>
        <v>Budget</v>
      </c>
    </row>
    <row r="774" spans="2:11" x14ac:dyDescent="0.25">
      <c r="B774" t="s">
        <v>551</v>
      </c>
      <c r="C774">
        <v>2009</v>
      </c>
      <c r="D774" s="1">
        <v>250000</v>
      </c>
      <c r="E774">
        <v>72000</v>
      </c>
      <c r="F774" t="s">
        <v>15</v>
      </c>
      <c r="G774" t="s">
        <v>10</v>
      </c>
      <c r="H774" t="s">
        <v>11</v>
      </c>
      <c r="I774" t="s">
        <v>18</v>
      </c>
      <c r="J774">
        <f t="shared" ref="J774:J837" si="24">2026 - C774</f>
        <v>17</v>
      </c>
      <c r="K774" t="str">
        <f t="shared" ref="K774:K837" si="25">IF(D774&lt;500000,"Budget",IF(D774&lt;=1000000,"Mid Range","Premium"))</f>
        <v>Budget</v>
      </c>
    </row>
    <row r="775" spans="2:11" x14ac:dyDescent="0.25">
      <c r="B775" t="s">
        <v>552</v>
      </c>
      <c r="C775">
        <v>2011</v>
      </c>
      <c r="D775" s="1">
        <v>550000</v>
      </c>
      <c r="E775">
        <v>197000</v>
      </c>
      <c r="F775" t="s">
        <v>9</v>
      </c>
      <c r="G775" t="s">
        <v>10</v>
      </c>
      <c r="H775" t="s">
        <v>11</v>
      </c>
      <c r="I775" t="s">
        <v>18</v>
      </c>
      <c r="J775">
        <f t="shared" si="24"/>
        <v>15</v>
      </c>
      <c r="K775" t="str">
        <f t="shared" si="25"/>
        <v>Mid Range</v>
      </c>
    </row>
    <row r="776" spans="2:11" x14ac:dyDescent="0.25">
      <c r="B776" t="s">
        <v>507</v>
      </c>
      <c r="C776">
        <v>1999</v>
      </c>
      <c r="D776" s="1">
        <v>85000</v>
      </c>
      <c r="E776">
        <v>70000</v>
      </c>
      <c r="F776" t="s">
        <v>9</v>
      </c>
      <c r="G776" t="s">
        <v>10</v>
      </c>
      <c r="H776" t="s">
        <v>11</v>
      </c>
      <c r="I776" t="s">
        <v>18</v>
      </c>
      <c r="J776">
        <f t="shared" si="24"/>
        <v>27</v>
      </c>
      <c r="K776" t="str">
        <f t="shared" si="25"/>
        <v>Budget</v>
      </c>
    </row>
    <row r="777" spans="2:11" x14ac:dyDescent="0.25">
      <c r="B777" t="s">
        <v>138</v>
      </c>
      <c r="C777">
        <v>2001</v>
      </c>
      <c r="D777" s="1">
        <v>52000</v>
      </c>
      <c r="E777">
        <v>50000</v>
      </c>
      <c r="F777" t="s">
        <v>9</v>
      </c>
      <c r="G777" t="s">
        <v>10</v>
      </c>
      <c r="H777" t="s">
        <v>11</v>
      </c>
      <c r="I777" t="s">
        <v>49</v>
      </c>
      <c r="J777">
        <f t="shared" si="24"/>
        <v>25</v>
      </c>
      <c r="K777" t="str">
        <f t="shared" si="25"/>
        <v>Budget</v>
      </c>
    </row>
    <row r="778" spans="2:11" x14ac:dyDescent="0.25">
      <c r="B778" t="s">
        <v>553</v>
      </c>
      <c r="C778">
        <v>2017</v>
      </c>
      <c r="D778" s="1">
        <v>1200000</v>
      </c>
      <c r="E778">
        <v>50000</v>
      </c>
      <c r="F778" t="s">
        <v>15</v>
      </c>
      <c r="G778" t="s">
        <v>10</v>
      </c>
      <c r="H778" t="s">
        <v>28</v>
      </c>
      <c r="I778" t="s">
        <v>12</v>
      </c>
      <c r="J778">
        <f t="shared" si="24"/>
        <v>9</v>
      </c>
      <c r="K778" t="str">
        <f t="shared" si="25"/>
        <v>Premium</v>
      </c>
    </row>
    <row r="779" spans="2:11" x14ac:dyDescent="0.25">
      <c r="B779" t="s">
        <v>554</v>
      </c>
      <c r="C779">
        <v>2011</v>
      </c>
      <c r="D779" s="1">
        <v>450000</v>
      </c>
      <c r="E779">
        <v>60000</v>
      </c>
      <c r="F779" t="s">
        <v>9</v>
      </c>
      <c r="G779" t="s">
        <v>10</v>
      </c>
      <c r="H779" t="s">
        <v>28</v>
      </c>
      <c r="I779" t="s">
        <v>49</v>
      </c>
      <c r="J779">
        <f t="shared" si="24"/>
        <v>15</v>
      </c>
      <c r="K779" t="str">
        <f t="shared" si="25"/>
        <v>Budget</v>
      </c>
    </row>
    <row r="780" spans="2:11" x14ac:dyDescent="0.25">
      <c r="B780" t="s">
        <v>555</v>
      </c>
      <c r="C780">
        <v>2018</v>
      </c>
      <c r="D780" s="1">
        <v>615000</v>
      </c>
      <c r="E780">
        <v>40000</v>
      </c>
      <c r="F780" t="s">
        <v>9</v>
      </c>
      <c r="G780" t="s">
        <v>10</v>
      </c>
      <c r="H780" t="s">
        <v>11</v>
      </c>
      <c r="I780" t="s">
        <v>12</v>
      </c>
      <c r="J780">
        <f t="shared" si="24"/>
        <v>8</v>
      </c>
      <c r="K780" t="str">
        <f t="shared" si="25"/>
        <v>Mid Range</v>
      </c>
    </row>
    <row r="781" spans="2:11" x14ac:dyDescent="0.25">
      <c r="B781" t="s">
        <v>556</v>
      </c>
      <c r="C781">
        <v>2012</v>
      </c>
      <c r="D781" s="1">
        <v>400000</v>
      </c>
      <c r="E781">
        <v>60000</v>
      </c>
      <c r="F781" t="s">
        <v>15</v>
      </c>
      <c r="G781" t="s">
        <v>10</v>
      </c>
      <c r="H781" t="s">
        <v>11</v>
      </c>
      <c r="I781" t="s">
        <v>18</v>
      </c>
      <c r="J781">
        <f t="shared" si="24"/>
        <v>14</v>
      </c>
      <c r="K781" t="str">
        <f t="shared" si="25"/>
        <v>Budget</v>
      </c>
    </row>
    <row r="782" spans="2:11" x14ac:dyDescent="0.25">
      <c r="B782" t="s">
        <v>460</v>
      </c>
      <c r="C782">
        <v>2013</v>
      </c>
      <c r="D782" s="1">
        <v>60000</v>
      </c>
      <c r="E782">
        <v>40000</v>
      </c>
      <c r="F782" t="s">
        <v>9</v>
      </c>
      <c r="G782" t="s">
        <v>10</v>
      </c>
      <c r="H782" t="s">
        <v>11</v>
      </c>
      <c r="I782" t="s">
        <v>12</v>
      </c>
      <c r="J782">
        <f t="shared" si="24"/>
        <v>13</v>
      </c>
      <c r="K782" t="str">
        <f t="shared" si="25"/>
        <v>Budget</v>
      </c>
    </row>
    <row r="783" spans="2:11" x14ac:dyDescent="0.25">
      <c r="B783" t="s">
        <v>557</v>
      </c>
      <c r="C783">
        <v>2017</v>
      </c>
      <c r="D783" s="1">
        <v>500000</v>
      </c>
      <c r="E783">
        <v>9161</v>
      </c>
      <c r="F783" t="s">
        <v>9</v>
      </c>
      <c r="G783" t="s">
        <v>10</v>
      </c>
      <c r="H783" t="s">
        <v>11</v>
      </c>
      <c r="I783" t="s">
        <v>12</v>
      </c>
      <c r="J783">
        <f t="shared" si="24"/>
        <v>9</v>
      </c>
      <c r="K783" t="str">
        <f t="shared" si="25"/>
        <v>Mid Range</v>
      </c>
    </row>
    <row r="784" spans="2:11" x14ac:dyDescent="0.25">
      <c r="B784" t="s">
        <v>558</v>
      </c>
      <c r="C784">
        <v>2015</v>
      </c>
      <c r="D784" s="1">
        <v>600000</v>
      </c>
      <c r="E784">
        <v>45000</v>
      </c>
      <c r="F784" t="s">
        <v>9</v>
      </c>
      <c r="G784" t="s">
        <v>10</v>
      </c>
      <c r="H784" t="s">
        <v>11</v>
      </c>
      <c r="I784" t="s">
        <v>12</v>
      </c>
      <c r="J784">
        <f t="shared" si="24"/>
        <v>11</v>
      </c>
      <c r="K784" t="str">
        <f t="shared" si="25"/>
        <v>Mid Range</v>
      </c>
    </row>
    <row r="785" spans="2:11" x14ac:dyDescent="0.25">
      <c r="B785" t="s">
        <v>559</v>
      </c>
      <c r="C785">
        <v>2010</v>
      </c>
      <c r="D785" s="1">
        <v>110000</v>
      </c>
      <c r="E785">
        <v>110000</v>
      </c>
      <c r="F785" t="s">
        <v>9</v>
      </c>
      <c r="G785" t="s">
        <v>10</v>
      </c>
      <c r="H785" t="s">
        <v>11</v>
      </c>
      <c r="I785" t="s">
        <v>12</v>
      </c>
      <c r="J785">
        <f t="shared" si="24"/>
        <v>16</v>
      </c>
      <c r="K785" t="str">
        <f t="shared" si="25"/>
        <v>Budget</v>
      </c>
    </row>
    <row r="786" spans="2:11" x14ac:dyDescent="0.25">
      <c r="B786" t="s">
        <v>229</v>
      </c>
      <c r="C786">
        <v>2013</v>
      </c>
      <c r="D786" s="1">
        <v>175000</v>
      </c>
      <c r="E786">
        <v>80000</v>
      </c>
      <c r="F786" t="s">
        <v>9</v>
      </c>
      <c r="G786" t="s">
        <v>10</v>
      </c>
      <c r="H786" t="s">
        <v>11</v>
      </c>
      <c r="I786" t="s">
        <v>12</v>
      </c>
      <c r="J786">
        <f t="shared" si="24"/>
        <v>13</v>
      </c>
      <c r="K786" t="str">
        <f t="shared" si="25"/>
        <v>Budget</v>
      </c>
    </row>
    <row r="787" spans="2:11" x14ac:dyDescent="0.25">
      <c r="B787" t="s">
        <v>560</v>
      </c>
      <c r="C787">
        <v>2011</v>
      </c>
      <c r="D787" s="1">
        <v>325000</v>
      </c>
      <c r="E787">
        <v>100000</v>
      </c>
      <c r="F787" t="s">
        <v>15</v>
      </c>
      <c r="G787" t="s">
        <v>10</v>
      </c>
      <c r="H787" t="s">
        <v>11</v>
      </c>
      <c r="I787" t="s">
        <v>18</v>
      </c>
      <c r="J787">
        <f t="shared" si="24"/>
        <v>15</v>
      </c>
      <c r="K787" t="str">
        <f t="shared" si="25"/>
        <v>Budget</v>
      </c>
    </row>
    <row r="788" spans="2:11" x14ac:dyDescent="0.25">
      <c r="B788" t="s">
        <v>514</v>
      </c>
      <c r="C788">
        <v>2017</v>
      </c>
      <c r="D788" s="1">
        <v>425000</v>
      </c>
      <c r="E788">
        <v>90000</v>
      </c>
      <c r="F788" t="s">
        <v>15</v>
      </c>
      <c r="G788" t="s">
        <v>10</v>
      </c>
      <c r="H788" t="s">
        <v>11</v>
      </c>
      <c r="I788" t="s">
        <v>12</v>
      </c>
      <c r="J788">
        <f t="shared" si="24"/>
        <v>9</v>
      </c>
      <c r="K788" t="str">
        <f t="shared" si="25"/>
        <v>Budget</v>
      </c>
    </row>
    <row r="789" spans="2:11" x14ac:dyDescent="0.25">
      <c r="B789" t="s">
        <v>561</v>
      </c>
      <c r="C789">
        <v>2009</v>
      </c>
      <c r="D789" s="1">
        <v>160000</v>
      </c>
      <c r="E789">
        <v>70000</v>
      </c>
      <c r="F789" t="s">
        <v>24</v>
      </c>
      <c r="G789" t="s">
        <v>10</v>
      </c>
      <c r="H789" t="s">
        <v>11</v>
      </c>
      <c r="I789" t="s">
        <v>49</v>
      </c>
      <c r="J789">
        <f t="shared" si="24"/>
        <v>17</v>
      </c>
      <c r="K789" t="str">
        <f t="shared" si="25"/>
        <v>Budget</v>
      </c>
    </row>
    <row r="790" spans="2:11" x14ac:dyDescent="0.25">
      <c r="B790" t="s">
        <v>440</v>
      </c>
      <c r="C790">
        <v>2007</v>
      </c>
      <c r="D790" s="1">
        <v>100000</v>
      </c>
      <c r="E790">
        <v>80000</v>
      </c>
      <c r="F790" t="s">
        <v>9</v>
      </c>
      <c r="G790" t="s">
        <v>10</v>
      </c>
      <c r="H790" t="s">
        <v>11</v>
      </c>
      <c r="I790" t="s">
        <v>49</v>
      </c>
      <c r="J790">
        <f t="shared" si="24"/>
        <v>19</v>
      </c>
      <c r="K790" t="str">
        <f t="shared" si="25"/>
        <v>Budget</v>
      </c>
    </row>
    <row r="791" spans="2:11" x14ac:dyDescent="0.25">
      <c r="B791" t="s">
        <v>514</v>
      </c>
      <c r="C791">
        <v>2014</v>
      </c>
      <c r="D791" s="1">
        <v>390000</v>
      </c>
      <c r="E791">
        <v>110000</v>
      </c>
      <c r="F791" t="s">
        <v>15</v>
      </c>
      <c r="G791" t="s">
        <v>10</v>
      </c>
      <c r="H791" t="s">
        <v>11</v>
      </c>
      <c r="I791" t="s">
        <v>18</v>
      </c>
      <c r="J791">
        <f t="shared" si="24"/>
        <v>12</v>
      </c>
      <c r="K791" t="str">
        <f t="shared" si="25"/>
        <v>Budget</v>
      </c>
    </row>
    <row r="792" spans="2:11" x14ac:dyDescent="0.25">
      <c r="B792" t="s">
        <v>240</v>
      </c>
      <c r="C792">
        <v>2017</v>
      </c>
      <c r="D792" s="1">
        <v>400000</v>
      </c>
      <c r="E792">
        <v>50000</v>
      </c>
      <c r="F792" t="s">
        <v>9</v>
      </c>
      <c r="G792" t="s">
        <v>10</v>
      </c>
      <c r="H792" t="s">
        <v>11</v>
      </c>
      <c r="I792" t="s">
        <v>12</v>
      </c>
      <c r="J792">
        <f t="shared" si="24"/>
        <v>9</v>
      </c>
      <c r="K792" t="str">
        <f t="shared" si="25"/>
        <v>Budget</v>
      </c>
    </row>
    <row r="793" spans="2:11" x14ac:dyDescent="0.25">
      <c r="B793" t="s">
        <v>562</v>
      </c>
      <c r="C793">
        <v>2018</v>
      </c>
      <c r="D793" s="1">
        <v>509999</v>
      </c>
      <c r="E793">
        <v>5000</v>
      </c>
      <c r="F793" t="s">
        <v>9</v>
      </c>
      <c r="G793" t="s">
        <v>10</v>
      </c>
      <c r="H793" t="s">
        <v>11</v>
      </c>
      <c r="I793" t="s">
        <v>12</v>
      </c>
      <c r="J793">
        <f t="shared" si="24"/>
        <v>8</v>
      </c>
      <c r="K793" t="str">
        <f t="shared" si="25"/>
        <v>Mid Range</v>
      </c>
    </row>
    <row r="794" spans="2:11" x14ac:dyDescent="0.25">
      <c r="B794" t="s">
        <v>563</v>
      </c>
      <c r="C794">
        <v>2008</v>
      </c>
      <c r="D794" s="1">
        <v>150000</v>
      </c>
      <c r="E794">
        <v>90000</v>
      </c>
      <c r="F794" t="s">
        <v>9</v>
      </c>
      <c r="G794" t="s">
        <v>10</v>
      </c>
      <c r="H794" t="s">
        <v>11</v>
      </c>
      <c r="I794" t="s">
        <v>49</v>
      </c>
      <c r="J794">
        <f t="shared" si="24"/>
        <v>18</v>
      </c>
      <c r="K794" t="str">
        <f t="shared" si="25"/>
        <v>Budget</v>
      </c>
    </row>
    <row r="795" spans="2:11" x14ac:dyDescent="0.25">
      <c r="B795" t="s">
        <v>56</v>
      </c>
      <c r="C795">
        <v>2009</v>
      </c>
      <c r="D795" s="1">
        <v>110000</v>
      </c>
      <c r="E795">
        <v>120000</v>
      </c>
      <c r="F795" t="s">
        <v>9</v>
      </c>
      <c r="G795" t="s">
        <v>10</v>
      </c>
      <c r="H795" t="s">
        <v>11</v>
      </c>
      <c r="I795" t="s">
        <v>12</v>
      </c>
      <c r="J795">
        <f t="shared" si="24"/>
        <v>17</v>
      </c>
      <c r="K795" t="str">
        <f t="shared" si="25"/>
        <v>Budget</v>
      </c>
    </row>
    <row r="796" spans="2:11" x14ac:dyDescent="0.25">
      <c r="B796" t="s">
        <v>564</v>
      </c>
      <c r="C796">
        <v>2013</v>
      </c>
      <c r="D796" s="1">
        <v>450000</v>
      </c>
      <c r="E796">
        <v>80000</v>
      </c>
      <c r="F796" t="s">
        <v>15</v>
      </c>
      <c r="G796" t="s">
        <v>10</v>
      </c>
      <c r="H796" t="s">
        <v>11</v>
      </c>
      <c r="I796" t="s">
        <v>12</v>
      </c>
      <c r="J796">
        <f t="shared" si="24"/>
        <v>13</v>
      </c>
      <c r="K796" t="str">
        <f t="shared" si="25"/>
        <v>Budget</v>
      </c>
    </row>
    <row r="797" spans="2:11" x14ac:dyDescent="0.25">
      <c r="B797" t="s">
        <v>240</v>
      </c>
      <c r="C797">
        <v>2017</v>
      </c>
      <c r="D797" s="1">
        <v>400000</v>
      </c>
      <c r="E797">
        <v>38000</v>
      </c>
      <c r="F797" t="s">
        <v>9</v>
      </c>
      <c r="G797" t="s">
        <v>10</v>
      </c>
      <c r="H797" t="s">
        <v>11</v>
      </c>
      <c r="I797" t="s">
        <v>18</v>
      </c>
      <c r="J797">
        <f t="shared" si="24"/>
        <v>9</v>
      </c>
      <c r="K797" t="str">
        <f t="shared" si="25"/>
        <v>Budget</v>
      </c>
    </row>
    <row r="798" spans="2:11" x14ac:dyDescent="0.25">
      <c r="B798" t="s">
        <v>56</v>
      </c>
      <c r="C798">
        <v>2009</v>
      </c>
      <c r="D798" s="1">
        <v>140000</v>
      </c>
      <c r="E798">
        <v>120000</v>
      </c>
      <c r="F798" t="s">
        <v>9</v>
      </c>
      <c r="G798" t="s">
        <v>10</v>
      </c>
      <c r="H798" t="s">
        <v>11</v>
      </c>
      <c r="I798" t="s">
        <v>12</v>
      </c>
      <c r="J798">
        <f t="shared" si="24"/>
        <v>17</v>
      </c>
      <c r="K798" t="str">
        <f t="shared" si="25"/>
        <v>Budget</v>
      </c>
    </row>
    <row r="799" spans="2:11" x14ac:dyDescent="0.25">
      <c r="B799" t="s">
        <v>159</v>
      </c>
      <c r="C799">
        <v>2011</v>
      </c>
      <c r="D799" s="1">
        <v>130000</v>
      </c>
      <c r="E799">
        <v>90000</v>
      </c>
      <c r="F799" t="s">
        <v>15</v>
      </c>
      <c r="G799" t="s">
        <v>10</v>
      </c>
      <c r="H799" t="s">
        <v>11</v>
      </c>
      <c r="I799" t="s">
        <v>12</v>
      </c>
      <c r="J799">
        <f t="shared" si="24"/>
        <v>15</v>
      </c>
      <c r="K799" t="str">
        <f t="shared" si="25"/>
        <v>Budget</v>
      </c>
    </row>
    <row r="800" spans="2:11" x14ac:dyDescent="0.25">
      <c r="B800" t="s">
        <v>249</v>
      </c>
      <c r="C800">
        <v>2017</v>
      </c>
      <c r="D800" s="1">
        <v>160000</v>
      </c>
      <c r="E800">
        <v>50000</v>
      </c>
      <c r="F800" t="s">
        <v>9</v>
      </c>
      <c r="G800" t="s">
        <v>10</v>
      </c>
      <c r="H800" t="s">
        <v>11</v>
      </c>
      <c r="I800" t="s">
        <v>12</v>
      </c>
      <c r="J800">
        <f t="shared" si="24"/>
        <v>9</v>
      </c>
      <c r="K800" t="str">
        <f t="shared" si="25"/>
        <v>Budget</v>
      </c>
    </row>
    <row r="801" spans="2:11" x14ac:dyDescent="0.25">
      <c r="B801" t="s">
        <v>249</v>
      </c>
      <c r="C801">
        <v>2016</v>
      </c>
      <c r="D801" s="1">
        <v>150000</v>
      </c>
      <c r="E801">
        <v>60000</v>
      </c>
      <c r="F801" t="s">
        <v>9</v>
      </c>
      <c r="G801" t="s">
        <v>10</v>
      </c>
      <c r="H801" t="s">
        <v>11</v>
      </c>
      <c r="I801" t="s">
        <v>12</v>
      </c>
      <c r="J801">
        <f t="shared" si="24"/>
        <v>10</v>
      </c>
      <c r="K801" t="str">
        <f t="shared" si="25"/>
        <v>Budget</v>
      </c>
    </row>
    <row r="802" spans="2:11" x14ac:dyDescent="0.25">
      <c r="B802" t="s">
        <v>90</v>
      </c>
      <c r="C802">
        <v>2013</v>
      </c>
      <c r="D802" s="1">
        <v>500000</v>
      </c>
      <c r="E802">
        <v>100000</v>
      </c>
      <c r="F802" t="s">
        <v>15</v>
      </c>
      <c r="G802" t="s">
        <v>10</v>
      </c>
      <c r="H802" t="s">
        <v>11</v>
      </c>
      <c r="I802" t="s">
        <v>18</v>
      </c>
      <c r="J802">
        <f t="shared" si="24"/>
        <v>13</v>
      </c>
      <c r="K802" t="str">
        <f t="shared" si="25"/>
        <v>Mid Range</v>
      </c>
    </row>
    <row r="803" spans="2:11" x14ac:dyDescent="0.25">
      <c r="B803" t="s">
        <v>565</v>
      </c>
      <c r="C803">
        <v>2011</v>
      </c>
      <c r="D803" s="1">
        <v>40000</v>
      </c>
      <c r="E803">
        <v>19000</v>
      </c>
      <c r="F803" t="s">
        <v>9</v>
      </c>
      <c r="G803" t="s">
        <v>10</v>
      </c>
      <c r="H803" t="s">
        <v>11</v>
      </c>
      <c r="I803" t="s">
        <v>12</v>
      </c>
      <c r="J803">
        <f t="shared" si="24"/>
        <v>15</v>
      </c>
      <c r="K803" t="str">
        <f t="shared" si="25"/>
        <v>Budget</v>
      </c>
    </row>
    <row r="804" spans="2:11" x14ac:dyDescent="0.25">
      <c r="B804" t="s">
        <v>566</v>
      </c>
      <c r="C804">
        <v>2006</v>
      </c>
      <c r="D804" s="1">
        <v>140000</v>
      </c>
      <c r="E804">
        <v>200000</v>
      </c>
      <c r="F804" t="s">
        <v>15</v>
      </c>
      <c r="G804" t="s">
        <v>10</v>
      </c>
      <c r="H804" t="s">
        <v>11</v>
      </c>
      <c r="I804" t="s">
        <v>49</v>
      </c>
      <c r="J804">
        <f t="shared" si="24"/>
        <v>20</v>
      </c>
      <c r="K804" t="str">
        <f t="shared" si="25"/>
        <v>Budget</v>
      </c>
    </row>
    <row r="805" spans="2:11" x14ac:dyDescent="0.25">
      <c r="B805" t="s">
        <v>567</v>
      </c>
      <c r="C805">
        <v>2015</v>
      </c>
      <c r="D805" s="1">
        <v>227000</v>
      </c>
      <c r="E805">
        <v>70000</v>
      </c>
      <c r="F805" t="s">
        <v>15</v>
      </c>
      <c r="G805" t="s">
        <v>10</v>
      </c>
      <c r="H805" t="s">
        <v>11</v>
      </c>
      <c r="I805" t="s">
        <v>18</v>
      </c>
      <c r="J805">
        <f t="shared" si="24"/>
        <v>11</v>
      </c>
      <c r="K805" t="str">
        <f t="shared" si="25"/>
        <v>Budget</v>
      </c>
    </row>
    <row r="806" spans="2:11" x14ac:dyDescent="0.25">
      <c r="B806" t="s">
        <v>354</v>
      </c>
      <c r="C806">
        <v>2011</v>
      </c>
      <c r="D806" s="1">
        <v>285000</v>
      </c>
      <c r="E806">
        <v>50000</v>
      </c>
      <c r="F806" t="s">
        <v>15</v>
      </c>
      <c r="G806" t="s">
        <v>10</v>
      </c>
      <c r="H806" t="s">
        <v>11</v>
      </c>
      <c r="I806" t="s">
        <v>18</v>
      </c>
      <c r="J806">
        <f t="shared" si="24"/>
        <v>15</v>
      </c>
      <c r="K806" t="str">
        <f t="shared" si="25"/>
        <v>Budget</v>
      </c>
    </row>
    <row r="807" spans="2:11" x14ac:dyDescent="0.25">
      <c r="B807" t="s">
        <v>172</v>
      </c>
      <c r="C807">
        <v>2012</v>
      </c>
      <c r="D807" s="1">
        <v>155000</v>
      </c>
      <c r="E807">
        <v>19077</v>
      </c>
      <c r="F807" t="s">
        <v>9</v>
      </c>
      <c r="G807" t="s">
        <v>10</v>
      </c>
      <c r="H807" t="s">
        <v>11</v>
      </c>
      <c r="I807" t="s">
        <v>18</v>
      </c>
      <c r="J807">
        <f t="shared" si="24"/>
        <v>14</v>
      </c>
      <c r="K807" t="str">
        <f t="shared" si="25"/>
        <v>Budget</v>
      </c>
    </row>
    <row r="808" spans="2:11" x14ac:dyDescent="0.25">
      <c r="B808" t="s">
        <v>568</v>
      </c>
      <c r="C808">
        <v>2016</v>
      </c>
      <c r="D808" s="1">
        <v>210000</v>
      </c>
      <c r="E808">
        <v>30000</v>
      </c>
      <c r="F808" t="s">
        <v>9</v>
      </c>
      <c r="G808" t="s">
        <v>10</v>
      </c>
      <c r="H808" t="s">
        <v>11</v>
      </c>
      <c r="I808" t="s">
        <v>12</v>
      </c>
      <c r="J808">
        <f t="shared" si="24"/>
        <v>10</v>
      </c>
      <c r="K808" t="str">
        <f t="shared" si="25"/>
        <v>Budget</v>
      </c>
    </row>
    <row r="809" spans="2:11" x14ac:dyDescent="0.25">
      <c r="B809" t="s">
        <v>58</v>
      </c>
      <c r="C809">
        <v>2009</v>
      </c>
      <c r="D809" s="1">
        <v>140000</v>
      </c>
      <c r="E809">
        <v>80000</v>
      </c>
      <c r="F809" t="s">
        <v>9</v>
      </c>
      <c r="G809" t="s">
        <v>10</v>
      </c>
      <c r="H809" t="s">
        <v>11</v>
      </c>
      <c r="I809" t="s">
        <v>18</v>
      </c>
      <c r="J809">
        <f t="shared" si="24"/>
        <v>17</v>
      </c>
      <c r="K809" t="str">
        <f t="shared" si="25"/>
        <v>Budget</v>
      </c>
    </row>
    <row r="810" spans="2:11" x14ac:dyDescent="0.25">
      <c r="B810" t="s">
        <v>569</v>
      </c>
      <c r="C810">
        <v>2015</v>
      </c>
      <c r="D810" s="1">
        <v>940000</v>
      </c>
      <c r="E810">
        <v>128000</v>
      </c>
      <c r="F810" t="s">
        <v>15</v>
      </c>
      <c r="G810" t="s">
        <v>10</v>
      </c>
      <c r="H810" t="s">
        <v>11</v>
      </c>
      <c r="I810" t="s">
        <v>12</v>
      </c>
      <c r="J810">
        <f t="shared" si="24"/>
        <v>11</v>
      </c>
      <c r="K810" t="str">
        <f t="shared" si="25"/>
        <v>Mid Range</v>
      </c>
    </row>
    <row r="811" spans="2:11" x14ac:dyDescent="0.25">
      <c r="B811" t="s">
        <v>570</v>
      </c>
      <c r="C811">
        <v>2013</v>
      </c>
      <c r="D811" s="1">
        <v>750000</v>
      </c>
      <c r="E811">
        <v>80000</v>
      </c>
      <c r="F811" t="s">
        <v>15</v>
      </c>
      <c r="G811" t="s">
        <v>10</v>
      </c>
      <c r="H811" t="s">
        <v>11</v>
      </c>
      <c r="I811" t="s">
        <v>12</v>
      </c>
      <c r="J811">
        <f t="shared" si="24"/>
        <v>13</v>
      </c>
      <c r="K811" t="str">
        <f t="shared" si="25"/>
        <v>Mid Range</v>
      </c>
    </row>
    <row r="812" spans="2:11" x14ac:dyDescent="0.25">
      <c r="B812" t="s">
        <v>280</v>
      </c>
      <c r="C812">
        <v>2016</v>
      </c>
      <c r="D812" s="1">
        <v>610000</v>
      </c>
      <c r="E812">
        <v>100000</v>
      </c>
      <c r="F812" t="s">
        <v>15</v>
      </c>
      <c r="G812" t="s">
        <v>10</v>
      </c>
      <c r="H812" t="s">
        <v>11</v>
      </c>
      <c r="I812" t="s">
        <v>12</v>
      </c>
      <c r="J812">
        <f t="shared" si="24"/>
        <v>10</v>
      </c>
      <c r="K812" t="str">
        <f t="shared" si="25"/>
        <v>Mid Range</v>
      </c>
    </row>
    <row r="813" spans="2:11" x14ac:dyDescent="0.25">
      <c r="B813" t="s">
        <v>571</v>
      </c>
      <c r="C813">
        <v>2015</v>
      </c>
      <c r="D813" s="1">
        <v>450000</v>
      </c>
      <c r="E813">
        <v>50000</v>
      </c>
      <c r="F813" t="s">
        <v>15</v>
      </c>
      <c r="G813" t="s">
        <v>10</v>
      </c>
      <c r="H813" t="s">
        <v>11</v>
      </c>
      <c r="I813" t="s">
        <v>12</v>
      </c>
      <c r="J813">
        <f t="shared" si="24"/>
        <v>11</v>
      </c>
      <c r="K813" t="str">
        <f t="shared" si="25"/>
        <v>Budget</v>
      </c>
    </row>
    <row r="814" spans="2:11" x14ac:dyDescent="0.25">
      <c r="B814" t="s">
        <v>287</v>
      </c>
      <c r="C814">
        <v>2012</v>
      </c>
      <c r="D814" s="1">
        <v>409999</v>
      </c>
      <c r="E814">
        <v>56000</v>
      </c>
      <c r="F814" t="s">
        <v>15</v>
      </c>
      <c r="G814" t="s">
        <v>10</v>
      </c>
      <c r="H814" t="s">
        <v>11</v>
      </c>
      <c r="I814" t="s">
        <v>12</v>
      </c>
      <c r="J814">
        <f t="shared" si="24"/>
        <v>14</v>
      </c>
      <c r="K814" t="str">
        <f t="shared" si="25"/>
        <v>Budget</v>
      </c>
    </row>
    <row r="815" spans="2:11" x14ac:dyDescent="0.25">
      <c r="B815" t="s">
        <v>529</v>
      </c>
      <c r="C815">
        <v>2018</v>
      </c>
      <c r="D815" s="1">
        <v>100000</v>
      </c>
      <c r="E815">
        <v>21302</v>
      </c>
      <c r="F815" t="s">
        <v>9</v>
      </c>
      <c r="G815" t="s">
        <v>10</v>
      </c>
      <c r="H815" t="s">
        <v>11</v>
      </c>
      <c r="I815" t="s">
        <v>12</v>
      </c>
      <c r="J815">
        <f t="shared" si="24"/>
        <v>8</v>
      </c>
      <c r="K815" t="str">
        <f t="shared" si="25"/>
        <v>Budget</v>
      </c>
    </row>
    <row r="816" spans="2:11" x14ac:dyDescent="0.25">
      <c r="B816" t="s">
        <v>306</v>
      </c>
      <c r="C816">
        <v>2018</v>
      </c>
      <c r="D816" s="1">
        <v>300000</v>
      </c>
      <c r="E816">
        <v>10500</v>
      </c>
      <c r="F816" t="s">
        <v>9</v>
      </c>
      <c r="G816" t="s">
        <v>10</v>
      </c>
      <c r="H816" t="s">
        <v>11</v>
      </c>
      <c r="I816" t="s">
        <v>12</v>
      </c>
      <c r="J816">
        <f t="shared" si="24"/>
        <v>8</v>
      </c>
      <c r="K816" t="str">
        <f t="shared" si="25"/>
        <v>Budget</v>
      </c>
    </row>
    <row r="817" spans="2:11" x14ac:dyDescent="0.25">
      <c r="B817" t="s">
        <v>572</v>
      </c>
      <c r="C817">
        <v>2013</v>
      </c>
      <c r="D817" s="1">
        <v>400000</v>
      </c>
      <c r="E817">
        <v>107000</v>
      </c>
      <c r="F817" t="s">
        <v>15</v>
      </c>
      <c r="G817" t="s">
        <v>10</v>
      </c>
      <c r="H817" t="s">
        <v>11</v>
      </c>
      <c r="I817" t="s">
        <v>12</v>
      </c>
      <c r="J817">
        <f t="shared" si="24"/>
        <v>13</v>
      </c>
      <c r="K817" t="str">
        <f t="shared" si="25"/>
        <v>Budget</v>
      </c>
    </row>
    <row r="818" spans="2:11" x14ac:dyDescent="0.25">
      <c r="B818" t="s">
        <v>80</v>
      </c>
      <c r="C818">
        <v>2010</v>
      </c>
      <c r="D818" s="1">
        <v>210000</v>
      </c>
      <c r="E818">
        <v>60000</v>
      </c>
      <c r="F818" t="s">
        <v>9</v>
      </c>
      <c r="G818" t="s">
        <v>10</v>
      </c>
      <c r="H818" t="s">
        <v>11</v>
      </c>
      <c r="I818" t="s">
        <v>18</v>
      </c>
      <c r="J818">
        <f t="shared" si="24"/>
        <v>16</v>
      </c>
      <c r="K818" t="str">
        <f t="shared" si="25"/>
        <v>Budget</v>
      </c>
    </row>
    <row r="819" spans="2:11" x14ac:dyDescent="0.25">
      <c r="B819" t="s">
        <v>573</v>
      </c>
      <c r="C819">
        <v>2006</v>
      </c>
      <c r="D819" s="1">
        <v>90000</v>
      </c>
      <c r="E819">
        <v>120000</v>
      </c>
      <c r="F819" t="s">
        <v>9</v>
      </c>
      <c r="G819" t="s">
        <v>10</v>
      </c>
      <c r="H819" t="s">
        <v>11</v>
      </c>
      <c r="I819" t="s">
        <v>18</v>
      </c>
      <c r="J819">
        <f t="shared" si="24"/>
        <v>20</v>
      </c>
      <c r="K819" t="str">
        <f t="shared" si="25"/>
        <v>Budget</v>
      </c>
    </row>
    <row r="820" spans="2:11" x14ac:dyDescent="0.25">
      <c r="B820" t="s">
        <v>500</v>
      </c>
      <c r="C820">
        <v>2010</v>
      </c>
      <c r="D820" s="1">
        <v>222000</v>
      </c>
      <c r="E820">
        <v>70000</v>
      </c>
      <c r="F820" t="s">
        <v>9</v>
      </c>
      <c r="G820" t="s">
        <v>10</v>
      </c>
      <c r="H820" t="s">
        <v>11</v>
      </c>
      <c r="I820" t="s">
        <v>12</v>
      </c>
      <c r="J820">
        <f t="shared" si="24"/>
        <v>16</v>
      </c>
      <c r="K820" t="str">
        <f t="shared" si="25"/>
        <v>Budget</v>
      </c>
    </row>
    <row r="821" spans="2:11" x14ac:dyDescent="0.25">
      <c r="B821" t="s">
        <v>249</v>
      </c>
      <c r="C821">
        <v>2015</v>
      </c>
      <c r="D821" s="1">
        <v>240000</v>
      </c>
      <c r="E821">
        <v>50000</v>
      </c>
      <c r="F821" t="s">
        <v>9</v>
      </c>
      <c r="G821" t="s">
        <v>10</v>
      </c>
      <c r="H821" t="s">
        <v>11</v>
      </c>
      <c r="I821" t="s">
        <v>18</v>
      </c>
      <c r="J821">
        <f t="shared" si="24"/>
        <v>11</v>
      </c>
      <c r="K821" t="str">
        <f t="shared" si="25"/>
        <v>Budget</v>
      </c>
    </row>
    <row r="822" spans="2:11" x14ac:dyDescent="0.25">
      <c r="B822" t="s">
        <v>287</v>
      </c>
      <c r="C822">
        <v>2013</v>
      </c>
      <c r="D822" s="1">
        <v>450000</v>
      </c>
      <c r="E822">
        <v>70000</v>
      </c>
      <c r="F822" t="s">
        <v>15</v>
      </c>
      <c r="G822" t="s">
        <v>10</v>
      </c>
      <c r="H822" t="s">
        <v>11</v>
      </c>
      <c r="I822" t="s">
        <v>18</v>
      </c>
      <c r="J822">
        <f t="shared" si="24"/>
        <v>13</v>
      </c>
      <c r="K822" t="str">
        <f t="shared" si="25"/>
        <v>Budget</v>
      </c>
    </row>
    <row r="823" spans="2:11" x14ac:dyDescent="0.25">
      <c r="B823" t="s">
        <v>574</v>
      </c>
      <c r="C823">
        <v>2012</v>
      </c>
      <c r="D823" s="1">
        <v>735000</v>
      </c>
      <c r="E823">
        <v>55300</v>
      </c>
      <c r="F823" t="s">
        <v>15</v>
      </c>
      <c r="G823" t="s">
        <v>27</v>
      </c>
      <c r="H823" t="s">
        <v>28</v>
      </c>
      <c r="I823" t="s">
        <v>12</v>
      </c>
      <c r="J823">
        <f t="shared" si="24"/>
        <v>14</v>
      </c>
      <c r="K823" t="str">
        <f t="shared" si="25"/>
        <v>Mid Range</v>
      </c>
    </row>
    <row r="824" spans="2:11" x14ac:dyDescent="0.25">
      <c r="B824" t="s">
        <v>575</v>
      </c>
      <c r="C824">
        <v>2012</v>
      </c>
      <c r="D824" s="1">
        <v>285000</v>
      </c>
      <c r="E824">
        <v>74300</v>
      </c>
      <c r="F824" t="s">
        <v>15</v>
      </c>
      <c r="G824" t="s">
        <v>27</v>
      </c>
      <c r="H824" t="s">
        <v>11</v>
      </c>
      <c r="I824" t="s">
        <v>12</v>
      </c>
      <c r="J824">
        <f t="shared" si="24"/>
        <v>14</v>
      </c>
      <c r="K824" t="str">
        <f t="shared" si="25"/>
        <v>Budget</v>
      </c>
    </row>
    <row r="825" spans="2:11" x14ac:dyDescent="0.25">
      <c r="B825" t="s">
        <v>576</v>
      </c>
      <c r="C825">
        <v>2010</v>
      </c>
      <c r="D825" s="1">
        <v>350000</v>
      </c>
      <c r="E825">
        <v>48781</v>
      </c>
      <c r="F825" t="s">
        <v>9</v>
      </c>
      <c r="G825" t="s">
        <v>27</v>
      </c>
      <c r="H825" t="s">
        <v>11</v>
      </c>
      <c r="I825" t="s">
        <v>12</v>
      </c>
      <c r="J825">
        <f t="shared" si="24"/>
        <v>16</v>
      </c>
      <c r="K825" t="str">
        <f t="shared" si="25"/>
        <v>Budget</v>
      </c>
    </row>
    <row r="826" spans="2:11" x14ac:dyDescent="0.25">
      <c r="B826" t="s">
        <v>577</v>
      </c>
      <c r="C826">
        <v>2010</v>
      </c>
      <c r="D826" s="1">
        <v>290000</v>
      </c>
      <c r="E826">
        <v>87620</v>
      </c>
      <c r="F826" t="s">
        <v>15</v>
      </c>
      <c r="G826" t="s">
        <v>27</v>
      </c>
      <c r="H826" t="s">
        <v>28</v>
      </c>
      <c r="I826" t="s">
        <v>12</v>
      </c>
      <c r="J826">
        <f t="shared" si="24"/>
        <v>16</v>
      </c>
      <c r="K826" t="str">
        <f t="shared" si="25"/>
        <v>Budget</v>
      </c>
    </row>
    <row r="827" spans="2:11" x14ac:dyDescent="0.25">
      <c r="B827" t="s">
        <v>578</v>
      </c>
      <c r="C827">
        <v>2017</v>
      </c>
      <c r="D827" s="1">
        <v>890000</v>
      </c>
      <c r="E827">
        <v>40219</v>
      </c>
      <c r="F827" t="s">
        <v>15</v>
      </c>
      <c r="G827" t="s">
        <v>27</v>
      </c>
      <c r="H827" t="s">
        <v>28</v>
      </c>
      <c r="I827" t="s">
        <v>12</v>
      </c>
      <c r="J827">
        <f t="shared" si="24"/>
        <v>9</v>
      </c>
      <c r="K827" t="str">
        <f t="shared" si="25"/>
        <v>Mid Range</v>
      </c>
    </row>
    <row r="828" spans="2:11" x14ac:dyDescent="0.25">
      <c r="B828" t="s">
        <v>457</v>
      </c>
      <c r="C828">
        <v>2011</v>
      </c>
      <c r="D828" s="1">
        <v>385000</v>
      </c>
      <c r="E828">
        <v>11473</v>
      </c>
      <c r="F828" t="s">
        <v>9</v>
      </c>
      <c r="G828" t="s">
        <v>27</v>
      </c>
      <c r="H828" t="s">
        <v>11</v>
      </c>
      <c r="I828" t="s">
        <v>12</v>
      </c>
      <c r="J828">
        <f t="shared" si="24"/>
        <v>15</v>
      </c>
      <c r="K828" t="str">
        <f t="shared" si="25"/>
        <v>Budget</v>
      </c>
    </row>
    <row r="829" spans="2:11" x14ac:dyDescent="0.25">
      <c r="B829" t="s">
        <v>60</v>
      </c>
      <c r="C829">
        <v>2017</v>
      </c>
      <c r="D829" s="1">
        <v>425000</v>
      </c>
      <c r="E829">
        <v>8352</v>
      </c>
      <c r="F829" t="s">
        <v>9</v>
      </c>
      <c r="G829" t="s">
        <v>27</v>
      </c>
      <c r="H829" t="s">
        <v>11</v>
      </c>
      <c r="I829" t="s">
        <v>12</v>
      </c>
      <c r="J829">
        <f t="shared" si="24"/>
        <v>9</v>
      </c>
      <c r="K829" t="str">
        <f t="shared" si="25"/>
        <v>Budget</v>
      </c>
    </row>
    <row r="830" spans="2:11" x14ac:dyDescent="0.25">
      <c r="B830" t="s">
        <v>579</v>
      </c>
      <c r="C830">
        <v>2017</v>
      </c>
      <c r="D830" s="1">
        <v>525000</v>
      </c>
      <c r="E830">
        <v>9745</v>
      </c>
      <c r="F830" t="s">
        <v>9</v>
      </c>
      <c r="G830" t="s">
        <v>27</v>
      </c>
      <c r="H830" t="s">
        <v>28</v>
      </c>
      <c r="I830" t="s">
        <v>12</v>
      </c>
      <c r="J830">
        <f t="shared" si="24"/>
        <v>9</v>
      </c>
      <c r="K830" t="str">
        <f t="shared" si="25"/>
        <v>Mid Range</v>
      </c>
    </row>
    <row r="831" spans="2:11" x14ac:dyDescent="0.25">
      <c r="B831" t="s">
        <v>580</v>
      </c>
      <c r="C831">
        <v>2017</v>
      </c>
      <c r="D831" s="1">
        <v>550000</v>
      </c>
      <c r="E831">
        <v>9748</v>
      </c>
      <c r="F831" t="s">
        <v>9</v>
      </c>
      <c r="G831" t="s">
        <v>27</v>
      </c>
      <c r="H831" t="s">
        <v>11</v>
      </c>
      <c r="I831" t="s">
        <v>12</v>
      </c>
      <c r="J831">
        <f t="shared" si="24"/>
        <v>9</v>
      </c>
      <c r="K831" t="str">
        <f t="shared" si="25"/>
        <v>Mid Range</v>
      </c>
    </row>
    <row r="832" spans="2:11" x14ac:dyDescent="0.25">
      <c r="B832" t="s">
        <v>581</v>
      </c>
      <c r="C832">
        <v>2012</v>
      </c>
      <c r="D832" s="1">
        <v>271000</v>
      </c>
      <c r="E832">
        <v>49000</v>
      </c>
      <c r="F832" t="s">
        <v>9</v>
      </c>
      <c r="G832" t="s">
        <v>27</v>
      </c>
      <c r="H832" t="s">
        <v>11</v>
      </c>
      <c r="I832" t="s">
        <v>12</v>
      </c>
      <c r="J832">
        <f t="shared" si="24"/>
        <v>14</v>
      </c>
      <c r="K832" t="str">
        <f t="shared" si="25"/>
        <v>Budget</v>
      </c>
    </row>
    <row r="833" spans="2:11" x14ac:dyDescent="0.25">
      <c r="B833" t="s">
        <v>582</v>
      </c>
      <c r="C833">
        <v>2018</v>
      </c>
      <c r="D833" s="1">
        <v>1490000</v>
      </c>
      <c r="E833">
        <v>20694</v>
      </c>
      <c r="F833" t="s">
        <v>15</v>
      </c>
      <c r="G833" t="s">
        <v>27</v>
      </c>
      <c r="H833" t="s">
        <v>11</v>
      </c>
      <c r="I833" t="s">
        <v>12</v>
      </c>
      <c r="J833">
        <f t="shared" si="24"/>
        <v>8</v>
      </c>
      <c r="K833" t="str">
        <f t="shared" si="25"/>
        <v>Premium</v>
      </c>
    </row>
    <row r="834" spans="2:11" x14ac:dyDescent="0.25">
      <c r="B834" t="s">
        <v>583</v>
      </c>
      <c r="C834">
        <v>2015</v>
      </c>
      <c r="D834" s="1">
        <v>490000</v>
      </c>
      <c r="E834">
        <v>31080</v>
      </c>
      <c r="F834" t="s">
        <v>9</v>
      </c>
      <c r="G834" t="s">
        <v>27</v>
      </c>
      <c r="H834" t="s">
        <v>11</v>
      </c>
      <c r="I834" t="s">
        <v>12</v>
      </c>
      <c r="J834">
        <f t="shared" si="24"/>
        <v>11</v>
      </c>
      <c r="K834" t="str">
        <f t="shared" si="25"/>
        <v>Budget</v>
      </c>
    </row>
    <row r="835" spans="2:11" x14ac:dyDescent="0.25">
      <c r="B835" t="s">
        <v>136</v>
      </c>
      <c r="C835">
        <v>2014</v>
      </c>
      <c r="D835" s="1">
        <v>260000</v>
      </c>
      <c r="E835">
        <v>37605</v>
      </c>
      <c r="F835" t="s">
        <v>9</v>
      </c>
      <c r="G835" t="s">
        <v>27</v>
      </c>
      <c r="H835" t="s">
        <v>11</v>
      </c>
      <c r="I835" t="s">
        <v>12</v>
      </c>
      <c r="J835">
        <f t="shared" si="24"/>
        <v>12</v>
      </c>
      <c r="K835" t="str">
        <f t="shared" si="25"/>
        <v>Budget</v>
      </c>
    </row>
    <row r="836" spans="2:11" x14ac:dyDescent="0.25">
      <c r="B836" t="s">
        <v>468</v>
      </c>
      <c r="C836">
        <v>2014</v>
      </c>
      <c r="D836" s="1">
        <v>455000</v>
      </c>
      <c r="E836">
        <v>55850</v>
      </c>
      <c r="F836" t="s">
        <v>15</v>
      </c>
      <c r="G836" t="s">
        <v>27</v>
      </c>
      <c r="H836" t="s">
        <v>11</v>
      </c>
      <c r="I836" t="s">
        <v>12</v>
      </c>
      <c r="J836">
        <f t="shared" si="24"/>
        <v>12</v>
      </c>
      <c r="K836" t="str">
        <f t="shared" si="25"/>
        <v>Budget</v>
      </c>
    </row>
    <row r="837" spans="2:11" x14ac:dyDescent="0.25">
      <c r="B837" t="s">
        <v>123</v>
      </c>
      <c r="C837">
        <v>2010</v>
      </c>
      <c r="D837" s="1">
        <v>75000</v>
      </c>
      <c r="E837">
        <v>58850</v>
      </c>
      <c r="F837" t="s">
        <v>9</v>
      </c>
      <c r="G837" t="s">
        <v>27</v>
      </c>
      <c r="H837" t="s">
        <v>11</v>
      </c>
      <c r="I837" t="s">
        <v>12</v>
      </c>
      <c r="J837">
        <f t="shared" si="24"/>
        <v>16</v>
      </c>
      <c r="K837" t="str">
        <f t="shared" si="25"/>
        <v>Budget</v>
      </c>
    </row>
    <row r="838" spans="2:11" x14ac:dyDescent="0.25">
      <c r="B838" t="s">
        <v>548</v>
      </c>
      <c r="C838">
        <v>2015</v>
      </c>
      <c r="D838" s="1">
        <v>421000</v>
      </c>
      <c r="E838">
        <v>23839</v>
      </c>
      <c r="F838" t="s">
        <v>9</v>
      </c>
      <c r="G838" t="s">
        <v>27</v>
      </c>
      <c r="H838" t="s">
        <v>11</v>
      </c>
      <c r="I838" t="s">
        <v>12</v>
      </c>
      <c r="J838">
        <f t="shared" ref="J838:J901" si="26">2026 - C838</f>
        <v>11</v>
      </c>
      <c r="K838" t="str">
        <f t="shared" ref="K838:K901" si="27">IF(D838&lt;500000,"Budget",IF(D838&lt;=1000000,"Mid Range","Premium"))</f>
        <v>Budget</v>
      </c>
    </row>
    <row r="839" spans="2:11" x14ac:dyDescent="0.25">
      <c r="B839" t="s">
        <v>584</v>
      </c>
      <c r="C839">
        <v>2016</v>
      </c>
      <c r="D839" s="1">
        <v>550000</v>
      </c>
      <c r="E839">
        <v>54000</v>
      </c>
      <c r="F839" t="s">
        <v>15</v>
      </c>
      <c r="G839" t="s">
        <v>27</v>
      </c>
      <c r="H839" t="s">
        <v>11</v>
      </c>
      <c r="I839" t="s">
        <v>12</v>
      </c>
      <c r="J839">
        <f t="shared" si="26"/>
        <v>10</v>
      </c>
      <c r="K839" t="str">
        <f t="shared" si="27"/>
        <v>Mid Range</v>
      </c>
    </row>
    <row r="840" spans="2:11" x14ac:dyDescent="0.25">
      <c r="B840" t="s">
        <v>585</v>
      </c>
      <c r="C840">
        <v>2013</v>
      </c>
      <c r="D840" s="1">
        <v>330000</v>
      </c>
      <c r="E840">
        <v>38000</v>
      </c>
      <c r="F840" t="s">
        <v>9</v>
      </c>
      <c r="G840" t="s">
        <v>27</v>
      </c>
      <c r="H840" t="s">
        <v>28</v>
      </c>
      <c r="I840" t="s">
        <v>12</v>
      </c>
      <c r="J840">
        <f t="shared" si="26"/>
        <v>13</v>
      </c>
      <c r="K840" t="str">
        <f t="shared" si="27"/>
        <v>Budget</v>
      </c>
    </row>
    <row r="841" spans="2:11" x14ac:dyDescent="0.25">
      <c r="B841" t="s">
        <v>586</v>
      </c>
      <c r="C841">
        <v>2012</v>
      </c>
      <c r="D841" s="1">
        <v>390000</v>
      </c>
      <c r="E841">
        <v>45454</v>
      </c>
      <c r="F841" t="s">
        <v>15</v>
      </c>
      <c r="G841" t="s">
        <v>27</v>
      </c>
      <c r="H841" t="s">
        <v>11</v>
      </c>
      <c r="I841" t="s">
        <v>12</v>
      </c>
      <c r="J841">
        <f t="shared" si="26"/>
        <v>14</v>
      </c>
      <c r="K841" t="str">
        <f t="shared" si="27"/>
        <v>Budget</v>
      </c>
    </row>
    <row r="842" spans="2:11" x14ac:dyDescent="0.25">
      <c r="B842" t="s">
        <v>587</v>
      </c>
      <c r="C842">
        <v>2015</v>
      </c>
      <c r="D842" s="1">
        <v>599000</v>
      </c>
      <c r="E842">
        <v>46957</v>
      </c>
      <c r="F842" t="s">
        <v>15</v>
      </c>
      <c r="G842" t="s">
        <v>27</v>
      </c>
      <c r="H842" t="s">
        <v>28</v>
      </c>
      <c r="I842" t="s">
        <v>12</v>
      </c>
      <c r="J842">
        <f t="shared" si="26"/>
        <v>11</v>
      </c>
      <c r="K842" t="str">
        <f t="shared" si="27"/>
        <v>Mid Range</v>
      </c>
    </row>
    <row r="843" spans="2:11" x14ac:dyDescent="0.25">
      <c r="B843" t="s">
        <v>588</v>
      </c>
      <c r="C843">
        <v>2007</v>
      </c>
      <c r="D843" s="1">
        <v>110000</v>
      </c>
      <c r="E843">
        <v>60000</v>
      </c>
      <c r="F843" t="s">
        <v>9</v>
      </c>
      <c r="G843" t="s">
        <v>10</v>
      </c>
      <c r="H843" t="s">
        <v>11</v>
      </c>
      <c r="I843" t="s">
        <v>46</v>
      </c>
      <c r="J843">
        <f t="shared" si="26"/>
        <v>19</v>
      </c>
      <c r="K843" t="str">
        <f t="shared" si="27"/>
        <v>Budget</v>
      </c>
    </row>
    <row r="844" spans="2:11" x14ac:dyDescent="0.25">
      <c r="B844" t="s">
        <v>305</v>
      </c>
      <c r="C844">
        <v>2016</v>
      </c>
      <c r="D844" s="1">
        <v>250000</v>
      </c>
      <c r="E844">
        <v>25000</v>
      </c>
      <c r="F844" t="s">
        <v>9</v>
      </c>
      <c r="G844" t="s">
        <v>10</v>
      </c>
      <c r="H844" t="s">
        <v>11</v>
      </c>
      <c r="I844" t="s">
        <v>12</v>
      </c>
      <c r="J844">
        <f t="shared" si="26"/>
        <v>10</v>
      </c>
      <c r="K844" t="str">
        <f t="shared" si="27"/>
        <v>Budget</v>
      </c>
    </row>
    <row r="845" spans="2:11" x14ac:dyDescent="0.25">
      <c r="B845" t="s">
        <v>589</v>
      </c>
      <c r="C845">
        <v>2012</v>
      </c>
      <c r="D845" s="1">
        <v>600000</v>
      </c>
      <c r="E845">
        <v>110000</v>
      </c>
      <c r="F845" t="s">
        <v>15</v>
      </c>
      <c r="G845" t="s">
        <v>10</v>
      </c>
      <c r="H845" t="s">
        <v>11</v>
      </c>
      <c r="I845" t="s">
        <v>46</v>
      </c>
      <c r="J845">
        <f t="shared" si="26"/>
        <v>14</v>
      </c>
      <c r="K845" t="str">
        <f t="shared" si="27"/>
        <v>Mid Range</v>
      </c>
    </row>
    <row r="846" spans="2:11" x14ac:dyDescent="0.25">
      <c r="B846" t="s">
        <v>590</v>
      </c>
      <c r="C846">
        <v>2008</v>
      </c>
      <c r="D846" s="1">
        <v>280000</v>
      </c>
      <c r="E846">
        <v>190000</v>
      </c>
      <c r="F846" t="s">
        <v>15</v>
      </c>
      <c r="G846" t="s">
        <v>10</v>
      </c>
      <c r="H846" t="s">
        <v>11</v>
      </c>
      <c r="I846" t="s">
        <v>18</v>
      </c>
      <c r="J846">
        <f t="shared" si="26"/>
        <v>18</v>
      </c>
      <c r="K846" t="str">
        <f t="shared" si="27"/>
        <v>Budget</v>
      </c>
    </row>
    <row r="847" spans="2:11" x14ac:dyDescent="0.25">
      <c r="B847" t="s">
        <v>591</v>
      </c>
      <c r="C847">
        <v>2018</v>
      </c>
      <c r="D847" s="1">
        <v>2700000</v>
      </c>
      <c r="E847">
        <v>25000</v>
      </c>
      <c r="F847" t="s">
        <v>15</v>
      </c>
      <c r="G847" t="s">
        <v>10</v>
      </c>
      <c r="H847" t="s">
        <v>28</v>
      </c>
      <c r="I847" t="s">
        <v>12</v>
      </c>
      <c r="J847">
        <f t="shared" si="26"/>
        <v>8</v>
      </c>
      <c r="K847" t="str">
        <f t="shared" si="27"/>
        <v>Premium</v>
      </c>
    </row>
    <row r="848" spans="2:11" x14ac:dyDescent="0.25">
      <c r="B848" t="s">
        <v>444</v>
      </c>
      <c r="C848">
        <v>2008</v>
      </c>
      <c r="D848" s="1">
        <v>80000</v>
      </c>
      <c r="E848">
        <v>90000</v>
      </c>
      <c r="F848" t="s">
        <v>9</v>
      </c>
      <c r="G848" t="s">
        <v>10</v>
      </c>
      <c r="H848" t="s">
        <v>11</v>
      </c>
      <c r="I848" t="s">
        <v>12</v>
      </c>
      <c r="J848">
        <f t="shared" si="26"/>
        <v>18</v>
      </c>
      <c r="K848" t="str">
        <f t="shared" si="27"/>
        <v>Budget</v>
      </c>
    </row>
    <row r="849" spans="2:11" x14ac:dyDescent="0.25">
      <c r="B849" t="s">
        <v>170</v>
      </c>
      <c r="C849">
        <v>2019</v>
      </c>
      <c r="D849" s="1">
        <v>350000</v>
      </c>
      <c r="E849">
        <v>5000</v>
      </c>
      <c r="F849" t="s">
        <v>9</v>
      </c>
      <c r="G849" t="s">
        <v>10</v>
      </c>
      <c r="H849" t="s">
        <v>11</v>
      </c>
      <c r="I849" t="s">
        <v>12</v>
      </c>
      <c r="J849">
        <f t="shared" si="26"/>
        <v>7</v>
      </c>
      <c r="K849" t="str">
        <f t="shared" si="27"/>
        <v>Budget</v>
      </c>
    </row>
    <row r="850" spans="2:11" x14ac:dyDescent="0.25">
      <c r="B850" t="s">
        <v>162</v>
      </c>
      <c r="C850">
        <v>2015</v>
      </c>
      <c r="D850" s="1">
        <v>475000</v>
      </c>
      <c r="E850">
        <v>60000</v>
      </c>
      <c r="F850" t="s">
        <v>15</v>
      </c>
      <c r="G850" t="s">
        <v>10</v>
      </c>
      <c r="H850" t="s">
        <v>11</v>
      </c>
      <c r="I850" t="s">
        <v>12</v>
      </c>
      <c r="J850">
        <f t="shared" si="26"/>
        <v>11</v>
      </c>
      <c r="K850" t="str">
        <f t="shared" si="27"/>
        <v>Budget</v>
      </c>
    </row>
    <row r="851" spans="2:11" x14ac:dyDescent="0.25">
      <c r="B851" t="s">
        <v>592</v>
      </c>
      <c r="C851">
        <v>2020</v>
      </c>
      <c r="D851" s="1">
        <v>4700000</v>
      </c>
      <c r="E851">
        <v>1500</v>
      </c>
      <c r="F851" t="s">
        <v>15</v>
      </c>
      <c r="G851" t="s">
        <v>10</v>
      </c>
      <c r="H851" t="s">
        <v>28</v>
      </c>
      <c r="I851" t="s">
        <v>12</v>
      </c>
      <c r="J851">
        <f t="shared" si="26"/>
        <v>6</v>
      </c>
      <c r="K851" t="str">
        <f t="shared" si="27"/>
        <v>Premium</v>
      </c>
    </row>
    <row r="852" spans="2:11" x14ac:dyDescent="0.25">
      <c r="B852" t="s">
        <v>114</v>
      </c>
      <c r="C852">
        <v>2018</v>
      </c>
      <c r="D852" s="1">
        <v>500000</v>
      </c>
      <c r="E852">
        <v>50000</v>
      </c>
      <c r="F852" t="s">
        <v>15</v>
      </c>
      <c r="G852" t="s">
        <v>10</v>
      </c>
      <c r="H852" t="s">
        <v>11</v>
      </c>
      <c r="I852" t="s">
        <v>12</v>
      </c>
      <c r="J852">
        <f t="shared" si="26"/>
        <v>8</v>
      </c>
      <c r="K852" t="str">
        <f t="shared" si="27"/>
        <v>Mid Range</v>
      </c>
    </row>
    <row r="853" spans="2:11" x14ac:dyDescent="0.25">
      <c r="B853" t="s">
        <v>593</v>
      </c>
      <c r="C853">
        <v>2014</v>
      </c>
      <c r="D853" s="1">
        <v>250000</v>
      </c>
      <c r="E853">
        <v>120000</v>
      </c>
      <c r="F853" t="s">
        <v>15</v>
      </c>
      <c r="G853" t="s">
        <v>10</v>
      </c>
      <c r="H853" t="s">
        <v>11</v>
      </c>
      <c r="I853" t="s">
        <v>12</v>
      </c>
      <c r="J853">
        <f t="shared" si="26"/>
        <v>12</v>
      </c>
      <c r="K853" t="str">
        <f t="shared" si="27"/>
        <v>Budget</v>
      </c>
    </row>
    <row r="854" spans="2:11" x14ac:dyDescent="0.25">
      <c r="B854" t="s">
        <v>594</v>
      </c>
      <c r="C854">
        <v>2005</v>
      </c>
      <c r="D854" s="1">
        <v>100000</v>
      </c>
      <c r="E854">
        <v>120000</v>
      </c>
      <c r="F854" t="s">
        <v>15</v>
      </c>
      <c r="G854" t="s">
        <v>10</v>
      </c>
      <c r="H854" t="s">
        <v>11</v>
      </c>
      <c r="I854" t="s">
        <v>18</v>
      </c>
      <c r="J854">
        <f t="shared" si="26"/>
        <v>21</v>
      </c>
      <c r="K854" t="str">
        <f t="shared" si="27"/>
        <v>Budget</v>
      </c>
    </row>
    <row r="855" spans="2:11" x14ac:dyDescent="0.25">
      <c r="B855" t="s">
        <v>372</v>
      </c>
      <c r="C855">
        <v>2019</v>
      </c>
      <c r="D855" s="1">
        <v>350000</v>
      </c>
      <c r="E855">
        <v>5000</v>
      </c>
      <c r="F855" t="s">
        <v>9</v>
      </c>
      <c r="G855" t="s">
        <v>10</v>
      </c>
      <c r="H855" t="s">
        <v>11</v>
      </c>
      <c r="I855" t="s">
        <v>12</v>
      </c>
      <c r="J855">
        <f t="shared" si="26"/>
        <v>7</v>
      </c>
      <c r="K855" t="str">
        <f t="shared" si="27"/>
        <v>Budget</v>
      </c>
    </row>
    <row r="856" spans="2:11" x14ac:dyDescent="0.25">
      <c r="B856" t="s">
        <v>595</v>
      </c>
      <c r="C856">
        <v>2014</v>
      </c>
      <c r="D856" s="1">
        <v>4000000</v>
      </c>
      <c r="E856">
        <v>47000</v>
      </c>
      <c r="F856" t="s">
        <v>15</v>
      </c>
      <c r="G856" t="s">
        <v>10</v>
      </c>
      <c r="H856" t="s">
        <v>28</v>
      </c>
      <c r="I856" t="s">
        <v>12</v>
      </c>
      <c r="J856">
        <f t="shared" si="26"/>
        <v>12</v>
      </c>
      <c r="K856" t="str">
        <f t="shared" si="27"/>
        <v>Premium</v>
      </c>
    </row>
    <row r="857" spans="2:11" x14ac:dyDescent="0.25">
      <c r="B857" t="s">
        <v>596</v>
      </c>
      <c r="C857">
        <v>2017</v>
      </c>
      <c r="D857" s="1">
        <v>1900000</v>
      </c>
      <c r="E857">
        <v>20000</v>
      </c>
      <c r="F857" t="s">
        <v>9</v>
      </c>
      <c r="G857" t="s">
        <v>10</v>
      </c>
      <c r="H857" t="s">
        <v>28</v>
      </c>
      <c r="I857" t="s">
        <v>12</v>
      </c>
      <c r="J857">
        <f t="shared" si="26"/>
        <v>9</v>
      </c>
      <c r="K857" t="str">
        <f t="shared" si="27"/>
        <v>Premium</v>
      </c>
    </row>
    <row r="858" spans="2:11" x14ac:dyDescent="0.25">
      <c r="B858" t="s">
        <v>164</v>
      </c>
      <c r="C858">
        <v>2005</v>
      </c>
      <c r="D858" s="1">
        <v>95000</v>
      </c>
      <c r="E858">
        <v>120000</v>
      </c>
      <c r="F858" t="s">
        <v>9</v>
      </c>
      <c r="G858" t="s">
        <v>10</v>
      </c>
      <c r="H858" t="s">
        <v>11</v>
      </c>
      <c r="I858" t="s">
        <v>18</v>
      </c>
      <c r="J858">
        <f t="shared" si="26"/>
        <v>21</v>
      </c>
      <c r="K858" t="str">
        <f t="shared" si="27"/>
        <v>Budget</v>
      </c>
    </row>
    <row r="859" spans="2:11" x14ac:dyDescent="0.25">
      <c r="B859" t="s">
        <v>84</v>
      </c>
      <c r="C859">
        <v>2015</v>
      </c>
      <c r="D859" s="1">
        <v>409999</v>
      </c>
      <c r="E859">
        <v>58000</v>
      </c>
      <c r="F859" t="s">
        <v>15</v>
      </c>
      <c r="G859" t="s">
        <v>10</v>
      </c>
      <c r="H859" t="s">
        <v>11</v>
      </c>
      <c r="I859" t="s">
        <v>12</v>
      </c>
      <c r="J859">
        <f t="shared" si="26"/>
        <v>11</v>
      </c>
      <c r="K859" t="str">
        <f t="shared" si="27"/>
        <v>Budget</v>
      </c>
    </row>
    <row r="860" spans="2:11" x14ac:dyDescent="0.25">
      <c r="B860" t="s">
        <v>597</v>
      </c>
      <c r="C860">
        <v>2018</v>
      </c>
      <c r="D860" s="1">
        <v>1050000</v>
      </c>
      <c r="E860">
        <v>35000</v>
      </c>
      <c r="F860" t="s">
        <v>15</v>
      </c>
      <c r="G860" t="s">
        <v>10</v>
      </c>
      <c r="H860" t="s">
        <v>11</v>
      </c>
      <c r="I860" t="s">
        <v>12</v>
      </c>
      <c r="J860">
        <f t="shared" si="26"/>
        <v>8</v>
      </c>
      <c r="K860" t="str">
        <f t="shared" si="27"/>
        <v>Premium</v>
      </c>
    </row>
    <row r="861" spans="2:11" x14ac:dyDescent="0.25">
      <c r="B861" t="s">
        <v>170</v>
      </c>
      <c r="C861">
        <v>2017</v>
      </c>
      <c r="D861" s="1">
        <v>320000</v>
      </c>
      <c r="E861">
        <v>30000</v>
      </c>
      <c r="F861" t="s">
        <v>9</v>
      </c>
      <c r="G861" t="s">
        <v>10</v>
      </c>
      <c r="H861" t="s">
        <v>11</v>
      </c>
      <c r="I861" t="s">
        <v>12</v>
      </c>
      <c r="J861">
        <f t="shared" si="26"/>
        <v>9</v>
      </c>
      <c r="K861" t="str">
        <f t="shared" si="27"/>
        <v>Budget</v>
      </c>
    </row>
    <row r="862" spans="2:11" x14ac:dyDescent="0.25">
      <c r="B862" t="s">
        <v>598</v>
      </c>
      <c r="C862">
        <v>2019</v>
      </c>
      <c r="D862" s="1">
        <v>1000000</v>
      </c>
      <c r="E862">
        <v>10000</v>
      </c>
      <c r="F862" t="s">
        <v>15</v>
      </c>
      <c r="G862" t="s">
        <v>10</v>
      </c>
      <c r="H862" t="s">
        <v>11</v>
      </c>
      <c r="I862" t="s">
        <v>12</v>
      </c>
      <c r="J862">
        <f t="shared" si="26"/>
        <v>7</v>
      </c>
      <c r="K862" t="str">
        <f t="shared" si="27"/>
        <v>Mid Range</v>
      </c>
    </row>
    <row r="863" spans="2:11" x14ac:dyDescent="0.25">
      <c r="B863" t="s">
        <v>492</v>
      </c>
      <c r="C863">
        <v>2017</v>
      </c>
      <c r="D863" s="1">
        <v>1770000</v>
      </c>
      <c r="E863">
        <v>25000</v>
      </c>
      <c r="F863" t="s">
        <v>15</v>
      </c>
      <c r="G863" t="s">
        <v>10</v>
      </c>
      <c r="H863" t="s">
        <v>11</v>
      </c>
      <c r="I863" t="s">
        <v>12</v>
      </c>
      <c r="J863">
        <f t="shared" si="26"/>
        <v>9</v>
      </c>
      <c r="K863" t="str">
        <f t="shared" si="27"/>
        <v>Premium</v>
      </c>
    </row>
    <row r="864" spans="2:11" x14ac:dyDescent="0.25">
      <c r="B864" t="s">
        <v>599</v>
      </c>
      <c r="C864">
        <v>2018</v>
      </c>
      <c r="D864" s="1">
        <v>950000</v>
      </c>
      <c r="E864">
        <v>20000</v>
      </c>
      <c r="F864" t="s">
        <v>15</v>
      </c>
      <c r="G864" t="s">
        <v>10</v>
      </c>
      <c r="H864" t="s">
        <v>11</v>
      </c>
      <c r="I864" t="s">
        <v>12</v>
      </c>
      <c r="J864">
        <f t="shared" si="26"/>
        <v>8</v>
      </c>
      <c r="K864" t="str">
        <f t="shared" si="27"/>
        <v>Mid Range</v>
      </c>
    </row>
    <row r="865" spans="2:11" x14ac:dyDescent="0.25">
      <c r="B865" t="s">
        <v>366</v>
      </c>
      <c r="C865">
        <v>2018</v>
      </c>
      <c r="D865" s="1">
        <v>750000</v>
      </c>
      <c r="E865">
        <v>50000</v>
      </c>
      <c r="F865" t="s">
        <v>15</v>
      </c>
      <c r="G865" t="s">
        <v>10</v>
      </c>
      <c r="H865" t="s">
        <v>11</v>
      </c>
      <c r="I865" t="s">
        <v>12</v>
      </c>
      <c r="J865">
        <f t="shared" si="26"/>
        <v>8</v>
      </c>
      <c r="K865" t="str">
        <f t="shared" si="27"/>
        <v>Mid Range</v>
      </c>
    </row>
    <row r="866" spans="2:11" x14ac:dyDescent="0.25">
      <c r="B866" t="s">
        <v>68</v>
      </c>
      <c r="C866">
        <v>2014</v>
      </c>
      <c r="D866" s="1">
        <v>220000</v>
      </c>
      <c r="E866">
        <v>42000</v>
      </c>
      <c r="F866" t="s">
        <v>9</v>
      </c>
      <c r="G866" t="s">
        <v>10</v>
      </c>
      <c r="H866" t="s">
        <v>11</v>
      </c>
      <c r="I866" t="s">
        <v>12</v>
      </c>
      <c r="J866">
        <f t="shared" si="26"/>
        <v>12</v>
      </c>
      <c r="K866" t="str">
        <f t="shared" si="27"/>
        <v>Budget</v>
      </c>
    </row>
    <row r="867" spans="2:11" x14ac:dyDescent="0.25">
      <c r="B867" t="s">
        <v>450</v>
      </c>
      <c r="C867">
        <v>2017</v>
      </c>
      <c r="D867" s="1">
        <v>1000000</v>
      </c>
      <c r="E867">
        <v>50000</v>
      </c>
      <c r="F867" t="s">
        <v>15</v>
      </c>
      <c r="G867" t="s">
        <v>10</v>
      </c>
      <c r="H867" t="s">
        <v>11</v>
      </c>
      <c r="I867" t="s">
        <v>12</v>
      </c>
      <c r="J867">
        <f t="shared" si="26"/>
        <v>9</v>
      </c>
      <c r="K867" t="str">
        <f t="shared" si="27"/>
        <v>Mid Range</v>
      </c>
    </row>
    <row r="868" spans="2:11" x14ac:dyDescent="0.25">
      <c r="B868" t="s">
        <v>600</v>
      </c>
      <c r="C868">
        <v>2017</v>
      </c>
      <c r="D868" s="1">
        <v>660000</v>
      </c>
      <c r="E868">
        <v>116000</v>
      </c>
      <c r="F868" t="s">
        <v>15</v>
      </c>
      <c r="G868" t="s">
        <v>10</v>
      </c>
      <c r="H868" t="s">
        <v>11</v>
      </c>
      <c r="I868" t="s">
        <v>12</v>
      </c>
      <c r="J868">
        <f t="shared" si="26"/>
        <v>9</v>
      </c>
      <c r="K868" t="str">
        <f t="shared" si="27"/>
        <v>Mid Range</v>
      </c>
    </row>
    <row r="869" spans="2:11" x14ac:dyDescent="0.25">
      <c r="B869" t="s">
        <v>483</v>
      </c>
      <c r="C869">
        <v>2015</v>
      </c>
      <c r="D869" s="1">
        <v>716000</v>
      </c>
      <c r="E869">
        <v>100000</v>
      </c>
      <c r="F869" t="s">
        <v>15</v>
      </c>
      <c r="G869" t="s">
        <v>10</v>
      </c>
      <c r="H869" t="s">
        <v>11</v>
      </c>
      <c r="I869" t="s">
        <v>12</v>
      </c>
      <c r="J869">
        <f t="shared" si="26"/>
        <v>11</v>
      </c>
      <c r="K869" t="str">
        <f t="shared" si="27"/>
        <v>Mid Range</v>
      </c>
    </row>
    <row r="870" spans="2:11" x14ac:dyDescent="0.25">
      <c r="B870" t="s">
        <v>601</v>
      </c>
      <c r="C870">
        <v>2015</v>
      </c>
      <c r="D870" s="1">
        <v>675000</v>
      </c>
      <c r="E870">
        <v>66000</v>
      </c>
      <c r="F870" t="s">
        <v>9</v>
      </c>
      <c r="G870" t="s">
        <v>10</v>
      </c>
      <c r="H870" t="s">
        <v>11</v>
      </c>
      <c r="I870" t="s">
        <v>12</v>
      </c>
      <c r="J870">
        <f t="shared" si="26"/>
        <v>11</v>
      </c>
      <c r="K870" t="str">
        <f t="shared" si="27"/>
        <v>Mid Range</v>
      </c>
    </row>
    <row r="871" spans="2:11" x14ac:dyDescent="0.25">
      <c r="B871" t="s">
        <v>55</v>
      </c>
      <c r="C871">
        <v>2010</v>
      </c>
      <c r="D871" s="1">
        <v>385000</v>
      </c>
      <c r="E871">
        <v>110000</v>
      </c>
      <c r="F871" t="s">
        <v>15</v>
      </c>
      <c r="G871" t="s">
        <v>10</v>
      </c>
      <c r="H871" t="s">
        <v>11</v>
      </c>
      <c r="I871" t="s">
        <v>49</v>
      </c>
      <c r="J871">
        <f t="shared" si="26"/>
        <v>16</v>
      </c>
      <c r="K871" t="str">
        <f t="shared" si="27"/>
        <v>Budget</v>
      </c>
    </row>
    <row r="872" spans="2:11" x14ac:dyDescent="0.25">
      <c r="B872" t="s">
        <v>602</v>
      </c>
      <c r="C872">
        <v>2014</v>
      </c>
      <c r="D872" s="1">
        <v>325000</v>
      </c>
      <c r="E872">
        <v>70000</v>
      </c>
      <c r="F872" t="s">
        <v>15</v>
      </c>
      <c r="G872" t="s">
        <v>10</v>
      </c>
      <c r="H872" t="s">
        <v>11</v>
      </c>
      <c r="I872" t="s">
        <v>12</v>
      </c>
      <c r="J872">
        <f t="shared" si="26"/>
        <v>12</v>
      </c>
      <c r="K872" t="str">
        <f t="shared" si="27"/>
        <v>Budget</v>
      </c>
    </row>
    <row r="873" spans="2:11" x14ac:dyDescent="0.25">
      <c r="B873" t="s">
        <v>582</v>
      </c>
      <c r="C873">
        <v>2015</v>
      </c>
      <c r="D873" s="1">
        <v>950000</v>
      </c>
      <c r="E873">
        <v>60000</v>
      </c>
      <c r="F873" t="s">
        <v>15</v>
      </c>
      <c r="G873" t="s">
        <v>10</v>
      </c>
      <c r="H873" t="s">
        <v>11</v>
      </c>
      <c r="I873" t="s">
        <v>12</v>
      </c>
      <c r="J873">
        <f t="shared" si="26"/>
        <v>11</v>
      </c>
      <c r="K873" t="str">
        <f t="shared" si="27"/>
        <v>Mid Range</v>
      </c>
    </row>
    <row r="874" spans="2:11" x14ac:dyDescent="0.25">
      <c r="B874" t="s">
        <v>603</v>
      </c>
      <c r="C874">
        <v>2007</v>
      </c>
      <c r="D874" s="1">
        <v>400000</v>
      </c>
      <c r="E874">
        <v>110000</v>
      </c>
      <c r="F874" t="s">
        <v>15</v>
      </c>
      <c r="G874" t="s">
        <v>10</v>
      </c>
      <c r="H874" t="s">
        <v>28</v>
      </c>
      <c r="I874" t="s">
        <v>46</v>
      </c>
      <c r="J874">
        <f t="shared" si="26"/>
        <v>19</v>
      </c>
      <c r="K874" t="str">
        <f t="shared" si="27"/>
        <v>Budget</v>
      </c>
    </row>
    <row r="875" spans="2:11" x14ac:dyDescent="0.25">
      <c r="B875" t="s">
        <v>217</v>
      </c>
      <c r="C875">
        <v>2014</v>
      </c>
      <c r="D875" s="1">
        <v>250000</v>
      </c>
      <c r="E875">
        <v>25000</v>
      </c>
      <c r="F875" t="s">
        <v>15</v>
      </c>
      <c r="G875" t="s">
        <v>10</v>
      </c>
      <c r="H875" t="s">
        <v>11</v>
      </c>
      <c r="I875" t="s">
        <v>12</v>
      </c>
      <c r="J875">
        <f t="shared" si="26"/>
        <v>12</v>
      </c>
      <c r="K875" t="str">
        <f t="shared" si="27"/>
        <v>Budget</v>
      </c>
    </row>
    <row r="876" spans="2:11" x14ac:dyDescent="0.25">
      <c r="B876" t="s">
        <v>604</v>
      </c>
      <c r="C876">
        <v>2018</v>
      </c>
      <c r="D876" s="1">
        <v>4000000</v>
      </c>
      <c r="E876">
        <v>68000</v>
      </c>
      <c r="F876" t="s">
        <v>9</v>
      </c>
      <c r="G876" t="s">
        <v>10</v>
      </c>
      <c r="H876" t="s">
        <v>28</v>
      </c>
      <c r="I876" t="s">
        <v>12</v>
      </c>
      <c r="J876">
        <f t="shared" si="26"/>
        <v>8</v>
      </c>
      <c r="K876" t="str">
        <f t="shared" si="27"/>
        <v>Premium</v>
      </c>
    </row>
    <row r="877" spans="2:11" x14ac:dyDescent="0.25">
      <c r="B877" t="s">
        <v>249</v>
      </c>
      <c r="C877">
        <v>2014</v>
      </c>
      <c r="D877" s="1">
        <v>210000</v>
      </c>
      <c r="E877">
        <v>20000</v>
      </c>
      <c r="F877" t="s">
        <v>9</v>
      </c>
      <c r="G877" t="s">
        <v>10</v>
      </c>
      <c r="H877" t="s">
        <v>11</v>
      </c>
      <c r="I877" t="s">
        <v>12</v>
      </c>
      <c r="J877">
        <f t="shared" si="26"/>
        <v>12</v>
      </c>
      <c r="K877" t="str">
        <f t="shared" si="27"/>
        <v>Budget</v>
      </c>
    </row>
    <row r="878" spans="2:11" x14ac:dyDescent="0.25">
      <c r="B878" t="s">
        <v>605</v>
      </c>
      <c r="C878">
        <v>2011</v>
      </c>
      <c r="D878" s="1">
        <v>147000</v>
      </c>
      <c r="E878">
        <v>110000</v>
      </c>
      <c r="F878" t="s">
        <v>9</v>
      </c>
      <c r="G878" t="s">
        <v>10</v>
      </c>
      <c r="H878" t="s">
        <v>11</v>
      </c>
      <c r="I878" t="s">
        <v>18</v>
      </c>
      <c r="J878">
        <f t="shared" si="26"/>
        <v>15</v>
      </c>
      <c r="K878" t="str">
        <f t="shared" si="27"/>
        <v>Budget</v>
      </c>
    </row>
    <row r="879" spans="2:11" x14ac:dyDescent="0.25">
      <c r="B879" t="s">
        <v>606</v>
      </c>
      <c r="C879">
        <v>2018</v>
      </c>
      <c r="D879" s="1">
        <v>725000</v>
      </c>
      <c r="E879">
        <v>26350</v>
      </c>
      <c r="F879" t="s">
        <v>15</v>
      </c>
      <c r="G879" t="s">
        <v>10</v>
      </c>
      <c r="H879" t="s">
        <v>11</v>
      </c>
      <c r="I879" t="s">
        <v>12</v>
      </c>
      <c r="J879">
        <f t="shared" si="26"/>
        <v>8</v>
      </c>
      <c r="K879" t="str">
        <f t="shared" si="27"/>
        <v>Mid Range</v>
      </c>
    </row>
    <row r="880" spans="2:11" x14ac:dyDescent="0.25">
      <c r="B880" t="s">
        <v>302</v>
      </c>
      <c r="C880">
        <v>2012</v>
      </c>
      <c r="D880" s="1">
        <v>550000</v>
      </c>
      <c r="E880">
        <v>90000</v>
      </c>
      <c r="F880" t="s">
        <v>15</v>
      </c>
      <c r="G880" t="s">
        <v>10</v>
      </c>
      <c r="H880" t="s">
        <v>11</v>
      </c>
      <c r="I880" t="s">
        <v>12</v>
      </c>
      <c r="J880">
        <f t="shared" si="26"/>
        <v>14</v>
      </c>
      <c r="K880" t="str">
        <f t="shared" si="27"/>
        <v>Mid Range</v>
      </c>
    </row>
    <row r="881" spans="2:11" x14ac:dyDescent="0.25">
      <c r="B881" t="s">
        <v>607</v>
      </c>
      <c r="C881">
        <v>2016</v>
      </c>
      <c r="D881" s="1">
        <v>475000</v>
      </c>
      <c r="E881">
        <v>25000</v>
      </c>
      <c r="F881" t="s">
        <v>9</v>
      </c>
      <c r="G881" t="s">
        <v>10</v>
      </c>
      <c r="H881" t="s">
        <v>11</v>
      </c>
      <c r="I881" t="s">
        <v>12</v>
      </c>
      <c r="J881">
        <f t="shared" si="26"/>
        <v>10</v>
      </c>
      <c r="K881" t="str">
        <f t="shared" si="27"/>
        <v>Budget</v>
      </c>
    </row>
    <row r="882" spans="2:11" x14ac:dyDescent="0.25">
      <c r="B882" t="s">
        <v>56</v>
      </c>
      <c r="C882">
        <v>2014</v>
      </c>
      <c r="D882" s="1">
        <v>250000</v>
      </c>
      <c r="E882">
        <v>50000</v>
      </c>
      <c r="F882" t="s">
        <v>9</v>
      </c>
      <c r="G882" t="s">
        <v>10</v>
      </c>
      <c r="H882" t="s">
        <v>11</v>
      </c>
      <c r="I882" t="s">
        <v>18</v>
      </c>
      <c r="J882">
        <f t="shared" si="26"/>
        <v>12</v>
      </c>
      <c r="K882" t="str">
        <f t="shared" si="27"/>
        <v>Budget</v>
      </c>
    </row>
    <row r="883" spans="2:11" x14ac:dyDescent="0.25">
      <c r="B883" t="s">
        <v>286</v>
      </c>
      <c r="C883">
        <v>2006</v>
      </c>
      <c r="D883" s="1">
        <v>70000</v>
      </c>
      <c r="E883">
        <v>60000</v>
      </c>
      <c r="F883" t="s">
        <v>9</v>
      </c>
      <c r="G883" t="s">
        <v>10</v>
      </c>
      <c r="H883" t="s">
        <v>11</v>
      </c>
      <c r="I883" t="s">
        <v>18</v>
      </c>
      <c r="J883">
        <f t="shared" si="26"/>
        <v>20</v>
      </c>
      <c r="K883" t="str">
        <f t="shared" si="27"/>
        <v>Budget</v>
      </c>
    </row>
    <row r="884" spans="2:11" x14ac:dyDescent="0.25">
      <c r="B884" t="s">
        <v>136</v>
      </c>
      <c r="C884">
        <v>2012</v>
      </c>
      <c r="D884" s="1">
        <v>160000</v>
      </c>
      <c r="E884">
        <v>70000</v>
      </c>
      <c r="F884" t="s">
        <v>9</v>
      </c>
      <c r="G884" t="s">
        <v>10</v>
      </c>
      <c r="H884" t="s">
        <v>11</v>
      </c>
      <c r="I884" t="s">
        <v>49</v>
      </c>
      <c r="J884">
        <f t="shared" si="26"/>
        <v>14</v>
      </c>
      <c r="K884" t="str">
        <f t="shared" si="27"/>
        <v>Budget</v>
      </c>
    </row>
    <row r="885" spans="2:11" x14ac:dyDescent="0.25">
      <c r="B885" t="s">
        <v>608</v>
      </c>
      <c r="C885">
        <v>2011</v>
      </c>
      <c r="D885" s="1">
        <v>1000000</v>
      </c>
      <c r="E885">
        <v>90000</v>
      </c>
      <c r="F885" t="s">
        <v>15</v>
      </c>
      <c r="G885" t="s">
        <v>10</v>
      </c>
      <c r="H885" t="s">
        <v>28</v>
      </c>
      <c r="I885" t="s">
        <v>18</v>
      </c>
      <c r="J885">
        <f t="shared" si="26"/>
        <v>15</v>
      </c>
      <c r="K885" t="str">
        <f t="shared" si="27"/>
        <v>Mid Range</v>
      </c>
    </row>
    <row r="886" spans="2:11" x14ac:dyDescent="0.25">
      <c r="B886" t="s">
        <v>609</v>
      </c>
      <c r="C886">
        <v>2001</v>
      </c>
      <c r="D886" s="1">
        <v>68000</v>
      </c>
      <c r="E886">
        <v>70000</v>
      </c>
      <c r="F886" t="s">
        <v>9</v>
      </c>
      <c r="G886" t="s">
        <v>10</v>
      </c>
      <c r="H886" t="s">
        <v>11</v>
      </c>
      <c r="I886" t="s">
        <v>12</v>
      </c>
      <c r="J886">
        <f t="shared" si="26"/>
        <v>25</v>
      </c>
      <c r="K886" t="str">
        <f t="shared" si="27"/>
        <v>Budget</v>
      </c>
    </row>
    <row r="887" spans="2:11" x14ac:dyDescent="0.25">
      <c r="B887" t="s">
        <v>57</v>
      </c>
      <c r="C887">
        <v>2017</v>
      </c>
      <c r="D887" s="1">
        <v>500000</v>
      </c>
      <c r="E887">
        <v>26500</v>
      </c>
      <c r="F887" t="s">
        <v>9</v>
      </c>
      <c r="G887" t="s">
        <v>10</v>
      </c>
      <c r="H887" t="s">
        <v>11</v>
      </c>
      <c r="I887" t="s">
        <v>12</v>
      </c>
      <c r="J887">
        <f t="shared" si="26"/>
        <v>9</v>
      </c>
      <c r="K887" t="str">
        <f t="shared" si="27"/>
        <v>Mid Range</v>
      </c>
    </row>
    <row r="888" spans="2:11" x14ac:dyDescent="0.25">
      <c r="B888" t="s">
        <v>610</v>
      </c>
      <c r="C888">
        <v>2020</v>
      </c>
      <c r="D888" s="1">
        <v>1050000</v>
      </c>
      <c r="E888">
        <v>10000</v>
      </c>
      <c r="F888" t="s">
        <v>15</v>
      </c>
      <c r="G888" t="s">
        <v>10</v>
      </c>
      <c r="H888" t="s">
        <v>11</v>
      </c>
      <c r="I888" t="s">
        <v>12</v>
      </c>
      <c r="J888">
        <f t="shared" si="26"/>
        <v>6</v>
      </c>
      <c r="K888" t="str">
        <f t="shared" si="27"/>
        <v>Premium</v>
      </c>
    </row>
    <row r="889" spans="2:11" x14ac:dyDescent="0.25">
      <c r="B889" t="s">
        <v>611</v>
      </c>
      <c r="C889">
        <v>2017</v>
      </c>
      <c r="D889" s="1">
        <v>900000</v>
      </c>
      <c r="E889">
        <v>50000</v>
      </c>
      <c r="F889" t="s">
        <v>15</v>
      </c>
      <c r="G889" t="s">
        <v>10</v>
      </c>
      <c r="H889" t="s">
        <v>11</v>
      </c>
      <c r="I889" t="s">
        <v>12</v>
      </c>
      <c r="J889">
        <f t="shared" si="26"/>
        <v>9</v>
      </c>
      <c r="K889" t="str">
        <f t="shared" si="27"/>
        <v>Mid Range</v>
      </c>
    </row>
    <row r="890" spans="2:11" x14ac:dyDescent="0.25">
      <c r="B890" t="s">
        <v>172</v>
      </c>
      <c r="C890">
        <v>2007</v>
      </c>
      <c r="D890" s="1">
        <v>100000</v>
      </c>
      <c r="E890">
        <v>52000</v>
      </c>
      <c r="F890" t="s">
        <v>9</v>
      </c>
      <c r="G890" t="s">
        <v>10</v>
      </c>
      <c r="H890" t="s">
        <v>11</v>
      </c>
      <c r="I890" t="s">
        <v>18</v>
      </c>
      <c r="J890">
        <f t="shared" si="26"/>
        <v>19</v>
      </c>
      <c r="K890" t="str">
        <f t="shared" si="27"/>
        <v>Budget</v>
      </c>
    </row>
    <row r="891" spans="2:11" x14ac:dyDescent="0.25">
      <c r="B891" t="s">
        <v>144</v>
      </c>
      <c r="C891">
        <v>2013</v>
      </c>
      <c r="D891" s="1">
        <v>300000</v>
      </c>
      <c r="E891">
        <v>90000</v>
      </c>
      <c r="F891" t="s">
        <v>15</v>
      </c>
      <c r="G891" t="s">
        <v>10</v>
      </c>
      <c r="H891" t="s">
        <v>11</v>
      </c>
      <c r="I891" t="s">
        <v>12</v>
      </c>
      <c r="J891">
        <f t="shared" si="26"/>
        <v>13</v>
      </c>
      <c r="K891" t="str">
        <f t="shared" si="27"/>
        <v>Budget</v>
      </c>
    </row>
    <row r="892" spans="2:11" x14ac:dyDescent="0.25">
      <c r="B892" t="s">
        <v>612</v>
      </c>
      <c r="C892">
        <v>2011</v>
      </c>
      <c r="D892" s="1">
        <v>140000</v>
      </c>
      <c r="E892">
        <v>60000</v>
      </c>
      <c r="F892" t="s">
        <v>15</v>
      </c>
      <c r="G892" t="s">
        <v>10</v>
      </c>
      <c r="H892" t="s">
        <v>11</v>
      </c>
      <c r="I892" t="s">
        <v>18</v>
      </c>
      <c r="J892">
        <f t="shared" si="26"/>
        <v>15</v>
      </c>
      <c r="K892" t="str">
        <f t="shared" si="27"/>
        <v>Budget</v>
      </c>
    </row>
    <row r="893" spans="2:11" x14ac:dyDescent="0.25">
      <c r="B893" t="s">
        <v>261</v>
      </c>
      <c r="C893">
        <v>2018</v>
      </c>
      <c r="D893" s="1">
        <v>550000</v>
      </c>
      <c r="E893">
        <v>35000</v>
      </c>
      <c r="F893" t="s">
        <v>9</v>
      </c>
      <c r="G893" t="s">
        <v>10</v>
      </c>
      <c r="H893" t="s">
        <v>11</v>
      </c>
      <c r="I893" t="s">
        <v>12</v>
      </c>
      <c r="J893">
        <f t="shared" si="26"/>
        <v>8</v>
      </c>
      <c r="K893" t="str">
        <f t="shared" si="27"/>
        <v>Mid Range</v>
      </c>
    </row>
    <row r="894" spans="2:11" x14ac:dyDescent="0.25">
      <c r="B894" t="s">
        <v>495</v>
      </c>
      <c r="C894">
        <v>2012</v>
      </c>
      <c r="D894" s="1">
        <v>650000</v>
      </c>
      <c r="E894">
        <v>71042</v>
      </c>
      <c r="F894" t="s">
        <v>15</v>
      </c>
      <c r="G894" t="s">
        <v>27</v>
      </c>
      <c r="H894" t="s">
        <v>11</v>
      </c>
      <c r="I894" t="s">
        <v>12</v>
      </c>
      <c r="J894">
        <f t="shared" si="26"/>
        <v>14</v>
      </c>
      <c r="K894" t="str">
        <f t="shared" si="27"/>
        <v>Mid Range</v>
      </c>
    </row>
    <row r="895" spans="2:11" x14ac:dyDescent="0.25">
      <c r="B895" t="s">
        <v>613</v>
      </c>
      <c r="C895">
        <v>2012</v>
      </c>
      <c r="D895" s="1">
        <v>1025000</v>
      </c>
      <c r="E895">
        <v>167870</v>
      </c>
      <c r="F895" t="s">
        <v>15</v>
      </c>
      <c r="G895" t="s">
        <v>27</v>
      </c>
      <c r="H895" t="s">
        <v>11</v>
      </c>
      <c r="I895" t="s">
        <v>18</v>
      </c>
      <c r="J895">
        <f t="shared" si="26"/>
        <v>14</v>
      </c>
      <c r="K895" t="str">
        <f t="shared" si="27"/>
        <v>Premium</v>
      </c>
    </row>
    <row r="896" spans="2:11" x14ac:dyDescent="0.25">
      <c r="B896" t="s">
        <v>614</v>
      </c>
      <c r="C896">
        <v>2011</v>
      </c>
      <c r="D896" s="1">
        <v>195000</v>
      </c>
      <c r="E896">
        <v>133564</v>
      </c>
      <c r="F896" t="s">
        <v>15</v>
      </c>
      <c r="G896" t="s">
        <v>27</v>
      </c>
      <c r="H896" t="s">
        <v>11</v>
      </c>
      <c r="I896" t="s">
        <v>12</v>
      </c>
      <c r="J896">
        <f t="shared" si="26"/>
        <v>15</v>
      </c>
      <c r="K896" t="str">
        <f t="shared" si="27"/>
        <v>Budget</v>
      </c>
    </row>
    <row r="897" spans="2:11" x14ac:dyDescent="0.25">
      <c r="B897" t="s">
        <v>275</v>
      </c>
      <c r="C897">
        <v>2013</v>
      </c>
      <c r="D897" s="1">
        <v>1490000</v>
      </c>
      <c r="E897">
        <v>40000</v>
      </c>
      <c r="F897" t="s">
        <v>15</v>
      </c>
      <c r="G897" t="s">
        <v>27</v>
      </c>
      <c r="H897" t="s">
        <v>28</v>
      </c>
      <c r="I897" t="s">
        <v>12</v>
      </c>
      <c r="J897">
        <f t="shared" si="26"/>
        <v>13</v>
      </c>
      <c r="K897" t="str">
        <f t="shared" si="27"/>
        <v>Premium</v>
      </c>
    </row>
    <row r="898" spans="2:11" x14ac:dyDescent="0.25">
      <c r="B898" t="s">
        <v>615</v>
      </c>
      <c r="C898">
        <v>2018</v>
      </c>
      <c r="D898" s="1">
        <v>1140000</v>
      </c>
      <c r="E898">
        <v>23038</v>
      </c>
      <c r="F898" t="s">
        <v>9</v>
      </c>
      <c r="G898" t="s">
        <v>407</v>
      </c>
      <c r="H898" t="s">
        <v>28</v>
      </c>
      <c r="I898" t="s">
        <v>12</v>
      </c>
      <c r="J898">
        <f t="shared" si="26"/>
        <v>8</v>
      </c>
      <c r="K898" t="str">
        <f t="shared" si="27"/>
        <v>Premium</v>
      </c>
    </row>
    <row r="899" spans="2:11" x14ac:dyDescent="0.25">
      <c r="B899" t="s">
        <v>218</v>
      </c>
      <c r="C899">
        <v>2011</v>
      </c>
      <c r="D899" s="1">
        <v>95000</v>
      </c>
      <c r="E899">
        <v>70000</v>
      </c>
      <c r="F899" t="s">
        <v>15</v>
      </c>
      <c r="G899" t="s">
        <v>10</v>
      </c>
      <c r="H899" t="s">
        <v>11</v>
      </c>
      <c r="I899" t="s">
        <v>12</v>
      </c>
      <c r="J899">
        <f t="shared" si="26"/>
        <v>15</v>
      </c>
      <c r="K899" t="str">
        <f t="shared" si="27"/>
        <v>Budget</v>
      </c>
    </row>
    <row r="900" spans="2:11" x14ac:dyDescent="0.25">
      <c r="B900" t="s">
        <v>616</v>
      </c>
      <c r="C900">
        <v>2017</v>
      </c>
      <c r="D900" s="1">
        <v>3050000</v>
      </c>
      <c r="E900">
        <v>30000</v>
      </c>
      <c r="F900" t="s">
        <v>15</v>
      </c>
      <c r="G900" t="s">
        <v>10</v>
      </c>
      <c r="H900" t="s">
        <v>28</v>
      </c>
      <c r="I900" t="s">
        <v>12</v>
      </c>
      <c r="J900">
        <f t="shared" si="26"/>
        <v>9</v>
      </c>
      <c r="K900" t="str">
        <f t="shared" si="27"/>
        <v>Premium</v>
      </c>
    </row>
    <row r="901" spans="2:11" x14ac:dyDescent="0.25">
      <c r="B901" t="s">
        <v>121</v>
      </c>
      <c r="C901">
        <v>2017</v>
      </c>
      <c r="D901" s="1">
        <v>585000</v>
      </c>
      <c r="E901">
        <v>43608</v>
      </c>
      <c r="F901" t="s">
        <v>9</v>
      </c>
      <c r="G901" t="s">
        <v>407</v>
      </c>
      <c r="H901" t="s">
        <v>11</v>
      </c>
      <c r="I901" t="s">
        <v>12</v>
      </c>
      <c r="J901">
        <f t="shared" si="26"/>
        <v>9</v>
      </c>
      <c r="K901" t="str">
        <f t="shared" si="27"/>
        <v>Mid Range</v>
      </c>
    </row>
    <row r="902" spans="2:11" x14ac:dyDescent="0.25">
      <c r="B902" t="s">
        <v>617</v>
      </c>
      <c r="C902">
        <v>2018</v>
      </c>
      <c r="D902" s="1">
        <v>825000</v>
      </c>
      <c r="E902">
        <v>11212</v>
      </c>
      <c r="F902" t="s">
        <v>9</v>
      </c>
      <c r="G902" t="s">
        <v>407</v>
      </c>
      <c r="H902" t="s">
        <v>28</v>
      </c>
      <c r="I902" t="s">
        <v>12</v>
      </c>
      <c r="J902">
        <f t="shared" ref="J902:J965" si="28">2026 - C902</f>
        <v>8</v>
      </c>
      <c r="K902" t="str">
        <f t="shared" ref="K902:K965" si="29">IF(D902&lt;500000,"Budget",IF(D902&lt;=1000000,"Mid Range","Premium"))</f>
        <v>Mid Range</v>
      </c>
    </row>
    <row r="903" spans="2:11" x14ac:dyDescent="0.25">
      <c r="B903" t="s">
        <v>618</v>
      </c>
      <c r="C903">
        <v>2013</v>
      </c>
      <c r="D903" s="1">
        <v>280000</v>
      </c>
      <c r="E903">
        <v>52000</v>
      </c>
      <c r="F903" t="s">
        <v>15</v>
      </c>
      <c r="G903" t="s">
        <v>27</v>
      </c>
      <c r="H903" t="s">
        <v>11</v>
      </c>
      <c r="I903" t="s">
        <v>12</v>
      </c>
      <c r="J903">
        <f t="shared" si="28"/>
        <v>13</v>
      </c>
      <c r="K903" t="str">
        <f t="shared" si="29"/>
        <v>Budget</v>
      </c>
    </row>
    <row r="904" spans="2:11" x14ac:dyDescent="0.25">
      <c r="B904" t="s">
        <v>619</v>
      </c>
      <c r="C904">
        <v>2016</v>
      </c>
      <c r="D904" s="1">
        <v>725000</v>
      </c>
      <c r="E904">
        <v>49217</v>
      </c>
      <c r="F904" t="s">
        <v>9</v>
      </c>
      <c r="G904" t="s">
        <v>407</v>
      </c>
      <c r="H904" t="s">
        <v>11</v>
      </c>
      <c r="I904" t="s">
        <v>12</v>
      </c>
      <c r="J904">
        <f t="shared" si="28"/>
        <v>10</v>
      </c>
      <c r="K904" t="str">
        <f t="shared" si="29"/>
        <v>Mid Range</v>
      </c>
    </row>
    <row r="905" spans="2:11" x14ac:dyDescent="0.25">
      <c r="B905" t="s">
        <v>432</v>
      </c>
      <c r="C905">
        <v>2015</v>
      </c>
      <c r="D905" s="1">
        <v>300000</v>
      </c>
      <c r="E905">
        <v>90000</v>
      </c>
      <c r="F905" t="s">
        <v>15</v>
      </c>
      <c r="G905" t="s">
        <v>10</v>
      </c>
      <c r="H905" t="s">
        <v>11</v>
      </c>
      <c r="I905" t="s">
        <v>12</v>
      </c>
      <c r="J905">
        <f t="shared" si="28"/>
        <v>11</v>
      </c>
      <c r="K905" t="str">
        <f t="shared" si="29"/>
        <v>Budget</v>
      </c>
    </row>
    <row r="906" spans="2:11" x14ac:dyDescent="0.25">
      <c r="B906" t="s">
        <v>20</v>
      </c>
      <c r="C906">
        <v>2015</v>
      </c>
      <c r="D906" s="1">
        <v>375000</v>
      </c>
      <c r="E906">
        <v>70000</v>
      </c>
      <c r="F906" t="s">
        <v>9</v>
      </c>
      <c r="G906" t="s">
        <v>10</v>
      </c>
      <c r="H906" t="s">
        <v>11</v>
      </c>
      <c r="I906" t="s">
        <v>12</v>
      </c>
      <c r="J906">
        <f t="shared" si="28"/>
        <v>11</v>
      </c>
      <c r="K906" t="str">
        <f t="shared" si="29"/>
        <v>Budget</v>
      </c>
    </row>
    <row r="907" spans="2:11" x14ac:dyDescent="0.25">
      <c r="B907" t="s">
        <v>620</v>
      </c>
      <c r="C907">
        <v>2003</v>
      </c>
      <c r="D907" s="1">
        <v>310000</v>
      </c>
      <c r="E907">
        <v>90000</v>
      </c>
      <c r="F907" t="s">
        <v>9</v>
      </c>
      <c r="G907" t="s">
        <v>10</v>
      </c>
      <c r="H907" t="s">
        <v>11</v>
      </c>
      <c r="I907" t="s">
        <v>46</v>
      </c>
      <c r="J907">
        <f t="shared" si="28"/>
        <v>23</v>
      </c>
      <c r="K907" t="str">
        <f t="shared" si="29"/>
        <v>Budget</v>
      </c>
    </row>
    <row r="908" spans="2:11" x14ac:dyDescent="0.25">
      <c r="B908" t="s">
        <v>181</v>
      </c>
      <c r="C908">
        <v>2011</v>
      </c>
      <c r="D908" s="1">
        <v>375000</v>
      </c>
      <c r="E908">
        <v>190000</v>
      </c>
      <c r="F908" t="s">
        <v>15</v>
      </c>
      <c r="G908" t="s">
        <v>10</v>
      </c>
      <c r="H908" t="s">
        <v>11</v>
      </c>
      <c r="I908" t="s">
        <v>49</v>
      </c>
      <c r="J908">
        <f t="shared" si="28"/>
        <v>15</v>
      </c>
      <c r="K908" t="str">
        <f t="shared" si="29"/>
        <v>Budget</v>
      </c>
    </row>
    <row r="909" spans="2:11" x14ac:dyDescent="0.25">
      <c r="B909" t="s">
        <v>621</v>
      </c>
      <c r="C909">
        <v>2016</v>
      </c>
      <c r="D909" s="1">
        <v>1950000</v>
      </c>
      <c r="E909">
        <v>106000</v>
      </c>
      <c r="F909" t="s">
        <v>15</v>
      </c>
      <c r="G909" t="s">
        <v>10</v>
      </c>
      <c r="H909" t="s">
        <v>28</v>
      </c>
      <c r="I909" t="s">
        <v>12</v>
      </c>
      <c r="J909">
        <f t="shared" si="28"/>
        <v>10</v>
      </c>
      <c r="K909" t="str">
        <f t="shared" si="29"/>
        <v>Premium</v>
      </c>
    </row>
    <row r="910" spans="2:11" x14ac:dyDescent="0.25">
      <c r="B910" t="s">
        <v>622</v>
      </c>
      <c r="C910">
        <v>2012</v>
      </c>
      <c r="D910" s="1">
        <v>400000</v>
      </c>
      <c r="E910">
        <v>80000</v>
      </c>
      <c r="F910" t="s">
        <v>15</v>
      </c>
      <c r="G910" t="s">
        <v>10</v>
      </c>
      <c r="H910" t="s">
        <v>11</v>
      </c>
      <c r="I910" t="s">
        <v>18</v>
      </c>
      <c r="J910">
        <f t="shared" si="28"/>
        <v>14</v>
      </c>
      <c r="K910" t="str">
        <f t="shared" si="29"/>
        <v>Budget</v>
      </c>
    </row>
    <row r="911" spans="2:11" x14ac:dyDescent="0.25">
      <c r="B911" t="s">
        <v>623</v>
      </c>
      <c r="C911">
        <v>2014</v>
      </c>
      <c r="D911" s="1">
        <v>550000</v>
      </c>
      <c r="E911">
        <v>80000</v>
      </c>
      <c r="F911" t="s">
        <v>15</v>
      </c>
      <c r="G911" t="s">
        <v>10</v>
      </c>
      <c r="H911" t="s">
        <v>11</v>
      </c>
      <c r="I911" t="s">
        <v>18</v>
      </c>
      <c r="J911">
        <f t="shared" si="28"/>
        <v>12</v>
      </c>
      <c r="K911" t="str">
        <f t="shared" si="29"/>
        <v>Mid Range</v>
      </c>
    </row>
    <row r="912" spans="2:11" x14ac:dyDescent="0.25">
      <c r="B912" t="s">
        <v>177</v>
      </c>
      <c r="C912">
        <v>2018</v>
      </c>
      <c r="D912" s="1">
        <v>270000</v>
      </c>
      <c r="E912">
        <v>20000</v>
      </c>
      <c r="F912" t="s">
        <v>9</v>
      </c>
      <c r="G912" t="s">
        <v>10</v>
      </c>
      <c r="H912" t="s">
        <v>11</v>
      </c>
      <c r="I912" t="s">
        <v>12</v>
      </c>
      <c r="J912">
        <f t="shared" si="28"/>
        <v>8</v>
      </c>
      <c r="K912" t="str">
        <f t="shared" si="29"/>
        <v>Budget</v>
      </c>
    </row>
    <row r="913" spans="2:11" x14ac:dyDescent="0.25">
      <c r="B913" t="s">
        <v>483</v>
      </c>
      <c r="C913">
        <v>2012</v>
      </c>
      <c r="D913" s="1">
        <v>555000</v>
      </c>
      <c r="E913">
        <v>110000</v>
      </c>
      <c r="F913" t="s">
        <v>15</v>
      </c>
      <c r="G913" t="s">
        <v>10</v>
      </c>
      <c r="H913" t="s">
        <v>11</v>
      </c>
      <c r="I913" t="s">
        <v>18</v>
      </c>
      <c r="J913">
        <f t="shared" si="28"/>
        <v>14</v>
      </c>
      <c r="K913" t="str">
        <f t="shared" si="29"/>
        <v>Mid Range</v>
      </c>
    </row>
    <row r="914" spans="2:11" x14ac:dyDescent="0.25">
      <c r="B914" t="s">
        <v>624</v>
      </c>
      <c r="C914">
        <v>2013</v>
      </c>
      <c r="D914" s="1">
        <v>500000</v>
      </c>
      <c r="E914">
        <v>60000</v>
      </c>
      <c r="F914" t="s">
        <v>15</v>
      </c>
      <c r="G914" t="s">
        <v>10</v>
      </c>
      <c r="H914" t="s">
        <v>11</v>
      </c>
      <c r="I914" t="s">
        <v>18</v>
      </c>
      <c r="J914">
        <f t="shared" si="28"/>
        <v>13</v>
      </c>
      <c r="K914" t="str">
        <f t="shared" si="29"/>
        <v>Mid Range</v>
      </c>
    </row>
    <row r="915" spans="2:11" x14ac:dyDescent="0.25">
      <c r="B915" t="s">
        <v>625</v>
      </c>
      <c r="C915">
        <v>2010</v>
      </c>
      <c r="D915" s="1">
        <v>400000</v>
      </c>
      <c r="E915">
        <v>130000</v>
      </c>
      <c r="F915" t="s">
        <v>15</v>
      </c>
      <c r="G915" t="s">
        <v>10</v>
      </c>
      <c r="H915" t="s">
        <v>28</v>
      </c>
      <c r="I915" t="s">
        <v>18</v>
      </c>
      <c r="J915">
        <f t="shared" si="28"/>
        <v>16</v>
      </c>
      <c r="K915" t="str">
        <f t="shared" si="29"/>
        <v>Budget</v>
      </c>
    </row>
    <row r="916" spans="2:11" x14ac:dyDescent="0.25">
      <c r="B916" t="s">
        <v>529</v>
      </c>
      <c r="C916">
        <v>2017</v>
      </c>
      <c r="D916" s="1">
        <v>280000</v>
      </c>
      <c r="E916">
        <v>28838</v>
      </c>
      <c r="F916" t="s">
        <v>9</v>
      </c>
      <c r="G916" t="s">
        <v>10</v>
      </c>
      <c r="H916" t="s">
        <v>11</v>
      </c>
      <c r="I916" t="s">
        <v>12</v>
      </c>
      <c r="J916">
        <f t="shared" si="28"/>
        <v>9</v>
      </c>
      <c r="K916" t="str">
        <f t="shared" si="29"/>
        <v>Budget</v>
      </c>
    </row>
    <row r="917" spans="2:11" x14ac:dyDescent="0.25">
      <c r="B917" t="s">
        <v>504</v>
      </c>
      <c r="C917">
        <v>2008</v>
      </c>
      <c r="D917" s="1">
        <v>80000</v>
      </c>
      <c r="E917">
        <v>200000</v>
      </c>
      <c r="F917" t="s">
        <v>9</v>
      </c>
      <c r="G917" t="s">
        <v>10</v>
      </c>
      <c r="H917" t="s">
        <v>11</v>
      </c>
      <c r="I917" t="s">
        <v>12</v>
      </c>
      <c r="J917">
        <f t="shared" si="28"/>
        <v>18</v>
      </c>
      <c r="K917" t="str">
        <f t="shared" si="29"/>
        <v>Budget</v>
      </c>
    </row>
    <row r="918" spans="2:11" x14ac:dyDescent="0.25">
      <c r="B918" t="s">
        <v>67</v>
      </c>
      <c r="C918">
        <v>2006</v>
      </c>
      <c r="D918" s="1">
        <v>55000</v>
      </c>
      <c r="E918">
        <v>100000</v>
      </c>
      <c r="F918" t="s">
        <v>15</v>
      </c>
      <c r="G918" t="s">
        <v>10</v>
      </c>
      <c r="H918" t="s">
        <v>11</v>
      </c>
      <c r="I918" t="s">
        <v>12</v>
      </c>
      <c r="J918">
        <f t="shared" si="28"/>
        <v>20</v>
      </c>
      <c r="K918" t="str">
        <f t="shared" si="29"/>
        <v>Budget</v>
      </c>
    </row>
    <row r="919" spans="2:11" x14ac:dyDescent="0.25">
      <c r="B919" t="s">
        <v>626</v>
      </c>
      <c r="C919">
        <v>2014</v>
      </c>
      <c r="D919" s="1">
        <v>250000</v>
      </c>
      <c r="E919">
        <v>50000</v>
      </c>
      <c r="F919" t="s">
        <v>9</v>
      </c>
      <c r="G919" t="s">
        <v>10</v>
      </c>
      <c r="H919" t="s">
        <v>11</v>
      </c>
      <c r="I919" t="s">
        <v>12</v>
      </c>
      <c r="J919">
        <f t="shared" si="28"/>
        <v>12</v>
      </c>
      <c r="K919" t="str">
        <f t="shared" si="29"/>
        <v>Budget</v>
      </c>
    </row>
    <row r="920" spans="2:11" x14ac:dyDescent="0.25">
      <c r="B920" t="s">
        <v>627</v>
      </c>
      <c r="C920">
        <v>2010</v>
      </c>
      <c r="D920" s="1">
        <v>250000</v>
      </c>
      <c r="E920">
        <v>190000</v>
      </c>
      <c r="F920" t="s">
        <v>15</v>
      </c>
      <c r="G920" t="s">
        <v>10</v>
      </c>
      <c r="H920" t="s">
        <v>11</v>
      </c>
      <c r="I920" t="s">
        <v>46</v>
      </c>
      <c r="J920">
        <f t="shared" si="28"/>
        <v>16</v>
      </c>
      <c r="K920" t="str">
        <f t="shared" si="29"/>
        <v>Budget</v>
      </c>
    </row>
    <row r="921" spans="2:11" x14ac:dyDescent="0.25">
      <c r="B921" t="s">
        <v>628</v>
      </c>
      <c r="C921">
        <v>2007</v>
      </c>
      <c r="D921" s="1">
        <v>95000</v>
      </c>
      <c r="E921">
        <v>100000</v>
      </c>
      <c r="F921" t="s">
        <v>15</v>
      </c>
      <c r="G921" t="s">
        <v>10</v>
      </c>
      <c r="H921" t="s">
        <v>11</v>
      </c>
      <c r="I921" t="s">
        <v>18</v>
      </c>
      <c r="J921">
        <f t="shared" si="28"/>
        <v>19</v>
      </c>
      <c r="K921" t="str">
        <f t="shared" si="29"/>
        <v>Budget</v>
      </c>
    </row>
    <row r="922" spans="2:11" x14ac:dyDescent="0.25">
      <c r="B922" t="s">
        <v>51</v>
      </c>
      <c r="C922">
        <v>2014</v>
      </c>
      <c r="D922" s="1">
        <v>725000</v>
      </c>
      <c r="E922">
        <v>135000</v>
      </c>
      <c r="F922" t="s">
        <v>15</v>
      </c>
      <c r="G922" t="s">
        <v>10</v>
      </c>
      <c r="H922" t="s">
        <v>11</v>
      </c>
      <c r="I922" t="s">
        <v>18</v>
      </c>
      <c r="J922">
        <f t="shared" si="28"/>
        <v>12</v>
      </c>
      <c r="K922" t="str">
        <f t="shared" si="29"/>
        <v>Mid Range</v>
      </c>
    </row>
    <row r="923" spans="2:11" x14ac:dyDescent="0.25">
      <c r="B923" t="s">
        <v>266</v>
      </c>
      <c r="C923">
        <v>2015</v>
      </c>
      <c r="D923" s="1">
        <v>320000</v>
      </c>
      <c r="E923">
        <v>50000</v>
      </c>
      <c r="F923" t="s">
        <v>15</v>
      </c>
      <c r="G923" t="s">
        <v>10</v>
      </c>
      <c r="H923" t="s">
        <v>11</v>
      </c>
      <c r="I923" t="s">
        <v>49</v>
      </c>
      <c r="J923">
        <f t="shared" si="28"/>
        <v>11</v>
      </c>
      <c r="K923" t="str">
        <f t="shared" si="29"/>
        <v>Budget</v>
      </c>
    </row>
    <row r="924" spans="2:11" x14ac:dyDescent="0.25">
      <c r="B924" t="s">
        <v>629</v>
      </c>
      <c r="C924">
        <v>2014</v>
      </c>
      <c r="D924" s="1">
        <v>1200000</v>
      </c>
      <c r="E924">
        <v>135000</v>
      </c>
      <c r="F924" t="s">
        <v>15</v>
      </c>
      <c r="G924" t="s">
        <v>10</v>
      </c>
      <c r="H924" t="s">
        <v>28</v>
      </c>
      <c r="I924" t="s">
        <v>49</v>
      </c>
      <c r="J924">
        <f t="shared" si="28"/>
        <v>12</v>
      </c>
      <c r="K924" t="str">
        <f t="shared" si="29"/>
        <v>Premium</v>
      </c>
    </row>
    <row r="925" spans="2:11" x14ac:dyDescent="0.25">
      <c r="B925" t="s">
        <v>218</v>
      </c>
      <c r="C925">
        <v>2012</v>
      </c>
      <c r="D925" s="1">
        <v>160000</v>
      </c>
      <c r="E925">
        <v>50000</v>
      </c>
      <c r="F925" t="s">
        <v>15</v>
      </c>
      <c r="G925" t="s">
        <v>10</v>
      </c>
      <c r="H925" t="s">
        <v>11</v>
      </c>
      <c r="I925" t="s">
        <v>12</v>
      </c>
      <c r="J925">
        <f t="shared" si="28"/>
        <v>14</v>
      </c>
      <c r="K925" t="str">
        <f t="shared" si="29"/>
        <v>Budget</v>
      </c>
    </row>
    <row r="926" spans="2:11" x14ac:dyDescent="0.25">
      <c r="B926" t="s">
        <v>630</v>
      </c>
      <c r="C926">
        <v>2018</v>
      </c>
      <c r="D926" s="1">
        <v>790000</v>
      </c>
      <c r="E926">
        <v>19571</v>
      </c>
      <c r="F926" t="s">
        <v>15</v>
      </c>
      <c r="G926" t="s">
        <v>27</v>
      </c>
      <c r="H926" t="s">
        <v>11</v>
      </c>
      <c r="I926" t="s">
        <v>12</v>
      </c>
      <c r="J926">
        <f t="shared" si="28"/>
        <v>8</v>
      </c>
      <c r="K926" t="str">
        <f t="shared" si="29"/>
        <v>Mid Range</v>
      </c>
    </row>
    <row r="927" spans="2:11" x14ac:dyDescent="0.25">
      <c r="B927" t="s">
        <v>631</v>
      </c>
      <c r="C927">
        <v>2018</v>
      </c>
      <c r="D927" s="1">
        <v>1200000</v>
      </c>
      <c r="E927">
        <v>29600</v>
      </c>
      <c r="F927" t="s">
        <v>9</v>
      </c>
      <c r="G927" t="s">
        <v>27</v>
      </c>
      <c r="H927" t="s">
        <v>11</v>
      </c>
      <c r="I927" t="s">
        <v>12</v>
      </c>
      <c r="J927">
        <f t="shared" si="28"/>
        <v>8</v>
      </c>
      <c r="K927" t="str">
        <f t="shared" si="29"/>
        <v>Premium</v>
      </c>
    </row>
    <row r="928" spans="2:11" x14ac:dyDescent="0.25">
      <c r="B928" t="s">
        <v>506</v>
      </c>
      <c r="C928">
        <v>2011</v>
      </c>
      <c r="D928" s="1">
        <v>175000</v>
      </c>
      <c r="E928">
        <v>70000</v>
      </c>
      <c r="F928" t="s">
        <v>9</v>
      </c>
      <c r="G928" t="s">
        <v>10</v>
      </c>
      <c r="H928" t="s">
        <v>11</v>
      </c>
      <c r="I928" t="s">
        <v>12</v>
      </c>
      <c r="J928">
        <f t="shared" si="28"/>
        <v>15</v>
      </c>
      <c r="K928" t="str">
        <f t="shared" si="29"/>
        <v>Budget</v>
      </c>
    </row>
    <row r="929" spans="2:11" x14ac:dyDescent="0.25">
      <c r="B929" t="s">
        <v>632</v>
      </c>
      <c r="C929">
        <v>2018</v>
      </c>
      <c r="D929" s="1">
        <v>950000</v>
      </c>
      <c r="E929">
        <v>15000</v>
      </c>
      <c r="F929" t="s">
        <v>15</v>
      </c>
      <c r="G929" t="s">
        <v>10</v>
      </c>
      <c r="H929" t="s">
        <v>28</v>
      </c>
      <c r="I929" t="s">
        <v>12</v>
      </c>
      <c r="J929">
        <f t="shared" si="28"/>
        <v>8</v>
      </c>
      <c r="K929" t="str">
        <f t="shared" si="29"/>
        <v>Mid Range</v>
      </c>
    </row>
    <row r="930" spans="2:11" x14ac:dyDescent="0.25">
      <c r="B930" t="s">
        <v>633</v>
      </c>
      <c r="C930">
        <v>2019</v>
      </c>
      <c r="D930" s="1">
        <v>340000</v>
      </c>
      <c r="E930">
        <v>50000</v>
      </c>
      <c r="F930" t="s">
        <v>9</v>
      </c>
      <c r="G930" t="s">
        <v>10</v>
      </c>
      <c r="H930" t="s">
        <v>11</v>
      </c>
      <c r="I930" t="s">
        <v>12</v>
      </c>
      <c r="J930">
        <f t="shared" si="28"/>
        <v>7</v>
      </c>
      <c r="K930" t="str">
        <f t="shared" si="29"/>
        <v>Budget</v>
      </c>
    </row>
    <row r="931" spans="2:11" x14ac:dyDescent="0.25">
      <c r="B931" t="s">
        <v>634</v>
      </c>
      <c r="C931">
        <v>2017</v>
      </c>
      <c r="D931" s="1">
        <v>825000</v>
      </c>
      <c r="E931">
        <v>13500</v>
      </c>
      <c r="F931" t="s">
        <v>15</v>
      </c>
      <c r="G931" t="s">
        <v>10</v>
      </c>
      <c r="H931" t="s">
        <v>11</v>
      </c>
      <c r="I931" t="s">
        <v>12</v>
      </c>
      <c r="J931">
        <f t="shared" si="28"/>
        <v>9</v>
      </c>
      <c r="K931" t="str">
        <f t="shared" si="29"/>
        <v>Mid Range</v>
      </c>
    </row>
    <row r="932" spans="2:11" x14ac:dyDescent="0.25">
      <c r="B932" t="s">
        <v>635</v>
      </c>
      <c r="C932">
        <v>2018</v>
      </c>
      <c r="D932" s="1">
        <v>3100000</v>
      </c>
      <c r="E932">
        <v>22000</v>
      </c>
      <c r="F932" t="s">
        <v>9</v>
      </c>
      <c r="G932" t="s">
        <v>10</v>
      </c>
      <c r="H932" t="s">
        <v>28</v>
      </c>
      <c r="I932" t="s">
        <v>12</v>
      </c>
      <c r="J932">
        <f t="shared" si="28"/>
        <v>8</v>
      </c>
      <c r="K932" t="str">
        <f t="shared" si="29"/>
        <v>Premium</v>
      </c>
    </row>
    <row r="933" spans="2:11" x14ac:dyDescent="0.25">
      <c r="B933" t="s">
        <v>636</v>
      </c>
      <c r="C933">
        <v>2018</v>
      </c>
      <c r="D933" s="1">
        <v>780000</v>
      </c>
      <c r="E933">
        <v>25000</v>
      </c>
      <c r="F933" t="s">
        <v>15</v>
      </c>
      <c r="G933" t="s">
        <v>27</v>
      </c>
      <c r="H933" t="s">
        <v>11</v>
      </c>
      <c r="I933" t="s">
        <v>12</v>
      </c>
      <c r="J933">
        <f t="shared" si="28"/>
        <v>8</v>
      </c>
      <c r="K933" t="str">
        <f t="shared" si="29"/>
        <v>Mid Range</v>
      </c>
    </row>
    <row r="934" spans="2:11" x14ac:dyDescent="0.25">
      <c r="B934" t="s">
        <v>637</v>
      </c>
      <c r="C934">
        <v>2010</v>
      </c>
      <c r="D934" s="1">
        <v>350000</v>
      </c>
      <c r="E934">
        <v>80000</v>
      </c>
      <c r="F934" t="s">
        <v>9</v>
      </c>
      <c r="G934" t="s">
        <v>10</v>
      </c>
      <c r="H934" t="s">
        <v>28</v>
      </c>
      <c r="I934" t="s">
        <v>49</v>
      </c>
      <c r="J934">
        <f t="shared" si="28"/>
        <v>16</v>
      </c>
      <c r="K934" t="str">
        <f t="shared" si="29"/>
        <v>Budget</v>
      </c>
    </row>
    <row r="935" spans="2:11" x14ac:dyDescent="0.25">
      <c r="B935" t="s">
        <v>638</v>
      </c>
      <c r="C935">
        <v>2018</v>
      </c>
      <c r="D935" s="1">
        <v>690000</v>
      </c>
      <c r="E935">
        <v>39000</v>
      </c>
      <c r="F935" t="s">
        <v>9</v>
      </c>
      <c r="G935" t="s">
        <v>27</v>
      </c>
      <c r="H935" t="s">
        <v>11</v>
      </c>
      <c r="I935" t="s">
        <v>12</v>
      </c>
      <c r="J935">
        <f t="shared" si="28"/>
        <v>8</v>
      </c>
      <c r="K935" t="str">
        <f t="shared" si="29"/>
        <v>Mid Range</v>
      </c>
    </row>
    <row r="936" spans="2:11" x14ac:dyDescent="0.25">
      <c r="B936" t="s">
        <v>241</v>
      </c>
      <c r="C936">
        <v>2016</v>
      </c>
      <c r="D936" s="1">
        <v>245000</v>
      </c>
      <c r="E936">
        <v>60000</v>
      </c>
      <c r="F936" t="s">
        <v>9</v>
      </c>
      <c r="G936" t="s">
        <v>10</v>
      </c>
      <c r="H936" t="s">
        <v>11</v>
      </c>
      <c r="I936" t="s">
        <v>12</v>
      </c>
      <c r="J936">
        <f t="shared" si="28"/>
        <v>10</v>
      </c>
      <c r="K936" t="str">
        <f t="shared" si="29"/>
        <v>Budget</v>
      </c>
    </row>
    <row r="937" spans="2:11" x14ac:dyDescent="0.25">
      <c r="B937" t="s">
        <v>636</v>
      </c>
      <c r="C937">
        <v>2018</v>
      </c>
      <c r="D937" s="1">
        <v>790000</v>
      </c>
      <c r="E937">
        <v>49000</v>
      </c>
      <c r="F937" t="s">
        <v>15</v>
      </c>
      <c r="G937" t="s">
        <v>27</v>
      </c>
      <c r="H937" t="s">
        <v>11</v>
      </c>
      <c r="I937" t="s">
        <v>12</v>
      </c>
      <c r="J937">
        <f t="shared" si="28"/>
        <v>8</v>
      </c>
      <c r="K937" t="str">
        <f t="shared" si="29"/>
        <v>Mid Range</v>
      </c>
    </row>
    <row r="938" spans="2:11" x14ac:dyDescent="0.25">
      <c r="B938" t="s">
        <v>639</v>
      </c>
      <c r="C938">
        <v>2018</v>
      </c>
      <c r="D938" s="1">
        <v>680000</v>
      </c>
      <c r="E938">
        <v>48600</v>
      </c>
      <c r="F938" t="s">
        <v>9</v>
      </c>
      <c r="G938" t="s">
        <v>27</v>
      </c>
      <c r="H938" t="s">
        <v>11</v>
      </c>
      <c r="I938" t="s">
        <v>12</v>
      </c>
      <c r="J938">
        <f t="shared" si="28"/>
        <v>8</v>
      </c>
      <c r="K938" t="str">
        <f t="shared" si="29"/>
        <v>Mid Range</v>
      </c>
    </row>
    <row r="939" spans="2:11" x14ac:dyDescent="0.25">
      <c r="B939" t="s">
        <v>583</v>
      </c>
      <c r="C939">
        <v>2017</v>
      </c>
      <c r="D939" s="1">
        <v>540000</v>
      </c>
      <c r="E939">
        <v>20000</v>
      </c>
      <c r="F939" t="s">
        <v>9</v>
      </c>
      <c r="G939" t="s">
        <v>10</v>
      </c>
      <c r="H939" t="s">
        <v>11</v>
      </c>
      <c r="I939" t="s">
        <v>18</v>
      </c>
      <c r="J939">
        <f t="shared" si="28"/>
        <v>9</v>
      </c>
      <c r="K939" t="str">
        <f t="shared" si="29"/>
        <v>Mid Range</v>
      </c>
    </row>
    <row r="940" spans="2:11" x14ac:dyDescent="0.25">
      <c r="B940" t="s">
        <v>640</v>
      </c>
      <c r="C940">
        <v>2016</v>
      </c>
      <c r="D940" s="1">
        <v>425000</v>
      </c>
      <c r="E940">
        <v>25000</v>
      </c>
      <c r="F940" t="s">
        <v>9</v>
      </c>
      <c r="G940" t="s">
        <v>10</v>
      </c>
      <c r="H940" t="s">
        <v>11</v>
      </c>
      <c r="I940" t="s">
        <v>12</v>
      </c>
      <c r="J940">
        <f t="shared" si="28"/>
        <v>10</v>
      </c>
      <c r="K940" t="str">
        <f t="shared" si="29"/>
        <v>Budget</v>
      </c>
    </row>
    <row r="941" spans="2:11" x14ac:dyDescent="0.25">
      <c r="B941" t="s">
        <v>641</v>
      </c>
      <c r="C941">
        <v>2008</v>
      </c>
      <c r="D941" s="1">
        <v>140000</v>
      </c>
      <c r="E941">
        <v>120000</v>
      </c>
      <c r="F941" t="s">
        <v>9</v>
      </c>
      <c r="G941" t="s">
        <v>10</v>
      </c>
      <c r="H941" t="s">
        <v>11</v>
      </c>
      <c r="I941" t="s">
        <v>12</v>
      </c>
      <c r="J941">
        <f t="shared" si="28"/>
        <v>18</v>
      </c>
      <c r="K941" t="str">
        <f t="shared" si="29"/>
        <v>Budget</v>
      </c>
    </row>
    <row r="942" spans="2:11" x14ac:dyDescent="0.25">
      <c r="B942" t="s">
        <v>642</v>
      </c>
      <c r="C942">
        <v>2019</v>
      </c>
      <c r="D942" s="1">
        <v>1100000</v>
      </c>
      <c r="E942">
        <v>30000</v>
      </c>
      <c r="F942" t="s">
        <v>15</v>
      </c>
      <c r="G942" t="s">
        <v>10</v>
      </c>
      <c r="H942" t="s">
        <v>11</v>
      </c>
      <c r="I942" t="s">
        <v>12</v>
      </c>
      <c r="J942">
        <f t="shared" si="28"/>
        <v>7</v>
      </c>
      <c r="K942" t="str">
        <f t="shared" si="29"/>
        <v>Premium</v>
      </c>
    </row>
    <row r="943" spans="2:11" x14ac:dyDescent="0.25">
      <c r="B943" t="s">
        <v>496</v>
      </c>
      <c r="C943">
        <v>2015</v>
      </c>
      <c r="D943" s="1">
        <v>715000</v>
      </c>
      <c r="E943">
        <v>35000</v>
      </c>
      <c r="F943" t="s">
        <v>15</v>
      </c>
      <c r="G943" t="s">
        <v>10</v>
      </c>
      <c r="H943" t="s">
        <v>11</v>
      </c>
      <c r="I943" t="s">
        <v>12</v>
      </c>
      <c r="J943">
        <f t="shared" si="28"/>
        <v>11</v>
      </c>
      <c r="K943" t="str">
        <f t="shared" si="29"/>
        <v>Mid Range</v>
      </c>
    </row>
    <row r="944" spans="2:11" x14ac:dyDescent="0.25">
      <c r="B944" t="s">
        <v>643</v>
      </c>
      <c r="C944">
        <v>2015</v>
      </c>
      <c r="D944" s="1">
        <v>1750000</v>
      </c>
      <c r="E944">
        <v>127643</v>
      </c>
      <c r="F944" t="s">
        <v>15</v>
      </c>
      <c r="G944" t="s">
        <v>27</v>
      </c>
      <c r="H944" t="s">
        <v>28</v>
      </c>
      <c r="I944" t="s">
        <v>12</v>
      </c>
      <c r="J944">
        <f t="shared" si="28"/>
        <v>11</v>
      </c>
      <c r="K944" t="str">
        <f t="shared" si="29"/>
        <v>Premium</v>
      </c>
    </row>
    <row r="945" spans="2:11" x14ac:dyDescent="0.25">
      <c r="B945" t="s">
        <v>644</v>
      </c>
      <c r="C945">
        <v>2018</v>
      </c>
      <c r="D945" s="1">
        <v>400000</v>
      </c>
      <c r="E945">
        <v>54000</v>
      </c>
      <c r="F945" t="s">
        <v>9</v>
      </c>
      <c r="G945" t="s">
        <v>27</v>
      </c>
      <c r="H945" t="s">
        <v>11</v>
      </c>
      <c r="I945" t="s">
        <v>18</v>
      </c>
      <c r="J945">
        <f t="shared" si="28"/>
        <v>8</v>
      </c>
      <c r="K945" t="str">
        <f t="shared" si="29"/>
        <v>Budget</v>
      </c>
    </row>
    <row r="946" spans="2:11" x14ac:dyDescent="0.25">
      <c r="B946" t="s">
        <v>38</v>
      </c>
      <c r="C946">
        <v>2014</v>
      </c>
      <c r="D946" s="1">
        <v>1750000</v>
      </c>
      <c r="E946">
        <v>102354</v>
      </c>
      <c r="F946" t="s">
        <v>15</v>
      </c>
      <c r="G946" t="s">
        <v>27</v>
      </c>
      <c r="H946" t="s">
        <v>28</v>
      </c>
      <c r="I946" t="s">
        <v>12</v>
      </c>
      <c r="J946">
        <f t="shared" si="28"/>
        <v>12</v>
      </c>
      <c r="K946" t="str">
        <f t="shared" si="29"/>
        <v>Premium</v>
      </c>
    </row>
    <row r="947" spans="2:11" x14ac:dyDescent="0.25">
      <c r="B947" t="s">
        <v>645</v>
      </c>
      <c r="C947">
        <v>2014</v>
      </c>
      <c r="D947" s="1">
        <v>1850000</v>
      </c>
      <c r="E947">
        <v>62237</v>
      </c>
      <c r="F947" t="s">
        <v>9</v>
      </c>
      <c r="G947" t="s">
        <v>27</v>
      </c>
      <c r="H947" t="s">
        <v>28</v>
      </c>
      <c r="I947" t="s">
        <v>12</v>
      </c>
      <c r="J947">
        <f t="shared" si="28"/>
        <v>12</v>
      </c>
      <c r="K947" t="str">
        <f t="shared" si="29"/>
        <v>Premium</v>
      </c>
    </row>
    <row r="948" spans="2:11" x14ac:dyDescent="0.25">
      <c r="B948" t="s">
        <v>147</v>
      </c>
      <c r="C948">
        <v>2005</v>
      </c>
      <c r="D948" s="1">
        <v>114999</v>
      </c>
      <c r="E948">
        <v>90000</v>
      </c>
      <c r="F948" t="s">
        <v>9</v>
      </c>
      <c r="G948" t="s">
        <v>27</v>
      </c>
      <c r="H948" t="s">
        <v>11</v>
      </c>
      <c r="I948" t="s">
        <v>18</v>
      </c>
      <c r="J948">
        <f t="shared" si="28"/>
        <v>21</v>
      </c>
      <c r="K948" t="str">
        <f t="shared" si="29"/>
        <v>Budget</v>
      </c>
    </row>
    <row r="949" spans="2:11" x14ac:dyDescent="0.25">
      <c r="B949" t="s">
        <v>381</v>
      </c>
      <c r="C949">
        <v>2018</v>
      </c>
      <c r="D949" s="1">
        <v>950000</v>
      </c>
      <c r="E949">
        <v>21394</v>
      </c>
      <c r="F949" t="s">
        <v>15</v>
      </c>
      <c r="G949" t="s">
        <v>27</v>
      </c>
      <c r="H949" t="s">
        <v>11</v>
      </c>
      <c r="I949" t="s">
        <v>12</v>
      </c>
      <c r="J949">
        <f t="shared" si="28"/>
        <v>8</v>
      </c>
      <c r="K949" t="str">
        <f t="shared" si="29"/>
        <v>Mid Range</v>
      </c>
    </row>
    <row r="950" spans="2:11" x14ac:dyDescent="0.25">
      <c r="B950" t="s">
        <v>646</v>
      </c>
      <c r="C950">
        <v>2015</v>
      </c>
      <c r="D950" s="1">
        <v>310000</v>
      </c>
      <c r="E950">
        <v>32686</v>
      </c>
      <c r="F950" t="s">
        <v>9</v>
      </c>
      <c r="G950" t="s">
        <v>27</v>
      </c>
      <c r="H950" t="s">
        <v>11</v>
      </c>
      <c r="I950" t="s">
        <v>12</v>
      </c>
      <c r="J950">
        <f t="shared" si="28"/>
        <v>11</v>
      </c>
      <c r="K950" t="str">
        <f t="shared" si="29"/>
        <v>Budget</v>
      </c>
    </row>
    <row r="951" spans="2:11" x14ac:dyDescent="0.25">
      <c r="B951" t="s">
        <v>647</v>
      </c>
      <c r="C951">
        <v>2006</v>
      </c>
      <c r="D951" s="1">
        <v>575000</v>
      </c>
      <c r="E951">
        <v>1001</v>
      </c>
      <c r="F951" t="s">
        <v>15</v>
      </c>
      <c r="G951" t="s">
        <v>27</v>
      </c>
      <c r="H951" t="s">
        <v>11</v>
      </c>
      <c r="I951" t="s">
        <v>12</v>
      </c>
      <c r="J951">
        <f t="shared" si="28"/>
        <v>20</v>
      </c>
      <c r="K951" t="str">
        <f t="shared" si="29"/>
        <v>Mid Range</v>
      </c>
    </row>
    <row r="952" spans="2:11" x14ac:dyDescent="0.25">
      <c r="B952" t="s">
        <v>648</v>
      </c>
      <c r="C952">
        <v>2017</v>
      </c>
      <c r="D952" s="1">
        <v>490000</v>
      </c>
      <c r="E952">
        <v>22000</v>
      </c>
      <c r="F952" t="s">
        <v>15</v>
      </c>
      <c r="G952" t="s">
        <v>27</v>
      </c>
      <c r="H952" t="s">
        <v>11</v>
      </c>
      <c r="I952" t="s">
        <v>12</v>
      </c>
      <c r="J952">
        <f t="shared" si="28"/>
        <v>9</v>
      </c>
      <c r="K952" t="str">
        <f t="shared" si="29"/>
        <v>Budget</v>
      </c>
    </row>
    <row r="953" spans="2:11" x14ac:dyDescent="0.25">
      <c r="B953" t="s">
        <v>210</v>
      </c>
      <c r="C953">
        <v>2017</v>
      </c>
      <c r="D953" s="1">
        <v>480000</v>
      </c>
      <c r="E953">
        <v>53261</v>
      </c>
      <c r="F953" t="s">
        <v>9</v>
      </c>
      <c r="G953" t="s">
        <v>27</v>
      </c>
      <c r="H953" t="s">
        <v>11</v>
      </c>
      <c r="I953" t="s">
        <v>12</v>
      </c>
      <c r="J953">
        <f t="shared" si="28"/>
        <v>9</v>
      </c>
      <c r="K953" t="str">
        <f t="shared" si="29"/>
        <v>Budget</v>
      </c>
    </row>
    <row r="954" spans="2:11" x14ac:dyDescent="0.25">
      <c r="B954" t="s">
        <v>649</v>
      </c>
      <c r="C954">
        <v>2016</v>
      </c>
      <c r="D954" s="1">
        <v>3500000</v>
      </c>
      <c r="E954">
        <v>53000</v>
      </c>
      <c r="F954" t="s">
        <v>15</v>
      </c>
      <c r="G954" t="s">
        <v>27</v>
      </c>
      <c r="H954" t="s">
        <v>28</v>
      </c>
      <c r="I954" t="s">
        <v>12</v>
      </c>
      <c r="J954">
        <f t="shared" si="28"/>
        <v>10</v>
      </c>
      <c r="K954" t="str">
        <f t="shared" si="29"/>
        <v>Premium</v>
      </c>
    </row>
    <row r="955" spans="2:11" x14ac:dyDescent="0.25">
      <c r="B955" t="s">
        <v>306</v>
      </c>
      <c r="C955">
        <v>2018</v>
      </c>
      <c r="D955" s="1">
        <v>370000</v>
      </c>
      <c r="E955">
        <v>10000</v>
      </c>
      <c r="F955" t="s">
        <v>9</v>
      </c>
      <c r="G955" t="s">
        <v>27</v>
      </c>
      <c r="H955" t="s">
        <v>11</v>
      </c>
      <c r="I955" t="s">
        <v>12</v>
      </c>
      <c r="J955">
        <f t="shared" si="28"/>
        <v>8</v>
      </c>
      <c r="K955" t="str">
        <f t="shared" si="29"/>
        <v>Budget</v>
      </c>
    </row>
    <row r="956" spans="2:11" x14ac:dyDescent="0.25">
      <c r="B956" t="s">
        <v>280</v>
      </c>
      <c r="C956">
        <v>2017</v>
      </c>
      <c r="D956" s="1">
        <v>835000</v>
      </c>
      <c r="E956">
        <v>14000</v>
      </c>
      <c r="F956" t="s">
        <v>15</v>
      </c>
      <c r="G956" t="s">
        <v>27</v>
      </c>
      <c r="H956" t="s">
        <v>11</v>
      </c>
      <c r="I956" t="s">
        <v>12</v>
      </c>
      <c r="J956">
        <f t="shared" si="28"/>
        <v>9</v>
      </c>
      <c r="K956" t="str">
        <f t="shared" si="29"/>
        <v>Mid Range</v>
      </c>
    </row>
    <row r="957" spans="2:11" x14ac:dyDescent="0.25">
      <c r="B957" t="s">
        <v>650</v>
      </c>
      <c r="C957">
        <v>2017</v>
      </c>
      <c r="D957" s="1">
        <v>650000</v>
      </c>
      <c r="E957">
        <v>44000</v>
      </c>
      <c r="F957" t="s">
        <v>9</v>
      </c>
      <c r="G957" t="s">
        <v>27</v>
      </c>
      <c r="H957" t="s">
        <v>11</v>
      </c>
      <c r="I957" t="s">
        <v>12</v>
      </c>
      <c r="J957">
        <f t="shared" si="28"/>
        <v>9</v>
      </c>
      <c r="K957" t="str">
        <f t="shared" si="29"/>
        <v>Mid Range</v>
      </c>
    </row>
    <row r="958" spans="2:11" x14ac:dyDescent="0.25">
      <c r="B958" t="s">
        <v>377</v>
      </c>
      <c r="C958">
        <v>2014</v>
      </c>
      <c r="D958" s="1">
        <v>670000</v>
      </c>
      <c r="E958">
        <v>39895</v>
      </c>
      <c r="F958" t="s">
        <v>15</v>
      </c>
      <c r="G958" t="s">
        <v>27</v>
      </c>
      <c r="H958" t="s">
        <v>11</v>
      </c>
      <c r="I958" t="s">
        <v>12</v>
      </c>
      <c r="J958">
        <f t="shared" si="28"/>
        <v>12</v>
      </c>
      <c r="K958" t="str">
        <f t="shared" si="29"/>
        <v>Mid Range</v>
      </c>
    </row>
    <row r="959" spans="2:11" x14ac:dyDescent="0.25">
      <c r="B959" t="s">
        <v>186</v>
      </c>
      <c r="C959">
        <v>2017</v>
      </c>
      <c r="D959" s="1">
        <v>950000</v>
      </c>
      <c r="E959">
        <v>73000</v>
      </c>
      <c r="F959" t="s">
        <v>15</v>
      </c>
      <c r="G959" t="s">
        <v>27</v>
      </c>
      <c r="H959" t="s">
        <v>28</v>
      </c>
      <c r="I959" t="s">
        <v>12</v>
      </c>
      <c r="J959">
        <f t="shared" si="28"/>
        <v>9</v>
      </c>
      <c r="K959" t="str">
        <f t="shared" si="29"/>
        <v>Mid Range</v>
      </c>
    </row>
    <row r="960" spans="2:11" x14ac:dyDescent="0.25">
      <c r="B960" t="s">
        <v>651</v>
      </c>
      <c r="C960">
        <v>2014</v>
      </c>
      <c r="D960" s="1">
        <v>690000</v>
      </c>
      <c r="E960">
        <v>17000</v>
      </c>
      <c r="F960" t="s">
        <v>9</v>
      </c>
      <c r="G960" t="s">
        <v>27</v>
      </c>
      <c r="H960" t="s">
        <v>11</v>
      </c>
      <c r="I960" t="s">
        <v>12</v>
      </c>
      <c r="J960">
        <f t="shared" si="28"/>
        <v>12</v>
      </c>
      <c r="K960" t="str">
        <f t="shared" si="29"/>
        <v>Mid Range</v>
      </c>
    </row>
    <row r="961" spans="2:11" x14ac:dyDescent="0.25">
      <c r="B961" t="s">
        <v>650</v>
      </c>
      <c r="C961">
        <v>2017</v>
      </c>
      <c r="D961" s="1">
        <v>670000</v>
      </c>
      <c r="E961">
        <v>18591</v>
      </c>
      <c r="F961" t="s">
        <v>9</v>
      </c>
      <c r="G961" t="s">
        <v>27</v>
      </c>
      <c r="H961" t="s">
        <v>11</v>
      </c>
      <c r="I961" t="s">
        <v>12</v>
      </c>
      <c r="J961">
        <f t="shared" si="28"/>
        <v>9</v>
      </c>
      <c r="K961" t="str">
        <f t="shared" si="29"/>
        <v>Mid Range</v>
      </c>
    </row>
    <row r="962" spans="2:11" x14ac:dyDescent="0.25">
      <c r="B962" t="s">
        <v>431</v>
      </c>
      <c r="C962">
        <v>2017</v>
      </c>
      <c r="D962" s="1">
        <v>925000</v>
      </c>
      <c r="E962">
        <v>26766</v>
      </c>
      <c r="F962" t="s">
        <v>15</v>
      </c>
      <c r="G962" t="s">
        <v>27</v>
      </c>
      <c r="H962" t="s">
        <v>11</v>
      </c>
      <c r="I962" t="s">
        <v>12</v>
      </c>
      <c r="J962">
        <f t="shared" si="28"/>
        <v>9</v>
      </c>
      <c r="K962" t="str">
        <f t="shared" si="29"/>
        <v>Mid Range</v>
      </c>
    </row>
    <row r="963" spans="2:11" x14ac:dyDescent="0.25">
      <c r="B963" t="s">
        <v>68</v>
      </c>
      <c r="C963">
        <v>2015</v>
      </c>
      <c r="D963" s="1">
        <v>250000</v>
      </c>
      <c r="E963">
        <v>30000</v>
      </c>
      <c r="F963" t="s">
        <v>9</v>
      </c>
      <c r="G963" t="s">
        <v>10</v>
      </c>
      <c r="H963" t="s">
        <v>11</v>
      </c>
      <c r="I963" t="s">
        <v>12</v>
      </c>
      <c r="J963">
        <f t="shared" si="28"/>
        <v>11</v>
      </c>
      <c r="K963" t="str">
        <f t="shared" si="29"/>
        <v>Budget</v>
      </c>
    </row>
    <row r="964" spans="2:11" x14ac:dyDescent="0.25">
      <c r="B964" t="s">
        <v>652</v>
      </c>
      <c r="C964">
        <v>2016</v>
      </c>
      <c r="D964" s="1">
        <v>509999</v>
      </c>
      <c r="E964">
        <v>42000</v>
      </c>
      <c r="F964" t="s">
        <v>15</v>
      </c>
      <c r="G964" t="s">
        <v>10</v>
      </c>
      <c r="H964" t="s">
        <v>11</v>
      </c>
      <c r="I964" t="s">
        <v>12</v>
      </c>
      <c r="J964">
        <f t="shared" si="28"/>
        <v>10</v>
      </c>
      <c r="K964" t="str">
        <f t="shared" si="29"/>
        <v>Mid Range</v>
      </c>
    </row>
    <row r="965" spans="2:11" x14ac:dyDescent="0.25">
      <c r="B965" t="s">
        <v>66</v>
      </c>
      <c r="C965">
        <v>2014</v>
      </c>
      <c r="D965" s="1">
        <v>520000</v>
      </c>
      <c r="E965">
        <v>110000</v>
      </c>
      <c r="F965" t="s">
        <v>15</v>
      </c>
      <c r="G965" t="s">
        <v>10</v>
      </c>
      <c r="H965" t="s">
        <v>11</v>
      </c>
      <c r="I965" t="s">
        <v>12</v>
      </c>
      <c r="J965">
        <f t="shared" si="28"/>
        <v>12</v>
      </c>
      <c r="K965" t="str">
        <f t="shared" si="29"/>
        <v>Mid Range</v>
      </c>
    </row>
    <row r="966" spans="2:11" x14ac:dyDescent="0.25">
      <c r="B966" t="s">
        <v>653</v>
      </c>
      <c r="C966">
        <v>2005</v>
      </c>
      <c r="D966" s="1">
        <v>100000</v>
      </c>
      <c r="E966">
        <v>100000</v>
      </c>
      <c r="F966" t="s">
        <v>15</v>
      </c>
      <c r="G966" t="s">
        <v>10</v>
      </c>
      <c r="H966" t="s">
        <v>11</v>
      </c>
      <c r="I966" t="s">
        <v>12</v>
      </c>
      <c r="J966">
        <f t="shared" ref="J966:J1029" si="30">2026 - C966</f>
        <v>21</v>
      </c>
      <c r="K966" t="str">
        <f t="shared" ref="K966:K1029" si="31">IF(D966&lt;500000,"Budget",IF(D966&lt;=1000000,"Mid Range","Premium"))</f>
        <v>Budget</v>
      </c>
    </row>
    <row r="967" spans="2:11" x14ac:dyDescent="0.25">
      <c r="B967" t="s">
        <v>67</v>
      </c>
      <c r="C967">
        <v>2006</v>
      </c>
      <c r="D967" s="1">
        <v>85000</v>
      </c>
      <c r="E967">
        <v>300000</v>
      </c>
      <c r="F967" t="s">
        <v>15</v>
      </c>
      <c r="G967" t="s">
        <v>10</v>
      </c>
      <c r="H967" t="s">
        <v>11</v>
      </c>
      <c r="I967" t="s">
        <v>18</v>
      </c>
      <c r="J967">
        <f t="shared" si="30"/>
        <v>20</v>
      </c>
      <c r="K967" t="str">
        <f t="shared" si="31"/>
        <v>Budget</v>
      </c>
    </row>
    <row r="968" spans="2:11" x14ac:dyDescent="0.25">
      <c r="B968" t="s">
        <v>612</v>
      </c>
      <c r="C968">
        <v>2009</v>
      </c>
      <c r="D968" s="1">
        <v>130000</v>
      </c>
      <c r="E968">
        <v>110000</v>
      </c>
      <c r="F968" t="s">
        <v>15</v>
      </c>
      <c r="G968" t="s">
        <v>10</v>
      </c>
      <c r="H968" t="s">
        <v>11</v>
      </c>
      <c r="I968" t="s">
        <v>49</v>
      </c>
      <c r="J968">
        <f t="shared" si="30"/>
        <v>17</v>
      </c>
      <c r="K968" t="str">
        <f t="shared" si="31"/>
        <v>Budget</v>
      </c>
    </row>
    <row r="969" spans="2:11" x14ac:dyDescent="0.25">
      <c r="B969" t="s">
        <v>381</v>
      </c>
      <c r="C969">
        <v>2018</v>
      </c>
      <c r="D969" s="1">
        <v>950000</v>
      </c>
      <c r="E969">
        <v>27620</v>
      </c>
      <c r="F969" t="s">
        <v>15</v>
      </c>
      <c r="G969" t="s">
        <v>27</v>
      </c>
      <c r="H969" t="s">
        <v>11</v>
      </c>
      <c r="I969" t="s">
        <v>12</v>
      </c>
      <c r="J969">
        <f t="shared" si="30"/>
        <v>8</v>
      </c>
      <c r="K969" t="str">
        <f t="shared" si="31"/>
        <v>Mid Range</v>
      </c>
    </row>
    <row r="970" spans="2:11" x14ac:dyDescent="0.25">
      <c r="B970" t="s">
        <v>131</v>
      </c>
      <c r="C970">
        <v>2015</v>
      </c>
      <c r="D970" s="1">
        <v>450000</v>
      </c>
      <c r="E970">
        <v>70000</v>
      </c>
      <c r="F970" t="s">
        <v>9</v>
      </c>
      <c r="G970" t="s">
        <v>10</v>
      </c>
      <c r="H970" t="s">
        <v>11</v>
      </c>
      <c r="I970" t="s">
        <v>12</v>
      </c>
      <c r="J970">
        <f t="shared" si="30"/>
        <v>11</v>
      </c>
      <c r="K970" t="str">
        <f t="shared" si="31"/>
        <v>Budget</v>
      </c>
    </row>
    <row r="971" spans="2:11" x14ac:dyDescent="0.25">
      <c r="B971" t="s">
        <v>654</v>
      </c>
      <c r="C971">
        <v>2012</v>
      </c>
      <c r="D971" s="1">
        <v>320000</v>
      </c>
      <c r="E971">
        <v>50000</v>
      </c>
      <c r="F971" t="s">
        <v>9</v>
      </c>
      <c r="G971" t="s">
        <v>10</v>
      </c>
      <c r="H971" t="s">
        <v>11</v>
      </c>
      <c r="I971" t="s">
        <v>18</v>
      </c>
      <c r="J971">
        <f t="shared" si="30"/>
        <v>14</v>
      </c>
      <c r="K971" t="str">
        <f t="shared" si="31"/>
        <v>Budget</v>
      </c>
    </row>
    <row r="972" spans="2:11" x14ac:dyDescent="0.25">
      <c r="B972" t="s">
        <v>114</v>
      </c>
      <c r="C972">
        <v>2015</v>
      </c>
      <c r="D972" s="1">
        <v>480000</v>
      </c>
      <c r="E972">
        <v>50000</v>
      </c>
      <c r="F972" t="s">
        <v>15</v>
      </c>
      <c r="G972" t="s">
        <v>10</v>
      </c>
      <c r="H972" t="s">
        <v>11</v>
      </c>
      <c r="I972" t="s">
        <v>12</v>
      </c>
      <c r="J972">
        <f t="shared" si="30"/>
        <v>11</v>
      </c>
      <c r="K972" t="str">
        <f t="shared" si="31"/>
        <v>Budget</v>
      </c>
    </row>
    <row r="973" spans="2:11" x14ac:dyDescent="0.25">
      <c r="B973" t="s">
        <v>655</v>
      </c>
      <c r="C973">
        <v>2014</v>
      </c>
      <c r="D973" s="1">
        <v>2490000</v>
      </c>
      <c r="E973">
        <v>46000</v>
      </c>
      <c r="F973" t="s">
        <v>15</v>
      </c>
      <c r="G973" t="s">
        <v>10</v>
      </c>
      <c r="H973" t="s">
        <v>28</v>
      </c>
      <c r="I973" t="s">
        <v>12</v>
      </c>
      <c r="J973">
        <f t="shared" si="30"/>
        <v>12</v>
      </c>
      <c r="K973" t="str">
        <f t="shared" si="31"/>
        <v>Premium</v>
      </c>
    </row>
    <row r="974" spans="2:11" x14ac:dyDescent="0.25">
      <c r="B974" t="s">
        <v>656</v>
      </c>
      <c r="C974">
        <v>2012</v>
      </c>
      <c r="D974" s="1">
        <v>790000</v>
      </c>
      <c r="E974">
        <v>82000</v>
      </c>
      <c r="F974" t="s">
        <v>15</v>
      </c>
      <c r="G974" t="s">
        <v>10</v>
      </c>
      <c r="H974" t="s">
        <v>11</v>
      </c>
      <c r="I974" t="s">
        <v>12</v>
      </c>
      <c r="J974">
        <f t="shared" si="30"/>
        <v>14</v>
      </c>
      <c r="K974" t="str">
        <f t="shared" si="31"/>
        <v>Mid Range</v>
      </c>
    </row>
    <row r="975" spans="2:11" x14ac:dyDescent="0.25">
      <c r="B975" t="s">
        <v>224</v>
      </c>
      <c r="C975">
        <v>2016</v>
      </c>
      <c r="D975" s="1">
        <v>120000</v>
      </c>
      <c r="E975">
        <v>120000</v>
      </c>
      <c r="F975" t="s">
        <v>9</v>
      </c>
      <c r="G975" t="s">
        <v>10</v>
      </c>
      <c r="H975" t="s">
        <v>11</v>
      </c>
      <c r="I975" t="s">
        <v>12</v>
      </c>
      <c r="J975">
        <f t="shared" si="30"/>
        <v>10</v>
      </c>
      <c r="K975" t="str">
        <f t="shared" si="31"/>
        <v>Budget</v>
      </c>
    </row>
    <row r="976" spans="2:11" x14ac:dyDescent="0.25">
      <c r="B976" t="s">
        <v>58</v>
      </c>
      <c r="C976">
        <v>2006</v>
      </c>
      <c r="D976" s="1">
        <v>75000</v>
      </c>
      <c r="E976">
        <v>80000</v>
      </c>
      <c r="F976" t="s">
        <v>9</v>
      </c>
      <c r="G976" t="s">
        <v>10</v>
      </c>
      <c r="H976" t="s">
        <v>11</v>
      </c>
      <c r="I976" t="s">
        <v>49</v>
      </c>
      <c r="J976">
        <f t="shared" si="30"/>
        <v>20</v>
      </c>
      <c r="K976" t="str">
        <f t="shared" si="31"/>
        <v>Budget</v>
      </c>
    </row>
    <row r="977" spans="2:11" x14ac:dyDescent="0.25">
      <c r="B977" t="s">
        <v>504</v>
      </c>
      <c r="C977">
        <v>2010</v>
      </c>
      <c r="D977" s="1">
        <v>99000</v>
      </c>
      <c r="E977">
        <v>70000</v>
      </c>
      <c r="F977" t="s">
        <v>9</v>
      </c>
      <c r="G977" t="s">
        <v>10</v>
      </c>
      <c r="H977" t="s">
        <v>11</v>
      </c>
      <c r="I977" t="s">
        <v>12</v>
      </c>
      <c r="J977">
        <f t="shared" si="30"/>
        <v>16</v>
      </c>
      <c r="K977" t="str">
        <f t="shared" si="31"/>
        <v>Budget</v>
      </c>
    </row>
    <row r="978" spans="2:11" x14ac:dyDescent="0.25">
      <c r="B978" t="s">
        <v>408</v>
      </c>
      <c r="C978">
        <v>2018</v>
      </c>
      <c r="D978" s="1">
        <v>1015000</v>
      </c>
      <c r="E978">
        <v>20000</v>
      </c>
      <c r="F978" t="s">
        <v>15</v>
      </c>
      <c r="G978" t="s">
        <v>10</v>
      </c>
      <c r="H978" t="s">
        <v>11</v>
      </c>
      <c r="I978" t="s">
        <v>12</v>
      </c>
      <c r="J978">
        <f t="shared" si="30"/>
        <v>8</v>
      </c>
      <c r="K978" t="str">
        <f t="shared" si="31"/>
        <v>Premium</v>
      </c>
    </row>
    <row r="979" spans="2:11" x14ac:dyDescent="0.25">
      <c r="B979" t="s">
        <v>657</v>
      </c>
      <c r="C979">
        <v>2013</v>
      </c>
      <c r="D979" s="1">
        <v>250000</v>
      </c>
      <c r="E979">
        <v>200000</v>
      </c>
      <c r="F979" t="s">
        <v>15</v>
      </c>
      <c r="G979" t="s">
        <v>10</v>
      </c>
      <c r="H979" t="s">
        <v>11</v>
      </c>
      <c r="I979" t="s">
        <v>18</v>
      </c>
      <c r="J979">
        <f t="shared" si="30"/>
        <v>13</v>
      </c>
      <c r="K979" t="str">
        <f t="shared" si="31"/>
        <v>Budget</v>
      </c>
    </row>
    <row r="980" spans="2:11" x14ac:dyDescent="0.25">
      <c r="B980" t="s">
        <v>658</v>
      </c>
      <c r="C980">
        <v>2011</v>
      </c>
      <c r="D980" s="1">
        <v>520000</v>
      </c>
      <c r="E980">
        <v>120000</v>
      </c>
      <c r="F980" t="s">
        <v>15</v>
      </c>
      <c r="G980" t="s">
        <v>10</v>
      </c>
      <c r="H980" t="s">
        <v>11</v>
      </c>
      <c r="I980" t="s">
        <v>12</v>
      </c>
      <c r="J980">
        <f t="shared" si="30"/>
        <v>15</v>
      </c>
      <c r="K980" t="str">
        <f t="shared" si="31"/>
        <v>Mid Range</v>
      </c>
    </row>
    <row r="981" spans="2:11" x14ac:dyDescent="0.25">
      <c r="B981" t="s">
        <v>659</v>
      </c>
      <c r="C981">
        <v>2018</v>
      </c>
      <c r="D981" s="1">
        <v>1100000</v>
      </c>
      <c r="E981">
        <v>30000</v>
      </c>
      <c r="F981" t="s">
        <v>15</v>
      </c>
      <c r="G981" t="s">
        <v>10</v>
      </c>
      <c r="H981" t="s">
        <v>28</v>
      </c>
      <c r="I981" t="s">
        <v>12</v>
      </c>
      <c r="J981">
        <f t="shared" si="30"/>
        <v>8</v>
      </c>
      <c r="K981" t="str">
        <f t="shared" si="31"/>
        <v>Premium</v>
      </c>
    </row>
    <row r="982" spans="2:11" x14ac:dyDescent="0.25">
      <c r="B982" t="s">
        <v>213</v>
      </c>
      <c r="C982">
        <v>2005</v>
      </c>
      <c r="D982" s="1">
        <v>200000</v>
      </c>
      <c r="E982">
        <v>223000</v>
      </c>
      <c r="F982" t="s">
        <v>15</v>
      </c>
      <c r="G982" t="s">
        <v>10</v>
      </c>
      <c r="H982" t="s">
        <v>11</v>
      </c>
      <c r="I982" t="s">
        <v>12</v>
      </c>
      <c r="J982">
        <f t="shared" si="30"/>
        <v>21</v>
      </c>
      <c r="K982" t="str">
        <f t="shared" si="31"/>
        <v>Budget</v>
      </c>
    </row>
    <row r="983" spans="2:11" x14ac:dyDescent="0.25">
      <c r="B983" t="s">
        <v>114</v>
      </c>
      <c r="C983">
        <v>2016</v>
      </c>
      <c r="D983" s="1">
        <v>525000</v>
      </c>
      <c r="E983">
        <v>60000</v>
      </c>
      <c r="F983" t="s">
        <v>15</v>
      </c>
      <c r="G983" t="s">
        <v>10</v>
      </c>
      <c r="H983" t="s">
        <v>11</v>
      </c>
      <c r="I983" t="s">
        <v>12</v>
      </c>
      <c r="J983">
        <f t="shared" si="30"/>
        <v>10</v>
      </c>
      <c r="K983" t="str">
        <f t="shared" si="31"/>
        <v>Mid Range</v>
      </c>
    </row>
    <row r="984" spans="2:11" x14ac:dyDescent="0.25">
      <c r="B984" t="s">
        <v>343</v>
      </c>
      <c r="C984">
        <v>2016</v>
      </c>
      <c r="D984" s="1">
        <v>500000</v>
      </c>
      <c r="E984">
        <v>40000</v>
      </c>
      <c r="F984" t="s">
        <v>9</v>
      </c>
      <c r="G984" t="s">
        <v>10</v>
      </c>
      <c r="H984" t="s">
        <v>11</v>
      </c>
      <c r="I984" t="s">
        <v>12</v>
      </c>
      <c r="J984">
        <f t="shared" si="30"/>
        <v>10</v>
      </c>
      <c r="K984" t="str">
        <f t="shared" si="31"/>
        <v>Mid Range</v>
      </c>
    </row>
    <row r="985" spans="2:11" x14ac:dyDescent="0.25">
      <c r="B985" t="s">
        <v>660</v>
      </c>
      <c r="C985">
        <v>2016</v>
      </c>
      <c r="D985" s="1">
        <v>675000</v>
      </c>
      <c r="E985">
        <v>161327</v>
      </c>
      <c r="F985" t="s">
        <v>15</v>
      </c>
      <c r="G985" t="s">
        <v>10</v>
      </c>
      <c r="H985" t="s">
        <v>11</v>
      </c>
      <c r="I985" t="s">
        <v>12</v>
      </c>
      <c r="J985">
        <f t="shared" si="30"/>
        <v>10</v>
      </c>
      <c r="K985" t="str">
        <f t="shared" si="31"/>
        <v>Mid Range</v>
      </c>
    </row>
    <row r="986" spans="2:11" x14ac:dyDescent="0.25">
      <c r="B986" t="s">
        <v>661</v>
      </c>
      <c r="C986">
        <v>2009</v>
      </c>
      <c r="D986" s="1">
        <v>150000</v>
      </c>
      <c r="E986">
        <v>60000</v>
      </c>
      <c r="F986" t="s">
        <v>9</v>
      </c>
      <c r="G986" t="s">
        <v>10</v>
      </c>
      <c r="H986" t="s">
        <v>11</v>
      </c>
      <c r="I986" t="s">
        <v>49</v>
      </c>
      <c r="J986">
        <f t="shared" si="30"/>
        <v>17</v>
      </c>
      <c r="K986" t="str">
        <f t="shared" si="31"/>
        <v>Budget</v>
      </c>
    </row>
    <row r="987" spans="2:11" x14ac:dyDescent="0.25">
      <c r="B987" t="s">
        <v>662</v>
      </c>
      <c r="C987">
        <v>2007</v>
      </c>
      <c r="D987" s="1">
        <v>250000</v>
      </c>
      <c r="E987">
        <v>50000</v>
      </c>
      <c r="F987" t="s">
        <v>15</v>
      </c>
      <c r="G987" t="s">
        <v>10</v>
      </c>
      <c r="H987" t="s">
        <v>11</v>
      </c>
      <c r="I987" t="s">
        <v>12</v>
      </c>
      <c r="J987">
        <f t="shared" si="30"/>
        <v>19</v>
      </c>
      <c r="K987" t="str">
        <f t="shared" si="31"/>
        <v>Budget</v>
      </c>
    </row>
    <row r="988" spans="2:11" x14ac:dyDescent="0.25">
      <c r="B988" t="s">
        <v>540</v>
      </c>
      <c r="C988">
        <v>2018</v>
      </c>
      <c r="D988" s="1">
        <v>450000</v>
      </c>
      <c r="E988">
        <v>6000</v>
      </c>
      <c r="F988" t="s">
        <v>9</v>
      </c>
      <c r="G988" t="s">
        <v>10</v>
      </c>
      <c r="H988" t="s">
        <v>11</v>
      </c>
      <c r="I988" t="s">
        <v>12</v>
      </c>
      <c r="J988">
        <f t="shared" si="30"/>
        <v>8</v>
      </c>
      <c r="K988" t="str">
        <f t="shared" si="31"/>
        <v>Budget</v>
      </c>
    </row>
    <row r="989" spans="2:11" x14ac:dyDescent="0.25">
      <c r="B989" t="s">
        <v>663</v>
      </c>
      <c r="C989">
        <v>2009</v>
      </c>
      <c r="D989" s="1">
        <v>150000</v>
      </c>
      <c r="E989">
        <v>68000</v>
      </c>
      <c r="F989" t="s">
        <v>9</v>
      </c>
      <c r="G989" t="s">
        <v>10</v>
      </c>
      <c r="H989" t="s">
        <v>11</v>
      </c>
      <c r="I989" t="s">
        <v>18</v>
      </c>
      <c r="J989">
        <f t="shared" si="30"/>
        <v>17</v>
      </c>
      <c r="K989" t="str">
        <f t="shared" si="31"/>
        <v>Budget</v>
      </c>
    </row>
    <row r="990" spans="2:11" x14ac:dyDescent="0.25">
      <c r="B990" t="s">
        <v>218</v>
      </c>
      <c r="C990">
        <v>2012</v>
      </c>
      <c r="D990" s="1">
        <v>200000</v>
      </c>
      <c r="E990">
        <v>85000</v>
      </c>
      <c r="F990" t="s">
        <v>15</v>
      </c>
      <c r="G990" t="s">
        <v>10</v>
      </c>
      <c r="H990" t="s">
        <v>11</v>
      </c>
      <c r="I990" t="s">
        <v>12</v>
      </c>
      <c r="J990">
        <f t="shared" si="30"/>
        <v>14</v>
      </c>
      <c r="K990" t="str">
        <f t="shared" si="31"/>
        <v>Budget</v>
      </c>
    </row>
    <row r="991" spans="2:11" x14ac:dyDescent="0.25">
      <c r="B991" t="s">
        <v>251</v>
      </c>
      <c r="C991">
        <v>2011</v>
      </c>
      <c r="D991" s="1">
        <v>525000</v>
      </c>
      <c r="E991">
        <v>70000</v>
      </c>
      <c r="F991" t="s">
        <v>15</v>
      </c>
      <c r="G991" t="s">
        <v>10</v>
      </c>
      <c r="H991" t="s">
        <v>28</v>
      </c>
      <c r="I991" t="s">
        <v>12</v>
      </c>
      <c r="J991">
        <f t="shared" si="30"/>
        <v>15</v>
      </c>
      <c r="K991" t="str">
        <f t="shared" si="31"/>
        <v>Mid Range</v>
      </c>
    </row>
    <row r="992" spans="2:11" x14ac:dyDescent="0.25">
      <c r="B992" t="s">
        <v>664</v>
      </c>
      <c r="C992">
        <v>1999</v>
      </c>
      <c r="D992" s="1">
        <v>60000</v>
      </c>
      <c r="E992">
        <v>35000</v>
      </c>
      <c r="F992" t="s">
        <v>9</v>
      </c>
      <c r="G992" t="s">
        <v>10</v>
      </c>
      <c r="H992" t="s">
        <v>11</v>
      </c>
      <c r="I992" t="s">
        <v>18</v>
      </c>
      <c r="J992">
        <f t="shared" si="30"/>
        <v>27</v>
      </c>
      <c r="K992" t="str">
        <f t="shared" si="31"/>
        <v>Budget</v>
      </c>
    </row>
    <row r="993" spans="2:11" x14ac:dyDescent="0.25">
      <c r="B993" t="s">
        <v>122</v>
      </c>
      <c r="C993">
        <v>2010</v>
      </c>
      <c r="D993" s="1">
        <v>180000</v>
      </c>
      <c r="E993">
        <v>100000</v>
      </c>
      <c r="F993" t="s">
        <v>15</v>
      </c>
      <c r="G993" t="s">
        <v>10</v>
      </c>
      <c r="H993" t="s">
        <v>11</v>
      </c>
      <c r="I993" t="s">
        <v>18</v>
      </c>
      <c r="J993">
        <f t="shared" si="30"/>
        <v>16</v>
      </c>
      <c r="K993" t="str">
        <f t="shared" si="31"/>
        <v>Budget</v>
      </c>
    </row>
    <row r="994" spans="2:11" x14ac:dyDescent="0.25">
      <c r="B994" t="s">
        <v>665</v>
      </c>
      <c r="C994">
        <v>2015</v>
      </c>
      <c r="D994" s="1">
        <v>475000</v>
      </c>
      <c r="E994">
        <v>110000</v>
      </c>
      <c r="F994" t="s">
        <v>15</v>
      </c>
      <c r="G994" t="s">
        <v>10</v>
      </c>
      <c r="H994" t="s">
        <v>11</v>
      </c>
      <c r="I994" t="s">
        <v>12</v>
      </c>
      <c r="J994">
        <f t="shared" si="30"/>
        <v>11</v>
      </c>
      <c r="K994" t="str">
        <f t="shared" si="31"/>
        <v>Budget</v>
      </c>
    </row>
    <row r="995" spans="2:11" x14ac:dyDescent="0.25">
      <c r="B995" t="s">
        <v>251</v>
      </c>
      <c r="C995">
        <v>2010</v>
      </c>
      <c r="D995" s="1">
        <v>380000</v>
      </c>
      <c r="E995">
        <v>195000</v>
      </c>
      <c r="F995" t="s">
        <v>15</v>
      </c>
      <c r="G995" t="s">
        <v>10</v>
      </c>
      <c r="H995" t="s">
        <v>28</v>
      </c>
      <c r="I995" t="s">
        <v>18</v>
      </c>
      <c r="J995">
        <f t="shared" si="30"/>
        <v>16</v>
      </c>
      <c r="K995" t="str">
        <f t="shared" si="31"/>
        <v>Budget</v>
      </c>
    </row>
    <row r="996" spans="2:11" x14ac:dyDescent="0.25">
      <c r="B996" t="s">
        <v>249</v>
      </c>
      <c r="C996">
        <v>2015</v>
      </c>
      <c r="D996" s="1">
        <v>285000</v>
      </c>
      <c r="E996">
        <v>46000</v>
      </c>
      <c r="F996" t="s">
        <v>9</v>
      </c>
      <c r="G996" t="s">
        <v>10</v>
      </c>
      <c r="H996" t="s">
        <v>11</v>
      </c>
      <c r="I996" t="s">
        <v>18</v>
      </c>
      <c r="J996">
        <f t="shared" si="30"/>
        <v>11</v>
      </c>
      <c r="K996" t="str">
        <f t="shared" si="31"/>
        <v>Budget</v>
      </c>
    </row>
    <row r="997" spans="2:11" x14ac:dyDescent="0.25">
      <c r="B997" t="s">
        <v>211</v>
      </c>
      <c r="C997">
        <v>2008</v>
      </c>
      <c r="D997" s="1">
        <v>91200</v>
      </c>
      <c r="E997">
        <v>60000</v>
      </c>
      <c r="F997" t="s">
        <v>9</v>
      </c>
      <c r="G997" t="s">
        <v>10</v>
      </c>
      <c r="H997" t="s">
        <v>11</v>
      </c>
      <c r="I997" t="s">
        <v>18</v>
      </c>
      <c r="J997">
        <f t="shared" si="30"/>
        <v>18</v>
      </c>
      <c r="K997" t="str">
        <f t="shared" si="31"/>
        <v>Budget</v>
      </c>
    </row>
    <row r="998" spans="2:11" x14ac:dyDescent="0.25">
      <c r="B998" t="s">
        <v>84</v>
      </c>
      <c r="C998">
        <v>2015</v>
      </c>
      <c r="D998" s="1">
        <v>400000</v>
      </c>
      <c r="E998">
        <v>42000</v>
      </c>
      <c r="F998" t="s">
        <v>15</v>
      </c>
      <c r="G998" t="s">
        <v>10</v>
      </c>
      <c r="H998" t="s">
        <v>11</v>
      </c>
      <c r="I998" t="s">
        <v>12</v>
      </c>
      <c r="J998">
        <f t="shared" si="30"/>
        <v>11</v>
      </c>
      <c r="K998" t="str">
        <f t="shared" si="31"/>
        <v>Budget</v>
      </c>
    </row>
    <row r="999" spans="2:11" x14ac:dyDescent="0.25">
      <c r="B999" t="s">
        <v>666</v>
      </c>
      <c r="C999">
        <v>2006</v>
      </c>
      <c r="D999" s="1">
        <v>160000</v>
      </c>
      <c r="E999">
        <v>90000</v>
      </c>
      <c r="F999" t="s">
        <v>9</v>
      </c>
      <c r="G999" t="s">
        <v>10</v>
      </c>
      <c r="H999" t="s">
        <v>28</v>
      </c>
      <c r="I999" t="s">
        <v>18</v>
      </c>
      <c r="J999">
        <f t="shared" si="30"/>
        <v>20</v>
      </c>
      <c r="K999" t="str">
        <f t="shared" si="31"/>
        <v>Budget</v>
      </c>
    </row>
    <row r="1000" spans="2:11" x14ac:dyDescent="0.25">
      <c r="B1000" t="s">
        <v>667</v>
      </c>
      <c r="C1000">
        <v>2012</v>
      </c>
      <c r="D1000" s="1">
        <v>650000</v>
      </c>
      <c r="E1000">
        <v>85000</v>
      </c>
      <c r="F1000" t="s">
        <v>15</v>
      </c>
      <c r="G1000" t="s">
        <v>10</v>
      </c>
      <c r="H1000" t="s">
        <v>11</v>
      </c>
      <c r="I1000" t="s">
        <v>18</v>
      </c>
      <c r="J1000">
        <f t="shared" si="30"/>
        <v>14</v>
      </c>
      <c r="K1000" t="str">
        <f t="shared" si="31"/>
        <v>Mid Range</v>
      </c>
    </row>
    <row r="1001" spans="2:11" x14ac:dyDescent="0.25">
      <c r="B1001" t="s">
        <v>14</v>
      </c>
      <c r="C1001">
        <v>2012</v>
      </c>
      <c r="D1001" s="1">
        <v>409999</v>
      </c>
      <c r="E1001">
        <v>120000</v>
      </c>
      <c r="F1001" t="s">
        <v>15</v>
      </c>
      <c r="G1001" t="s">
        <v>10</v>
      </c>
      <c r="H1001" t="s">
        <v>11</v>
      </c>
      <c r="I1001" t="s">
        <v>49</v>
      </c>
      <c r="J1001">
        <f t="shared" si="30"/>
        <v>14</v>
      </c>
      <c r="K1001" t="str">
        <f t="shared" si="31"/>
        <v>Budget</v>
      </c>
    </row>
    <row r="1002" spans="2:11" x14ac:dyDescent="0.25">
      <c r="B1002" t="s">
        <v>325</v>
      </c>
      <c r="C1002">
        <v>2013</v>
      </c>
      <c r="D1002" s="1">
        <v>425000</v>
      </c>
      <c r="E1002">
        <v>72000</v>
      </c>
      <c r="F1002" t="s">
        <v>15</v>
      </c>
      <c r="G1002" t="s">
        <v>10</v>
      </c>
      <c r="H1002" t="s">
        <v>11</v>
      </c>
      <c r="I1002" t="s">
        <v>12</v>
      </c>
      <c r="J1002">
        <f t="shared" si="30"/>
        <v>13</v>
      </c>
      <c r="K1002" t="str">
        <f t="shared" si="31"/>
        <v>Budget</v>
      </c>
    </row>
    <row r="1003" spans="2:11" x14ac:dyDescent="0.25">
      <c r="B1003" t="s">
        <v>668</v>
      </c>
      <c r="C1003">
        <v>2013</v>
      </c>
      <c r="D1003" s="1">
        <v>250000</v>
      </c>
      <c r="E1003">
        <v>71000</v>
      </c>
      <c r="F1003" t="s">
        <v>24</v>
      </c>
      <c r="G1003" t="s">
        <v>10</v>
      </c>
      <c r="H1003" t="s">
        <v>11</v>
      </c>
      <c r="I1003" t="s">
        <v>18</v>
      </c>
      <c r="J1003">
        <f t="shared" si="30"/>
        <v>13</v>
      </c>
      <c r="K1003" t="str">
        <f t="shared" si="31"/>
        <v>Budget</v>
      </c>
    </row>
    <row r="1004" spans="2:11" x14ac:dyDescent="0.25">
      <c r="B1004" t="s">
        <v>539</v>
      </c>
      <c r="C1004">
        <v>2009</v>
      </c>
      <c r="D1004" s="1">
        <v>200000</v>
      </c>
      <c r="E1004">
        <v>110000</v>
      </c>
      <c r="F1004" t="s">
        <v>9</v>
      </c>
      <c r="G1004" t="s">
        <v>10</v>
      </c>
      <c r="H1004" t="s">
        <v>11</v>
      </c>
      <c r="I1004" t="s">
        <v>46</v>
      </c>
      <c r="J1004">
        <f t="shared" si="30"/>
        <v>17</v>
      </c>
      <c r="K1004" t="str">
        <f t="shared" si="31"/>
        <v>Budget</v>
      </c>
    </row>
    <row r="1005" spans="2:11" x14ac:dyDescent="0.25">
      <c r="B1005" t="s">
        <v>361</v>
      </c>
      <c r="C1005">
        <v>2010</v>
      </c>
      <c r="D1005" s="1">
        <v>130000</v>
      </c>
      <c r="E1005">
        <v>144000</v>
      </c>
      <c r="F1005" t="s">
        <v>15</v>
      </c>
      <c r="G1005" t="s">
        <v>10</v>
      </c>
      <c r="H1005" t="s">
        <v>11</v>
      </c>
      <c r="I1005" t="s">
        <v>46</v>
      </c>
      <c r="J1005">
        <f t="shared" si="30"/>
        <v>16</v>
      </c>
      <c r="K1005" t="str">
        <f t="shared" si="31"/>
        <v>Budget</v>
      </c>
    </row>
    <row r="1006" spans="2:11" x14ac:dyDescent="0.25">
      <c r="B1006" t="s">
        <v>60</v>
      </c>
      <c r="C1006">
        <v>2017</v>
      </c>
      <c r="D1006" s="1">
        <v>260000</v>
      </c>
      <c r="E1006">
        <v>30000</v>
      </c>
      <c r="F1006" t="s">
        <v>9</v>
      </c>
      <c r="G1006" t="s">
        <v>27</v>
      </c>
      <c r="H1006" t="s">
        <v>11</v>
      </c>
      <c r="I1006" t="s">
        <v>12</v>
      </c>
      <c r="J1006">
        <f t="shared" si="30"/>
        <v>9</v>
      </c>
      <c r="K1006" t="str">
        <f t="shared" si="31"/>
        <v>Budget</v>
      </c>
    </row>
    <row r="1007" spans="2:11" x14ac:dyDescent="0.25">
      <c r="B1007" t="s">
        <v>669</v>
      </c>
      <c r="C1007">
        <v>2007</v>
      </c>
      <c r="D1007" s="1">
        <v>155000</v>
      </c>
      <c r="E1007">
        <v>65000</v>
      </c>
      <c r="F1007" t="s">
        <v>9</v>
      </c>
      <c r="G1007" t="s">
        <v>27</v>
      </c>
      <c r="H1007" t="s">
        <v>11</v>
      </c>
      <c r="I1007" t="s">
        <v>12</v>
      </c>
      <c r="J1007">
        <f t="shared" si="30"/>
        <v>19</v>
      </c>
      <c r="K1007" t="str">
        <f t="shared" si="31"/>
        <v>Budget</v>
      </c>
    </row>
    <row r="1008" spans="2:11" x14ac:dyDescent="0.25">
      <c r="B1008" t="s">
        <v>630</v>
      </c>
      <c r="C1008">
        <v>2015</v>
      </c>
      <c r="D1008" s="1">
        <v>450000</v>
      </c>
      <c r="E1008">
        <v>38000</v>
      </c>
      <c r="F1008" t="s">
        <v>15</v>
      </c>
      <c r="G1008" t="s">
        <v>10</v>
      </c>
      <c r="H1008" t="s">
        <v>11</v>
      </c>
      <c r="I1008" t="s">
        <v>12</v>
      </c>
      <c r="J1008">
        <f t="shared" si="30"/>
        <v>11</v>
      </c>
      <c r="K1008" t="str">
        <f t="shared" si="31"/>
        <v>Budget</v>
      </c>
    </row>
    <row r="1009" spans="2:11" x14ac:dyDescent="0.25">
      <c r="B1009" t="s">
        <v>670</v>
      </c>
      <c r="C1009">
        <v>2012</v>
      </c>
      <c r="D1009" s="1">
        <v>220000</v>
      </c>
      <c r="E1009">
        <v>90000</v>
      </c>
      <c r="F1009" t="s">
        <v>9</v>
      </c>
      <c r="G1009" t="s">
        <v>10</v>
      </c>
      <c r="H1009" t="s">
        <v>11</v>
      </c>
      <c r="I1009" t="s">
        <v>18</v>
      </c>
      <c r="J1009">
        <f t="shared" si="30"/>
        <v>14</v>
      </c>
      <c r="K1009" t="str">
        <f t="shared" si="31"/>
        <v>Budget</v>
      </c>
    </row>
    <row r="1010" spans="2:11" x14ac:dyDescent="0.25">
      <c r="B1010" t="s">
        <v>671</v>
      </c>
      <c r="C1010">
        <v>2018</v>
      </c>
      <c r="D1010" s="1">
        <v>650000</v>
      </c>
      <c r="E1010">
        <v>37000</v>
      </c>
      <c r="F1010" t="s">
        <v>15</v>
      </c>
      <c r="G1010" t="s">
        <v>27</v>
      </c>
      <c r="H1010" t="s">
        <v>11</v>
      </c>
      <c r="I1010" t="s">
        <v>12</v>
      </c>
      <c r="J1010">
        <f t="shared" si="30"/>
        <v>8</v>
      </c>
      <c r="K1010" t="str">
        <f t="shared" si="31"/>
        <v>Mid Range</v>
      </c>
    </row>
    <row r="1011" spans="2:11" x14ac:dyDescent="0.25">
      <c r="B1011" t="s">
        <v>249</v>
      </c>
      <c r="C1011">
        <v>2018</v>
      </c>
      <c r="D1011" s="1">
        <v>285000</v>
      </c>
      <c r="E1011">
        <v>30000</v>
      </c>
      <c r="F1011" t="s">
        <v>9</v>
      </c>
      <c r="G1011" t="s">
        <v>27</v>
      </c>
      <c r="H1011" t="s">
        <v>11</v>
      </c>
      <c r="I1011" t="s">
        <v>12</v>
      </c>
      <c r="J1011">
        <f t="shared" si="30"/>
        <v>8</v>
      </c>
      <c r="K1011" t="str">
        <f t="shared" si="31"/>
        <v>Budget</v>
      </c>
    </row>
    <row r="1012" spans="2:11" x14ac:dyDescent="0.25">
      <c r="B1012" t="s">
        <v>672</v>
      </c>
      <c r="C1012">
        <v>2018</v>
      </c>
      <c r="D1012" s="1">
        <v>725000</v>
      </c>
      <c r="E1012">
        <v>26000</v>
      </c>
      <c r="F1012" t="s">
        <v>9</v>
      </c>
      <c r="G1012" t="s">
        <v>27</v>
      </c>
      <c r="H1012" t="s">
        <v>28</v>
      </c>
      <c r="I1012" t="s">
        <v>12</v>
      </c>
      <c r="J1012">
        <f t="shared" si="30"/>
        <v>8</v>
      </c>
      <c r="K1012" t="str">
        <f t="shared" si="31"/>
        <v>Mid Range</v>
      </c>
    </row>
    <row r="1013" spans="2:11" x14ac:dyDescent="0.25">
      <c r="B1013" t="s">
        <v>673</v>
      </c>
      <c r="C1013">
        <v>2016</v>
      </c>
      <c r="D1013" s="1">
        <v>625000</v>
      </c>
      <c r="E1013">
        <v>30000</v>
      </c>
      <c r="F1013" t="s">
        <v>9</v>
      </c>
      <c r="G1013" t="s">
        <v>27</v>
      </c>
      <c r="H1013" t="s">
        <v>11</v>
      </c>
      <c r="I1013" t="s">
        <v>12</v>
      </c>
      <c r="J1013">
        <f t="shared" si="30"/>
        <v>10</v>
      </c>
      <c r="K1013" t="str">
        <f t="shared" si="31"/>
        <v>Mid Range</v>
      </c>
    </row>
    <row r="1014" spans="2:11" x14ac:dyDescent="0.25">
      <c r="B1014" t="s">
        <v>674</v>
      </c>
      <c r="C1014">
        <v>2016</v>
      </c>
      <c r="D1014" s="1">
        <v>550000</v>
      </c>
      <c r="E1014">
        <v>23000</v>
      </c>
      <c r="F1014" t="s">
        <v>9</v>
      </c>
      <c r="G1014" t="s">
        <v>27</v>
      </c>
      <c r="H1014" t="s">
        <v>11</v>
      </c>
      <c r="I1014" t="s">
        <v>12</v>
      </c>
      <c r="J1014">
        <f t="shared" si="30"/>
        <v>10</v>
      </c>
      <c r="K1014" t="str">
        <f t="shared" si="31"/>
        <v>Mid Range</v>
      </c>
    </row>
    <row r="1015" spans="2:11" x14ac:dyDescent="0.25">
      <c r="B1015" t="s">
        <v>426</v>
      </c>
      <c r="C1015">
        <v>2012</v>
      </c>
      <c r="D1015" s="1">
        <v>240000</v>
      </c>
      <c r="E1015">
        <v>40000</v>
      </c>
      <c r="F1015" t="s">
        <v>9</v>
      </c>
      <c r="G1015" t="s">
        <v>27</v>
      </c>
      <c r="H1015" t="s">
        <v>11</v>
      </c>
      <c r="I1015" t="s">
        <v>12</v>
      </c>
      <c r="J1015">
        <f t="shared" si="30"/>
        <v>14</v>
      </c>
      <c r="K1015" t="str">
        <f t="shared" si="31"/>
        <v>Budget</v>
      </c>
    </row>
    <row r="1016" spans="2:11" x14ac:dyDescent="0.25">
      <c r="B1016" t="s">
        <v>675</v>
      </c>
      <c r="C1016">
        <v>2014</v>
      </c>
      <c r="D1016" s="1">
        <v>600000</v>
      </c>
      <c r="E1016">
        <v>27000</v>
      </c>
      <c r="F1016" t="s">
        <v>15</v>
      </c>
      <c r="G1016" t="s">
        <v>27</v>
      </c>
      <c r="H1016" t="s">
        <v>11</v>
      </c>
      <c r="I1016" t="s">
        <v>12</v>
      </c>
      <c r="J1016">
        <f t="shared" si="30"/>
        <v>12</v>
      </c>
      <c r="K1016" t="str">
        <f t="shared" si="31"/>
        <v>Mid Range</v>
      </c>
    </row>
    <row r="1017" spans="2:11" x14ac:dyDescent="0.25">
      <c r="B1017" t="s">
        <v>331</v>
      </c>
      <c r="C1017">
        <v>2012</v>
      </c>
      <c r="D1017" s="1">
        <v>350000</v>
      </c>
      <c r="E1017">
        <v>65000</v>
      </c>
      <c r="F1017" t="s">
        <v>15</v>
      </c>
      <c r="G1017" t="s">
        <v>27</v>
      </c>
      <c r="H1017" t="s">
        <v>11</v>
      </c>
      <c r="I1017" t="s">
        <v>12</v>
      </c>
      <c r="J1017">
        <f t="shared" si="30"/>
        <v>14</v>
      </c>
      <c r="K1017" t="str">
        <f t="shared" si="31"/>
        <v>Budget</v>
      </c>
    </row>
    <row r="1018" spans="2:11" x14ac:dyDescent="0.25">
      <c r="B1018" t="s">
        <v>68</v>
      </c>
      <c r="C1018">
        <v>2015</v>
      </c>
      <c r="D1018" s="1">
        <v>245000</v>
      </c>
      <c r="E1018">
        <v>32000</v>
      </c>
      <c r="F1018" t="s">
        <v>9</v>
      </c>
      <c r="G1018" t="s">
        <v>27</v>
      </c>
      <c r="H1018" t="s">
        <v>11</v>
      </c>
      <c r="I1018" t="s">
        <v>12</v>
      </c>
      <c r="J1018">
        <f t="shared" si="30"/>
        <v>11</v>
      </c>
      <c r="K1018" t="str">
        <f t="shared" si="31"/>
        <v>Budget</v>
      </c>
    </row>
    <row r="1019" spans="2:11" x14ac:dyDescent="0.25">
      <c r="B1019" t="s">
        <v>676</v>
      </c>
      <c r="C1019">
        <v>2016</v>
      </c>
      <c r="D1019" s="1">
        <v>600000</v>
      </c>
      <c r="E1019">
        <v>56000</v>
      </c>
      <c r="F1019" t="s">
        <v>15</v>
      </c>
      <c r="G1019" t="s">
        <v>27</v>
      </c>
      <c r="H1019" t="s">
        <v>11</v>
      </c>
      <c r="I1019" t="s">
        <v>12</v>
      </c>
      <c r="J1019">
        <f t="shared" si="30"/>
        <v>10</v>
      </c>
      <c r="K1019" t="str">
        <f t="shared" si="31"/>
        <v>Mid Range</v>
      </c>
    </row>
    <row r="1020" spans="2:11" x14ac:dyDescent="0.25">
      <c r="B1020" t="s">
        <v>101</v>
      </c>
      <c r="C1020">
        <v>2017</v>
      </c>
      <c r="D1020" s="1">
        <v>2400000</v>
      </c>
      <c r="E1020">
        <v>30000</v>
      </c>
      <c r="F1020" t="s">
        <v>15</v>
      </c>
      <c r="G1020" t="s">
        <v>10</v>
      </c>
      <c r="H1020" t="s">
        <v>28</v>
      </c>
      <c r="I1020" t="s">
        <v>12</v>
      </c>
      <c r="J1020">
        <f t="shared" si="30"/>
        <v>9</v>
      </c>
      <c r="K1020" t="str">
        <f t="shared" si="31"/>
        <v>Premium</v>
      </c>
    </row>
    <row r="1021" spans="2:11" x14ac:dyDescent="0.25">
      <c r="B1021" t="s">
        <v>677</v>
      </c>
      <c r="C1021">
        <v>2014</v>
      </c>
      <c r="D1021" s="1">
        <v>620000</v>
      </c>
      <c r="E1021">
        <v>80000</v>
      </c>
      <c r="F1021" t="s">
        <v>15</v>
      </c>
      <c r="G1021" t="s">
        <v>27</v>
      </c>
      <c r="H1021" t="s">
        <v>11</v>
      </c>
      <c r="I1021" t="s">
        <v>12</v>
      </c>
      <c r="J1021">
        <f t="shared" si="30"/>
        <v>12</v>
      </c>
      <c r="K1021" t="str">
        <f t="shared" si="31"/>
        <v>Mid Range</v>
      </c>
    </row>
    <row r="1022" spans="2:11" x14ac:dyDescent="0.25">
      <c r="B1022" t="s">
        <v>250</v>
      </c>
      <c r="C1022">
        <v>2014</v>
      </c>
      <c r="D1022" s="1">
        <v>395000</v>
      </c>
      <c r="E1022">
        <v>52000</v>
      </c>
      <c r="F1022" t="s">
        <v>9</v>
      </c>
      <c r="G1022" t="s">
        <v>27</v>
      </c>
      <c r="H1022" t="s">
        <v>11</v>
      </c>
      <c r="I1022" t="s">
        <v>18</v>
      </c>
      <c r="J1022">
        <f t="shared" si="30"/>
        <v>12</v>
      </c>
      <c r="K1022" t="str">
        <f t="shared" si="31"/>
        <v>Budget</v>
      </c>
    </row>
    <row r="1023" spans="2:11" x14ac:dyDescent="0.25">
      <c r="B1023" t="s">
        <v>678</v>
      </c>
      <c r="C1023">
        <v>2014</v>
      </c>
      <c r="D1023" s="1">
        <v>635000</v>
      </c>
      <c r="E1023">
        <v>13250</v>
      </c>
      <c r="F1023" t="s">
        <v>9</v>
      </c>
      <c r="G1023" t="s">
        <v>27</v>
      </c>
      <c r="H1023" t="s">
        <v>11</v>
      </c>
      <c r="I1023" t="s">
        <v>12</v>
      </c>
      <c r="J1023">
        <f t="shared" si="30"/>
        <v>12</v>
      </c>
      <c r="K1023" t="str">
        <f t="shared" si="31"/>
        <v>Mid Range</v>
      </c>
    </row>
    <row r="1024" spans="2:11" x14ac:dyDescent="0.25">
      <c r="B1024" t="s">
        <v>172</v>
      </c>
      <c r="C1024">
        <v>2011</v>
      </c>
      <c r="D1024" s="1">
        <v>180000</v>
      </c>
      <c r="E1024">
        <v>36000</v>
      </c>
      <c r="F1024" t="s">
        <v>9</v>
      </c>
      <c r="G1024" t="s">
        <v>27</v>
      </c>
      <c r="H1024" t="s">
        <v>11</v>
      </c>
      <c r="I1024" t="s">
        <v>12</v>
      </c>
      <c r="J1024">
        <f t="shared" si="30"/>
        <v>15</v>
      </c>
      <c r="K1024" t="str">
        <f t="shared" si="31"/>
        <v>Budget</v>
      </c>
    </row>
    <row r="1025" spans="2:11" x14ac:dyDescent="0.25">
      <c r="B1025" t="s">
        <v>679</v>
      </c>
      <c r="C1025">
        <v>2015</v>
      </c>
      <c r="D1025" s="1">
        <v>484999</v>
      </c>
      <c r="E1025">
        <v>73000</v>
      </c>
      <c r="F1025" t="s">
        <v>15</v>
      </c>
      <c r="G1025" t="s">
        <v>27</v>
      </c>
      <c r="H1025" t="s">
        <v>11</v>
      </c>
      <c r="I1025" t="s">
        <v>18</v>
      </c>
      <c r="J1025">
        <f t="shared" si="30"/>
        <v>11</v>
      </c>
      <c r="K1025" t="str">
        <f t="shared" si="31"/>
        <v>Budget</v>
      </c>
    </row>
    <row r="1026" spans="2:11" x14ac:dyDescent="0.25">
      <c r="B1026" t="s">
        <v>172</v>
      </c>
      <c r="C1026">
        <v>2004</v>
      </c>
      <c r="D1026" s="1">
        <v>110000</v>
      </c>
      <c r="E1026">
        <v>60000</v>
      </c>
      <c r="F1026" t="s">
        <v>9</v>
      </c>
      <c r="G1026" t="s">
        <v>10</v>
      </c>
      <c r="H1026" t="s">
        <v>11</v>
      </c>
      <c r="I1026" t="s">
        <v>12</v>
      </c>
      <c r="J1026">
        <f t="shared" si="30"/>
        <v>22</v>
      </c>
      <c r="K1026" t="str">
        <f t="shared" si="31"/>
        <v>Budget</v>
      </c>
    </row>
    <row r="1027" spans="2:11" x14ac:dyDescent="0.25">
      <c r="B1027" t="s">
        <v>680</v>
      </c>
      <c r="C1027">
        <v>2006</v>
      </c>
      <c r="D1027" s="1">
        <v>150000</v>
      </c>
      <c r="E1027">
        <v>60000</v>
      </c>
      <c r="F1027" t="s">
        <v>9</v>
      </c>
      <c r="G1027" t="s">
        <v>10</v>
      </c>
      <c r="H1027" t="s">
        <v>11</v>
      </c>
      <c r="I1027" t="s">
        <v>18</v>
      </c>
      <c r="J1027">
        <f t="shared" si="30"/>
        <v>20</v>
      </c>
      <c r="K1027" t="str">
        <f t="shared" si="31"/>
        <v>Budget</v>
      </c>
    </row>
    <row r="1028" spans="2:11" x14ac:dyDescent="0.25">
      <c r="B1028" t="s">
        <v>681</v>
      </c>
      <c r="C1028">
        <v>2012</v>
      </c>
      <c r="D1028" s="1">
        <v>400000</v>
      </c>
      <c r="E1028">
        <v>110000</v>
      </c>
      <c r="F1028" t="s">
        <v>15</v>
      </c>
      <c r="G1028" t="s">
        <v>10</v>
      </c>
      <c r="H1028" t="s">
        <v>11</v>
      </c>
      <c r="I1028" t="s">
        <v>12</v>
      </c>
      <c r="J1028">
        <f t="shared" si="30"/>
        <v>14</v>
      </c>
      <c r="K1028" t="str">
        <f t="shared" si="31"/>
        <v>Budget</v>
      </c>
    </row>
    <row r="1029" spans="2:11" x14ac:dyDescent="0.25">
      <c r="B1029" t="s">
        <v>682</v>
      </c>
      <c r="C1029">
        <v>2012</v>
      </c>
      <c r="D1029" s="1">
        <v>200000</v>
      </c>
      <c r="E1029">
        <v>70000</v>
      </c>
      <c r="F1029" t="s">
        <v>15</v>
      </c>
      <c r="G1029" t="s">
        <v>10</v>
      </c>
      <c r="H1029" t="s">
        <v>11</v>
      </c>
      <c r="I1029" t="s">
        <v>18</v>
      </c>
      <c r="J1029">
        <f t="shared" si="30"/>
        <v>14</v>
      </c>
      <c r="K1029" t="str">
        <f t="shared" si="31"/>
        <v>Budget</v>
      </c>
    </row>
    <row r="1030" spans="2:11" x14ac:dyDescent="0.25">
      <c r="B1030" t="s">
        <v>683</v>
      </c>
      <c r="C1030">
        <v>2013</v>
      </c>
      <c r="D1030" s="1">
        <v>302000</v>
      </c>
      <c r="E1030">
        <v>60000</v>
      </c>
      <c r="F1030" t="s">
        <v>15</v>
      </c>
      <c r="G1030" t="s">
        <v>10</v>
      </c>
      <c r="H1030" t="s">
        <v>11</v>
      </c>
      <c r="I1030" t="s">
        <v>18</v>
      </c>
      <c r="J1030">
        <f t="shared" ref="J1030:J1093" si="32">2026 - C1030</f>
        <v>13</v>
      </c>
      <c r="K1030" t="str">
        <f t="shared" ref="K1030:K1093" si="33">IF(D1030&lt;500000,"Budget",IF(D1030&lt;=1000000,"Mid Range","Premium"))</f>
        <v>Budget</v>
      </c>
    </row>
    <row r="1031" spans="2:11" x14ac:dyDescent="0.25">
      <c r="B1031" t="s">
        <v>684</v>
      </c>
      <c r="C1031">
        <v>2011</v>
      </c>
      <c r="D1031" s="1">
        <v>215000</v>
      </c>
      <c r="E1031">
        <v>90000</v>
      </c>
      <c r="F1031" t="s">
        <v>15</v>
      </c>
      <c r="G1031" t="s">
        <v>10</v>
      </c>
      <c r="H1031" t="s">
        <v>11</v>
      </c>
      <c r="I1031" t="s">
        <v>46</v>
      </c>
      <c r="J1031">
        <f t="shared" si="32"/>
        <v>15</v>
      </c>
      <c r="K1031" t="str">
        <f t="shared" si="33"/>
        <v>Budget</v>
      </c>
    </row>
    <row r="1032" spans="2:11" x14ac:dyDescent="0.25">
      <c r="B1032" t="s">
        <v>680</v>
      </c>
      <c r="C1032">
        <v>2004</v>
      </c>
      <c r="D1032" s="1">
        <v>155000</v>
      </c>
      <c r="E1032">
        <v>80000</v>
      </c>
      <c r="F1032" t="s">
        <v>9</v>
      </c>
      <c r="G1032" t="s">
        <v>10</v>
      </c>
      <c r="H1032" t="s">
        <v>11</v>
      </c>
      <c r="I1032" t="s">
        <v>18</v>
      </c>
      <c r="J1032">
        <f t="shared" si="32"/>
        <v>22</v>
      </c>
      <c r="K1032" t="str">
        <f t="shared" si="33"/>
        <v>Budget</v>
      </c>
    </row>
    <row r="1033" spans="2:11" x14ac:dyDescent="0.25">
      <c r="B1033" t="s">
        <v>530</v>
      </c>
      <c r="C1033">
        <v>2014</v>
      </c>
      <c r="D1033" s="1">
        <v>1000000</v>
      </c>
      <c r="E1033">
        <v>101000</v>
      </c>
      <c r="F1033" t="s">
        <v>15</v>
      </c>
      <c r="G1033" t="s">
        <v>10</v>
      </c>
      <c r="H1033" t="s">
        <v>11</v>
      </c>
      <c r="I1033" t="s">
        <v>18</v>
      </c>
      <c r="J1033">
        <f t="shared" si="32"/>
        <v>12</v>
      </c>
      <c r="K1033" t="str">
        <f t="shared" si="33"/>
        <v>Mid Range</v>
      </c>
    </row>
    <row r="1034" spans="2:11" x14ac:dyDescent="0.25">
      <c r="B1034" t="s">
        <v>105</v>
      </c>
      <c r="C1034">
        <v>2018</v>
      </c>
      <c r="D1034" s="1">
        <v>550000</v>
      </c>
      <c r="E1034">
        <v>44000</v>
      </c>
      <c r="F1034" t="s">
        <v>15</v>
      </c>
      <c r="G1034" t="s">
        <v>10</v>
      </c>
      <c r="H1034" t="s">
        <v>11</v>
      </c>
      <c r="I1034" t="s">
        <v>12</v>
      </c>
      <c r="J1034">
        <f t="shared" si="32"/>
        <v>8</v>
      </c>
      <c r="K1034" t="str">
        <f t="shared" si="33"/>
        <v>Mid Range</v>
      </c>
    </row>
    <row r="1035" spans="2:11" x14ac:dyDescent="0.25">
      <c r="B1035" t="s">
        <v>76</v>
      </c>
      <c r="C1035">
        <v>2006</v>
      </c>
      <c r="D1035" s="1">
        <v>200000</v>
      </c>
      <c r="E1035">
        <v>45000</v>
      </c>
      <c r="F1035" t="s">
        <v>9</v>
      </c>
      <c r="G1035" t="s">
        <v>10</v>
      </c>
      <c r="H1035" t="s">
        <v>11</v>
      </c>
      <c r="I1035" t="s">
        <v>12</v>
      </c>
      <c r="J1035">
        <f t="shared" si="32"/>
        <v>20</v>
      </c>
      <c r="K1035" t="str">
        <f t="shared" si="33"/>
        <v>Budget</v>
      </c>
    </row>
    <row r="1036" spans="2:11" x14ac:dyDescent="0.25">
      <c r="B1036" t="s">
        <v>660</v>
      </c>
      <c r="C1036">
        <v>2017</v>
      </c>
      <c r="D1036" s="1">
        <v>750000</v>
      </c>
      <c r="E1036">
        <v>120000</v>
      </c>
      <c r="F1036" t="s">
        <v>15</v>
      </c>
      <c r="G1036" t="s">
        <v>10</v>
      </c>
      <c r="H1036" t="s">
        <v>11</v>
      </c>
      <c r="I1036" t="s">
        <v>12</v>
      </c>
      <c r="J1036">
        <f t="shared" si="32"/>
        <v>9</v>
      </c>
      <c r="K1036" t="str">
        <f t="shared" si="33"/>
        <v>Mid Range</v>
      </c>
    </row>
    <row r="1037" spans="2:11" x14ac:dyDescent="0.25">
      <c r="B1037" t="s">
        <v>507</v>
      </c>
      <c r="C1037">
        <v>2005</v>
      </c>
      <c r="D1037" s="1">
        <v>90000</v>
      </c>
      <c r="E1037">
        <v>90000</v>
      </c>
      <c r="F1037" t="s">
        <v>9</v>
      </c>
      <c r="G1037" t="s">
        <v>10</v>
      </c>
      <c r="H1037" t="s">
        <v>11</v>
      </c>
      <c r="I1037" t="s">
        <v>18</v>
      </c>
      <c r="J1037">
        <f t="shared" si="32"/>
        <v>21</v>
      </c>
      <c r="K1037" t="str">
        <f t="shared" si="33"/>
        <v>Budget</v>
      </c>
    </row>
    <row r="1038" spans="2:11" x14ac:dyDescent="0.25">
      <c r="B1038" t="s">
        <v>13</v>
      </c>
      <c r="C1038">
        <v>2007</v>
      </c>
      <c r="D1038" s="1">
        <v>80000</v>
      </c>
      <c r="E1038">
        <v>120000</v>
      </c>
      <c r="F1038" t="s">
        <v>9</v>
      </c>
      <c r="G1038" t="s">
        <v>10</v>
      </c>
      <c r="H1038" t="s">
        <v>11</v>
      </c>
      <c r="I1038" t="s">
        <v>18</v>
      </c>
      <c r="J1038">
        <f t="shared" si="32"/>
        <v>19</v>
      </c>
      <c r="K1038" t="str">
        <f t="shared" si="33"/>
        <v>Budget</v>
      </c>
    </row>
    <row r="1039" spans="2:11" x14ac:dyDescent="0.25">
      <c r="B1039" t="s">
        <v>339</v>
      </c>
      <c r="C1039">
        <v>2013</v>
      </c>
      <c r="D1039" s="1">
        <v>229999</v>
      </c>
      <c r="E1039">
        <v>13500</v>
      </c>
      <c r="F1039" t="s">
        <v>9</v>
      </c>
      <c r="G1039" t="s">
        <v>10</v>
      </c>
      <c r="H1039" t="s">
        <v>11</v>
      </c>
      <c r="I1039" t="s">
        <v>12</v>
      </c>
      <c r="J1039">
        <f t="shared" si="32"/>
        <v>13</v>
      </c>
      <c r="K1039" t="str">
        <f t="shared" si="33"/>
        <v>Budget</v>
      </c>
    </row>
    <row r="1040" spans="2:11" x14ac:dyDescent="0.25">
      <c r="B1040" t="s">
        <v>306</v>
      </c>
      <c r="C1040">
        <v>2017</v>
      </c>
      <c r="D1040" s="1">
        <v>350000</v>
      </c>
      <c r="E1040">
        <v>10000</v>
      </c>
      <c r="F1040" t="s">
        <v>9</v>
      </c>
      <c r="G1040" t="s">
        <v>10</v>
      </c>
      <c r="H1040" t="s">
        <v>11</v>
      </c>
      <c r="I1040" t="s">
        <v>12</v>
      </c>
      <c r="J1040">
        <f t="shared" si="32"/>
        <v>9</v>
      </c>
      <c r="K1040" t="str">
        <f t="shared" si="33"/>
        <v>Budget</v>
      </c>
    </row>
    <row r="1041" spans="2:11" x14ac:dyDescent="0.25">
      <c r="B1041" t="s">
        <v>210</v>
      </c>
      <c r="C1041">
        <v>2015</v>
      </c>
      <c r="D1041" s="1">
        <v>325000</v>
      </c>
      <c r="E1041">
        <v>25000</v>
      </c>
      <c r="F1041" t="s">
        <v>9</v>
      </c>
      <c r="G1041" t="s">
        <v>10</v>
      </c>
      <c r="H1041" t="s">
        <v>11</v>
      </c>
      <c r="I1041" t="s">
        <v>49</v>
      </c>
      <c r="J1041">
        <f t="shared" si="32"/>
        <v>11</v>
      </c>
      <c r="K1041" t="str">
        <f t="shared" si="33"/>
        <v>Budget</v>
      </c>
    </row>
    <row r="1042" spans="2:11" x14ac:dyDescent="0.25">
      <c r="B1042" t="s">
        <v>37</v>
      </c>
      <c r="C1042">
        <v>2018</v>
      </c>
      <c r="D1042" s="1">
        <v>450000</v>
      </c>
      <c r="E1042">
        <v>8500</v>
      </c>
      <c r="F1042" t="s">
        <v>9</v>
      </c>
      <c r="G1042" t="s">
        <v>10</v>
      </c>
      <c r="H1042" t="s">
        <v>11</v>
      </c>
      <c r="I1042" t="s">
        <v>12</v>
      </c>
      <c r="J1042">
        <f t="shared" si="32"/>
        <v>8</v>
      </c>
      <c r="K1042" t="str">
        <f t="shared" si="33"/>
        <v>Budget</v>
      </c>
    </row>
    <row r="1043" spans="2:11" x14ac:dyDescent="0.25">
      <c r="B1043" t="s">
        <v>209</v>
      </c>
      <c r="C1043">
        <v>2012</v>
      </c>
      <c r="D1043" s="1">
        <v>250000</v>
      </c>
      <c r="E1043">
        <v>120000</v>
      </c>
      <c r="F1043" t="s">
        <v>15</v>
      </c>
      <c r="G1043" t="s">
        <v>10</v>
      </c>
      <c r="H1043" t="s">
        <v>11</v>
      </c>
      <c r="I1043" t="s">
        <v>12</v>
      </c>
      <c r="J1043">
        <f t="shared" si="32"/>
        <v>14</v>
      </c>
      <c r="K1043" t="str">
        <f t="shared" si="33"/>
        <v>Budget</v>
      </c>
    </row>
    <row r="1044" spans="2:11" x14ac:dyDescent="0.25">
      <c r="B1044" t="s">
        <v>685</v>
      </c>
      <c r="C1044">
        <v>2012</v>
      </c>
      <c r="D1044" s="1">
        <v>225000</v>
      </c>
      <c r="E1044">
        <v>120000</v>
      </c>
      <c r="F1044" t="s">
        <v>15</v>
      </c>
      <c r="G1044" t="s">
        <v>10</v>
      </c>
      <c r="H1044" t="s">
        <v>11</v>
      </c>
      <c r="I1044" t="s">
        <v>12</v>
      </c>
      <c r="J1044">
        <f t="shared" si="32"/>
        <v>14</v>
      </c>
      <c r="K1044" t="str">
        <f t="shared" si="33"/>
        <v>Budget</v>
      </c>
    </row>
    <row r="1045" spans="2:11" x14ac:dyDescent="0.25">
      <c r="B1045" t="s">
        <v>58</v>
      </c>
      <c r="C1045">
        <v>2009</v>
      </c>
      <c r="D1045" s="1">
        <v>150000</v>
      </c>
      <c r="E1045">
        <v>90246</v>
      </c>
      <c r="F1045" t="s">
        <v>9</v>
      </c>
      <c r="G1045" t="s">
        <v>10</v>
      </c>
      <c r="H1045" t="s">
        <v>11</v>
      </c>
      <c r="I1045" t="s">
        <v>49</v>
      </c>
      <c r="J1045">
        <f t="shared" si="32"/>
        <v>17</v>
      </c>
      <c r="K1045" t="str">
        <f t="shared" si="33"/>
        <v>Budget</v>
      </c>
    </row>
    <row r="1046" spans="2:11" x14ac:dyDescent="0.25">
      <c r="B1046" t="s">
        <v>19</v>
      </c>
      <c r="C1046">
        <v>2008</v>
      </c>
      <c r="D1046" s="1">
        <v>110000</v>
      </c>
      <c r="E1046">
        <v>90000</v>
      </c>
      <c r="F1046" t="s">
        <v>9</v>
      </c>
      <c r="G1046" t="s">
        <v>10</v>
      </c>
      <c r="H1046" t="s">
        <v>11</v>
      </c>
      <c r="I1046" t="s">
        <v>18</v>
      </c>
      <c r="J1046">
        <f t="shared" si="32"/>
        <v>18</v>
      </c>
      <c r="K1046" t="str">
        <f t="shared" si="33"/>
        <v>Budget</v>
      </c>
    </row>
    <row r="1047" spans="2:11" x14ac:dyDescent="0.25">
      <c r="B1047" t="s">
        <v>211</v>
      </c>
      <c r="C1047">
        <v>2010</v>
      </c>
      <c r="D1047" s="1">
        <v>150000</v>
      </c>
      <c r="E1047">
        <v>40000</v>
      </c>
      <c r="F1047" t="s">
        <v>9</v>
      </c>
      <c r="G1047" t="s">
        <v>10</v>
      </c>
      <c r="H1047" t="s">
        <v>11</v>
      </c>
      <c r="I1047" t="s">
        <v>18</v>
      </c>
      <c r="J1047">
        <f t="shared" si="32"/>
        <v>16</v>
      </c>
      <c r="K1047" t="str">
        <f t="shared" si="33"/>
        <v>Budget</v>
      </c>
    </row>
    <row r="1048" spans="2:11" x14ac:dyDescent="0.25">
      <c r="B1048" t="s">
        <v>686</v>
      </c>
      <c r="C1048">
        <v>2000</v>
      </c>
      <c r="D1048" s="1">
        <v>165000</v>
      </c>
      <c r="E1048">
        <v>60000</v>
      </c>
      <c r="F1048" t="s">
        <v>9</v>
      </c>
      <c r="G1048" t="s">
        <v>10</v>
      </c>
      <c r="H1048" t="s">
        <v>11</v>
      </c>
      <c r="I1048" t="s">
        <v>46</v>
      </c>
      <c r="J1048">
        <f t="shared" si="32"/>
        <v>26</v>
      </c>
      <c r="K1048" t="str">
        <f t="shared" si="33"/>
        <v>Budget</v>
      </c>
    </row>
    <row r="1049" spans="2:11" x14ac:dyDescent="0.25">
      <c r="B1049" t="s">
        <v>364</v>
      </c>
      <c r="C1049">
        <v>2017</v>
      </c>
      <c r="D1049" s="1">
        <v>610000</v>
      </c>
      <c r="E1049">
        <v>32000</v>
      </c>
      <c r="F1049" t="s">
        <v>15</v>
      </c>
      <c r="G1049" t="s">
        <v>10</v>
      </c>
      <c r="H1049" t="s">
        <v>11</v>
      </c>
      <c r="I1049" t="s">
        <v>18</v>
      </c>
      <c r="J1049">
        <f t="shared" si="32"/>
        <v>9</v>
      </c>
      <c r="K1049" t="str">
        <f t="shared" si="33"/>
        <v>Mid Range</v>
      </c>
    </row>
    <row r="1050" spans="2:11" x14ac:dyDescent="0.25">
      <c r="B1050" t="s">
        <v>687</v>
      </c>
      <c r="C1050">
        <v>2013</v>
      </c>
      <c r="D1050" s="1">
        <v>170000</v>
      </c>
      <c r="E1050">
        <v>60400</v>
      </c>
      <c r="F1050" t="s">
        <v>15</v>
      </c>
      <c r="G1050" t="s">
        <v>10</v>
      </c>
      <c r="H1050" t="s">
        <v>11</v>
      </c>
      <c r="I1050" t="s">
        <v>12</v>
      </c>
      <c r="J1050">
        <f t="shared" si="32"/>
        <v>13</v>
      </c>
      <c r="K1050" t="str">
        <f t="shared" si="33"/>
        <v>Budget</v>
      </c>
    </row>
    <row r="1051" spans="2:11" x14ac:dyDescent="0.25">
      <c r="B1051" t="s">
        <v>362</v>
      </c>
      <c r="C1051">
        <v>2008</v>
      </c>
      <c r="D1051" s="1">
        <v>150000</v>
      </c>
      <c r="E1051">
        <v>70950</v>
      </c>
      <c r="F1051" t="s">
        <v>15</v>
      </c>
      <c r="G1051" t="s">
        <v>10</v>
      </c>
      <c r="H1051" t="s">
        <v>11</v>
      </c>
      <c r="I1051" t="s">
        <v>18</v>
      </c>
      <c r="J1051">
        <f t="shared" si="32"/>
        <v>18</v>
      </c>
      <c r="K1051" t="str">
        <f t="shared" si="33"/>
        <v>Budget</v>
      </c>
    </row>
    <row r="1052" spans="2:11" x14ac:dyDescent="0.25">
      <c r="B1052" t="s">
        <v>292</v>
      </c>
      <c r="C1052">
        <v>2015</v>
      </c>
      <c r="D1052" s="1">
        <v>375000</v>
      </c>
      <c r="E1052">
        <v>72000</v>
      </c>
      <c r="F1052" t="s">
        <v>15</v>
      </c>
      <c r="G1052" t="s">
        <v>10</v>
      </c>
      <c r="H1052" t="s">
        <v>11</v>
      </c>
      <c r="I1052" t="s">
        <v>12</v>
      </c>
      <c r="J1052">
        <f t="shared" si="32"/>
        <v>11</v>
      </c>
      <c r="K1052" t="str">
        <f t="shared" si="33"/>
        <v>Budget</v>
      </c>
    </row>
    <row r="1053" spans="2:11" x14ac:dyDescent="0.25">
      <c r="B1053" t="s">
        <v>354</v>
      </c>
      <c r="C1053">
        <v>2013</v>
      </c>
      <c r="D1053" s="1">
        <v>390000</v>
      </c>
      <c r="E1053">
        <v>90000</v>
      </c>
      <c r="F1053" t="s">
        <v>15</v>
      </c>
      <c r="G1053" t="s">
        <v>10</v>
      </c>
      <c r="H1053" t="s">
        <v>11</v>
      </c>
      <c r="I1053" t="s">
        <v>12</v>
      </c>
      <c r="J1053">
        <f t="shared" si="32"/>
        <v>13</v>
      </c>
      <c r="K1053" t="str">
        <f t="shared" si="33"/>
        <v>Budget</v>
      </c>
    </row>
    <row r="1054" spans="2:11" x14ac:dyDescent="0.25">
      <c r="B1054" t="s">
        <v>319</v>
      </c>
      <c r="C1054">
        <v>2017</v>
      </c>
      <c r="D1054" s="1">
        <v>600000</v>
      </c>
      <c r="E1054">
        <v>10000</v>
      </c>
      <c r="F1054" t="s">
        <v>9</v>
      </c>
      <c r="G1054" t="s">
        <v>10</v>
      </c>
      <c r="H1054" t="s">
        <v>11</v>
      </c>
      <c r="I1054" t="s">
        <v>12</v>
      </c>
      <c r="J1054">
        <f t="shared" si="32"/>
        <v>9</v>
      </c>
      <c r="K1054" t="str">
        <f t="shared" si="33"/>
        <v>Mid Range</v>
      </c>
    </row>
    <row r="1055" spans="2:11" x14ac:dyDescent="0.25">
      <c r="B1055" t="s">
        <v>249</v>
      </c>
      <c r="C1055">
        <v>2014</v>
      </c>
      <c r="D1055" s="1">
        <v>204999</v>
      </c>
      <c r="E1055">
        <v>25000</v>
      </c>
      <c r="F1055" t="s">
        <v>9</v>
      </c>
      <c r="G1055" t="s">
        <v>10</v>
      </c>
      <c r="H1055" t="s">
        <v>11</v>
      </c>
      <c r="I1055" t="s">
        <v>18</v>
      </c>
      <c r="J1055">
        <f t="shared" si="32"/>
        <v>12</v>
      </c>
      <c r="K1055" t="str">
        <f t="shared" si="33"/>
        <v>Budget</v>
      </c>
    </row>
    <row r="1056" spans="2:11" x14ac:dyDescent="0.25">
      <c r="B1056" t="s">
        <v>362</v>
      </c>
      <c r="C1056">
        <v>2009</v>
      </c>
      <c r="D1056" s="1">
        <v>270000</v>
      </c>
      <c r="E1056">
        <v>80000</v>
      </c>
      <c r="F1056" t="s">
        <v>15</v>
      </c>
      <c r="G1056" t="s">
        <v>10</v>
      </c>
      <c r="H1056" t="s">
        <v>11</v>
      </c>
      <c r="I1056" t="s">
        <v>18</v>
      </c>
      <c r="J1056">
        <f t="shared" si="32"/>
        <v>17</v>
      </c>
      <c r="K1056" t="str">
        <f t="shared" si="33"/>
        <v>Budget</v>
      </c>
    </row>
    <row r="1057" spans="2:11" x14ac:dyDescent="0.25">
      <c r="B1057" t="s">
        <v>289</v>
      </c>
      <c r="C1057">
        <v>2017</v>
      </c>
      <c r="D1057" s="1">
        <v>375000</v>
      </c>
      <c r="E1057">
        <v>10000</v>
      </c>
      <c r="F1057" t="s">
        <v>9</v>
      </c>
      <c r="G1057" t="s">
        <v>10</v>
      </c>
      <c r="H1057" t="s">
        <v>11</v>
      </c>
      <c r="I1057" t="s">
        <v>12</v>
      </c>
      <c r="J1057">
        <f t="shared" si="32"/>
        <v>9</v>
      </c>
      <c r="K1057" t="str">
        <f t="shared" si="33"/>
        <v>Budget</v>
      </c>
    </row>
    <row r="1058" spans="2:11" x14ac:dyDescent="0.25">
      <c r="B1058" t="s">
        <v>619</v>
      </c>
      <c r="C1058">
        <v>2020</v>
      </c>
      <c r="D1058" s="1">
        <v>700000</v>
      </c>
      <c r="E1058">
        <v>1100</v>
      </c>
      <c r="F1058" t="s">
        <v>9</v>
      </c>
      <c r="G1058" t="s">
        <v>10</v>
      </c>
      <c r="H1058" t="s">
        <v>11</v>
      </c>
      <c r="I1058" t="s">
        <v>12</v>
      </c>
      <c r="J1058">
        <f t="shared" si="32"/>
        <v>6</v>
      </c>
      <c r="K1058" t="str">
        <f t="shared" si="33"/>
        <v>Mid Range</v>
      </c>
    </row>
    <row r="1059" spans="2:11" x14ac:dyDescent="0.25">
      <c r="B1059" t="s">
        <v>688</v>
      </c>
      <c r="C1059">
        <v>2017</v>
      </c>
      <c r="D1059" s="1">
        <v>455000</v>
      </c>
      <c r="E1059">
        <v>40000</v>
      </c>
      <c r="F1059" t="s">
        <v>9</v>
      </c>
      <c r="G1059" t="s">
        <v>10</v>
      </c>
      <c r="H1059" t="s">
        <v>11</v>
      </c>
      <c r="I1059" t="s">
        <v>12</v>
      </c>
      <c r="J1059">
        <f t="shared" si="32"/>
        <v>9</v>
      </c>
      <c r="K1059" t="str">
        <f t="shared" si="33"/>
        <v>Budget</v>
      </c>
    </row>
    <row r="1060" spans="2:11" x14ac:dyDescent="0.25">
      <c r="B1060" t="s">
        <v>133</v>
      </c>
      <c r="C1060">
        <v>2017</v>
      </c>
      <c r="D1060" s="1">
        <v>375000</v>
      </c>
      <c r="E1060">
        <v>10000</v>
      </c>
      <c r="F1060" t="s">
        <v>9</v>
      </c>
      <c r="G1060" t="s">
        <v>10</v>
      </c>
      <c r="H1060" t="s">
        <v>11</v>
      </c>
      <c r="I1060" t="s">
        <v>12</v>
      </c>
      <c r="J1060">
        <f t="shared" si="32"/>
        <v>9</v>
      </c>
      <c r="K1060" t="str">
        <f t="shared" si="33"/>
        <v>Budget</v>
      </c>
    </row>
    <row r="1061" spans="2:11" x14ac:dyDescent="0.25">
      <c r="B1061" t="s">
        <v>580</v>
      </c>
      <c r="C1061">
        <v>2014</v>
      </c>
      <c r="D1061" s="1">
        <v>341000</v>
      </c>
      <c r="E1061">
        <v>31491</v>
      </c>
      <c r="F1061" t="s">
        <v>9</v>
      </c>
      <c r="G1061" t="s">
        <v>10</v>
      </c>
      <c r="H1061" t="s">
        <v>11</v>
      </c>
      <c r="I1061" t="s">
        <v>12</v>
      </c>
      <c r="J1061">
        <f t="shared" si="32"/>
        <v>12</v>
      </c>
      <c r="K1061" t="str">
        <f t="shared" si="33"/>
        <v>Budget</v>
      </c>
    </row>
    <row r="1062" spans="2:11" x14ac:dyDescent="0.25">
      <c r="B1062" t="s">
        <v>114</v>
      </c>
      <c r="C1062">
        <v>2014</v>
      </c>
      <c r="D1062" s="1">
        <v>200000</v>
      </c>
      <c r="E1062">
        <v>107143</v>
      </c>
      <c r="F1062" t="s">
        <v>15</v>
      </c>
      <c r="G1062" t="s">
        <v>10</v>
      </c>
      <c r="H1062" t="s">
        <v>11</v>
      </c>
      <c r="I1062" t="s">
        <v>18</v>
      </c>
      <c r="J1062">
        <f t="shared" si="32"/>
        <v>12</v>
      </c>
      <c r="K1062" t="str">
        <f t="shared" si="33"/>
        <v>Budget</v>
      </c>
    </row>
    <row r="1063" spans="2:11" x14ac:dyDescent="0.25">
      <c r="B1063" t="s">
        <v>689</v>
      </c>
      <c r="C1063">
        <v>2017</v>
      </c>
      <c r="D1063" s="1">
        <v>450000</v>
      </c>
      <c r="E1063">
        <v>15000</v>
      </c>
      <c r="F1063" t="s">
        <v>9</v>
      </c>
      <c r="G1063" t="s">
        <v>10</v>
      </c>
      <c r="H1063" t="s">
        <v>28</v>
      </c>
      <c r="I1063" t="s">
        <v>12</v>
      </c>
      <c r="J1063">
        <f t="shared" si="32"/>
        <v>9</v>
      </c>
      <c r="K1063" t="str">
        <f t="shared" si="33"/>
        <v>Budget</v>
      </c>
    </row>
    <row r="1064" spans="2:11" x14ac:dyDescent="0.25">
      <c r="B1064" t="s">
        <v>229</v>
      </c>
      <c r="C1064">
        <v>2012</v>
      </c>
      <c r="D1064" s="1">
        <v>170000</v>
      </c>
      <c r="E1064">
        <v>50000</v>
      </c>
      <c r="F1064" t="s">
        <v>9</v>
      </c>
      <c r="G1064" t="s">
        <v>10</v>
      </c>
      <c r="H1064" t="s">
        <v>11</v>
      </c>
      <c r="I1064" t="s">
        <v>18</v>
      </c>
      <c r="J1064">
        <f t="shared" si="32"/>
        <v>14</v>
      </c>
      <c r="K1064" t="str">
        <f t="shared" si="33"/>
        <v>Budget</v>
      </c>
    </row>
    <row r="1065" spans="2:11" x14ac:dyDescent="0.25">
      <c r="B1065" t="s">
        <v>690</v>
      </c>
      <c r="C1065">
        <v>2017</v>
      </c>
      <c r="D1065" s="1">
        <v>1900000</v>
      </c>
      <c r="E1065">
        <v>100000</v>
      </c>
      <c r="F1065" t="s">
        <v>15</v>
      </c>
      <c r="G1065" t="s">
        <v>10</v>
      </c>
      <c r="H1065" t="s">
        <v>11</v>
      </c>
      <c r="I1065" t="s">
        <v>12</v>
      </c>
      <c r="J1065">
        <f t="shared" si="32"/>
        <v>9</v>
      </c>
      <c r="K1065" t="str">
        <f t="shared" si="33"/>
        <v>Premium</v>
      </c>
    </row>
    <row r="1066" spans="2:11" x14ac:dyDescent="0.25">
      <c r="B1066" t="s">
        <v>691</v>
      </c>
      <c r="C1066">
        <v>2016</v>
      </c>
      <c r="D1066" s="1">
        <v>500000</v>
      </c>
      <c r="E1066">
        <v>60000</v>
      </c>
      <c r="F1066" t="s">
        <v>15</v>
      </c>
      <c r="G1066" t="s">
        <v>10</v>
      </c>
      <c r="H1066" t="s">
        <v>11</v>
      </c>
      <c r="I1066" t="s">
        <v>12</v>
      </c>
      <c r="J1066">
        <f t="shared" si="32"/>
        <v>10</v>
      </c>
      <c r="K1066" t="str">
        <f t="shared" si="33"/>
        <v>Mid Range</v>
      </c>
    </row>
    <row r="1067" spans="2:11" x14ac:dyDescent="0.25">
      <c r="B1067" t="s">
        <v>335</v>
      </c>
      <c r="C1067">
        <v>2016</v>
      </c>
      <c r="D1067" s="1">
        <v>819999</v>
      </c>
      <c r="E1067">
        <v>85000</v>
      </c>
      <c r="F1067" t="s">
        <v>15</v>
      </c>
      <c r="G1067" t="s">
        <v>10</v>
      </c>
      <c r="H1067" t="s">
        <v>11</v>
      </c>
      <c r="I1067" t="s">
        <v>12</v>
      </c>
      <c r="J1067">
        <f t="shared" si="32"/>
        <v>10</v>
      </c>
      <c r="K1067" t="str">
        <f t="shared" si="33"/>
        <v>Mid Range</v>
      </c>
    </row>
    <row r="1068" spans="2:11" x14ac:dyDescent="0.25">
      <c r="B1068" t="s">
        <v>692</v>
      </c>
      <c r="C1068">
        <v>2014</v>
      </c>
      <c r="D1068" s="1">
        <v>351000</v>
      </c>
      <c r="E1068">
        <v>40000</v>
      </c>
      <c r="F1068" t="s">
        <v>9</v>
      </c>
      <c r="G1068" t="s">
        <v>10</v>
      </c>
      <c r="H1068" t="s">
        <v>11</v>
      </c>
      <c r="I1068" t="s">
        <v>18</v>
      </c>
      <c r="J1068">
        <f t="shared" si="32"/>
        <v>12</v>
      </c>
      <c r="K1068" t="str">
        <f t="shared" si="33"/>
        <v>Budget</v>
      </c>
    </row>
    <row r="1069" spans="2:11" x14ac:dyDescent="0.25">
      <c r="B1069" t="s">
        <v>661</v>
      </c>
      <c r="C1069">
        <v>2011</v>
      </c>
      <c r="D1069" s="1">
        <v>195000</v>
      </c>
      <c r="E1069">
        <v>80000</v>
      </c>
      <c r="F1069" t="s">
        <v>9</v>
      </c>
      <c r="G1069" t="s">
        <v>10</v>
      </c>
      <c r="H1069" t="s">
        <v>11</v>
      </c>
      <c r="I1069" t="s">
        <v>18</v>
      </c>
      <c r="J1069">
        <f t="shared" si="32"/>
        <v>15</v>
      </c>
      <c r="K1069" t="str">
        <f t="shared" si="33"/>
        <v>Budget</v>
      </c>
    </row>
    <row r="1070" spans="2:11" x14ac:dyDescent="0.25">
      <c r="B1070" t="s">
        <v>181</v>
      </c>
      <c r="C1070">
        <v>2008</v>
      </c>
      <c r="D1070" s="1">
        <v>250000</v>
      </c>
      <c r="E1070">
        <v>82000</v>
      </c>
      <c r="F1070" t="s">
        <v>15</v>
      </c>
      <c r="G1070" t="s">
        <v>10</v>
      </c>
      <c r="H1070" t="s">
        <v>11</v>
      </c>
      <c r="I1070" t="s">
        <v>18</v>
      </c>
      <c r="J1070">
        <f t="shared" si="32"/>
        <v>18</v>
      </c>
      <c r="K1070" t="str">
        <f t="shared" si="33"/>
        <v>Budget</v>
      </c>
    </row>
    <row r="1071" spans="2:11" x14ac:dyDescent="0.25">
      <c r="B1071" t="s">
        <v>461</v>
      </c>
      <c r="C1071">
        <v>2008</v>
      </c>
      <c r="D1071" s="1">
        <v>120000</v>
      </c>
      <c r="E1071">
        <v>70000</v>
      </c>
      <c r="F1071" t="s">
        <v>9</v>
      </c>
      <c r="G1071" t="s">
        <v>10</v>
      </c>
      <c r="H1071" t="s">
        <v>11</v>
      </c>
      <c r="I1071" t="s">
        <v>18</v>
      </c>
      <c r="J1071">
        <f t="shared" si="32"/>
        <v>18</v>
      </c>
      <c r="K1071" t="str">
        <f t="shared" si="33"/>
        <v>Budget</v>
      </c>
    </row>
    <row r="1072" spans="2:11" x14ac:dyDescent="0.25">
      <c r="B1072" t="s">
        <v>269</v>
      </c>
      <c r="C1072">
        <v>2009</v>
      </c>
      <c r="D1072" s="1">
        <v>180000</v>
      </c>
      <c r="E1072">
        <v>70000</v>
      </c>
      <c r="F1072" t="s">
        <v>9</v>
      </c>
      <c r="G1072" t="s">
        <v>10</v>
      </c>
      <c r="H1072" t="s">
        <v>11</v>
      </c>
      <c r="I1072" t="s">
        <v>49</v>
      </c>
      <c r="J1072">
        <f t="shared" si="32"/>
        <v>17</v>
      </c>
      <c r="K1072" t="str">
        <f t="shared" si="33"/>
        <v>Budget</v>
      </c>
    </row>
    <row r="1073" spans="2:11" x14ac:dyDescent="0.25">
      <c r="B1073" t="s">
        <v>693</v>
      </c>
      <c r="C1073">
        <v>2016</v>
      </c>
      <c r="D1073" s="1">
        <v>430000</v>
      </c>
      <c r="E1073">
        <v>20000</v>
      </c>
      <c r="F1073" t="s">
        <v>15</v>
      </c>
      <c r="G1073" t="s">
        <v>10</v>
      </c>
      <c r="H1073" t="s">
        <v>11</v>
      </c>
      <c r="I1073" t="s">
        <v>12</v>
      </c>
      <c r="J1073">
        <f t="shared" si="32"/>
        <v>10</v>
      </c>
      <c r="K1073" t="str">
        <f t="shared" si="33"/>
        <v>Budget</v>
      </c>
    </row>
    <row r="1074" spans="2:11" x14ac:dyDescent="0.25">
      <c r="B1074" t="s">
        <v>694</v>
      </c>
      <c r="C1074">
        <v>2012</v>
      </c>
      <c r="D1074" s="1">
        <v>75000</v>
      </c>
      <c r="E1074">
        <v>35000</v>
      </c>
      <c r="F1074" t="s">
        <v>9</v>
      </c>
      <c r="G1074" t="s">
        <v>10</v>
      </c>
      <c r="H1074" t="s">
        <v>11</v>
      </c>
      <c r="I1074" t="s">
        <v>18</v>
      </c>
      <c r="J1074">
        <f t="shared" si="32"/>
        <v>14</v>
      </c>
      <c r="K1074" t="str">
        <f t="shared" si="33"/>
        <v>Budget</v>
      </c>
    </row>
    <row r="1075" spans="2:11" x14ac:dyDescent="0.25">
      <c r="B1075" t="s">
        <v>108</v>
      </c>
      <c r="C1075">
        <v>2017</v>
      </c>
      <c r="D1075" s="1">
        <v>750000</v>
      </c>
      <c r="E1075">
        <v>80000</v>
      </c>
      <c r="F1075" t="s">
        <v>15</v>
      </c>
      <c r="G1075" t="s">
        <v>10</v>
      </c>
      <c r="H1075" t="s">
        <v>11</v>
      </c>
      <c r="I1075" t="s">
        <v>12</v>
      </c>
      <c r="J1075">
        <f t="shared" si="32"/>
        <v>9</v>
      </c>
      <c r="K1075" t="str">
        <f t="shared" si="33"/>
        <v>Mid Range</v>
      </c>
    </row>
    <row r="1076" spans="2:11" x14ac:dyDescent="0.25">
      <c r="B1076" t="s">
        <v>349</v>
      </c>
      <c r="C1076">
        <v>2011</v>
      </c>
      <c r="D1076" s="1">
        <v>60000</v>
      </c>
      <c r="E1076">
        <v>40000</v>
      </c>
      <c r="F1076" t="s">
        <v>9</v>
      </c>
      <c r="G1076" t="s">
        <v>10</v>
      </c>
      <c r="H1076" t="s">
        <v>11</v>
      </c>
      <c r="I1076" t="s">
        <v>12</v>
      </c>
      <c r="J1076">
        <f t="shared" si="32"/>
        <v>15</v>
      </c>
      <c r="K1076" t="str">
        <f t="shared" si="33"/>
        <v>Budget</v>
      </c>
    </row>
    <row r="1077" spans="2:11" x14ac:dyDescent="0.25">
      <c r="B1077" t="s">
        <v>221</v>
      </c>
      <c r="C1077">
        <v>2015</v>
      </c>
      <c r="D1077" s="1">
        <v>1500000</v>
      </c>
      <c r="E1077">
        <v>46412</v>
      </c>
      <c r="F1077" t="s">
        <v>15</v>
      </c>
      <c r="G1077" t="s">
        <v>10</v>
      </c>
      <c r="H1077" t="s">
        <v>11</v>
      </c>
      <c r="I1077" t="s">
        <v>12</v>
      </c>
      <c r="J1077">
        <f t="shared" si="32"/>
        <v>11</v>
      </c>
      <c r="K1077" t="str">
        <f t="shared" si="33"/>
        <v>Premium</v>
      </c>
    </row>
    <row r="1078" spans="2:11" x14ac:dyDescent="0.25">
      <c r="B1078" t="s">
        <v>245</v>
      </c>
      <c r="C1078">
        <v>2011</v>
      </c>
      <c r="D1078" s="1">
        <v>390000</v>
      </c>
      <c r="E1078">
        <v>150000</v>
      </c>
      <c r="F1078" t="s">
        <v>15</v>
      </c>
      <c r="G1078" t="s">
        <v>10</v>
      </c>
      <c r="H1078" t="s">
        <v>11</v>
      </c>
      <c r="I1078" t="s">
        <v>46</v>
      </c>
      <c r="J1078">
        <f t="shared" si="32"/>
        <v>15</v>
      </c>
      <c r="K1078" t="str">
        <f t="shared" si="33"/>
        <v>Budget</v>
      </c>
    </row>
    <row r="1079" spans="2:11" x14ac:dyDescent="0.25">
      <c r="B1079" t="s">
        <v>695</v>
      </c>
      <c r="C1079">
        <v>2016</v>
      </c>
      <c r="D1079" s="1">
        <v>630000</v>
      </c>
      <c r="E1079">
        <v>50000</v>
      </c>
      <c r="F1079" t="s">
        <v>15</v>
      </c>
      <c r="G1079" t="s">
        <v>10</v>
      </c>
      <c r="H1079" t="s">
        <v>11</v>
      </c>
      <c r="I1079" t="s">
        <v>12</v>
      </c>
      <c r="J1079">
        <f t="shared" si="32"/>
        <v>10</v>
      </c>
      <c r="K1079" t="str">
        <f t="shared" si="33"/>
        <v>Mid Range</v>
      </c>
    </row>
    <row r="1080" spans="2:11" x14ac:dyDescent="0.25">
      <c r="B1080" t="s">
        <v>696</v>
      </c>
      <c r="C1080">
        <v>2018</v>
      </c>
      <c r="D1080" s="1">
        <v>1085000</v>
      </c>
      <c r="E1080">
        <v>15000</v>
      </c>
      <c r="F1080" t="s">
        <v>15</v>
      </c>
      <c r="G1080" t="s">
        <v>10</v>
      </c>
      <c r="H1080" t="s">
        <v>11</v>
      </c>
      <c r="I1080" t="s">
        <v>12</v>
      </c>
      <c r="J1080">
        <f t="shared" si="32"/>
        <v>8</v>
      </c>
      <c r="K1080" t="str">
        <f t="shared" si="33"/>
        <v>Premium</v>
      </c>
    </row>
    <row r="1081" spans="2:11" x14ac:dyDescent="0.25">
      <c r="B1081" t="s">
        <v>661</v>
      </c>
      <c r="C1081">
        <v>2012</v>
      </c>
      <c r="D1081" s="1">
        <v>190000</v>
      </c>
      <c r="E1081">
        <v>60000</v>
      </c>
      <c r="F1081" t="s">
        <v>9</v>
      </c>
      <c r="G1081" t="s">
        <v>10</v>
      </c>
      <c r="H1081" t="s">
        <v>11</v>
      </c>
      <c r="I1081" t="s">
        <v>18</v>
      </c>
      <c r="J1081">
        <f t="shared" si="32"/>
        <v>14</v>
      </c>
      <c r="K1081" t="str">
        <f t="shared" si="33"/>
        <v>Budget</v>
      </c>
    </row>
    <row r="1082" spans="2:11" x14ac:dyDescent="0.25">
      <c r="B1082" t="s">
        <v>697</v>
      </c>
      <c r="C1082">
        <v>2018</v>
      </c>
      <c r="D1082" s="1">
        <v>550000</v>
      </c>
      <c r="E1082">
        <v>25000</v>
      </c>
      <c r="F1082" t="s">
        <v>9</v>
      </c>
      <c r="G1082" t="s">
        <v>10</v>
      </c>
      <c r="H1082" t="s">
        <v>28</v>
      </c>
      <c r="I1082" t="s">
        <v>12</v>
      </c>
      <c r="J1082">
        <f t="shared" si="32"/>
        <v>8</v>
      </c>
      <c r="K1082" t="str">
        <f t="shared" si="33"/>
        <v>Mid Range</v>
      </c>
    </row>
    <row r="1083" spans="2:11" x14ac:dyDescent="0.25">
      <c r="B1083" t="s">
        <v>249</v>
      </c>
      <c r="C1083">
        <v>2012</v>
      </c>
      <c r="D1083" s="1">
        <v>200000</v>
      </c>
      <c r="E1083">
        <v>90000</v>
      </c>
      <c r="F1083" t="s">
        <v>9</v>
      </c>
      <c r="G1083" t="s">
        <v>10</v>
      </c>
      <c r="H1083" t="s">
        <v>11</v>
      </c>
      <c r="I1083" t="s">
        <v>49</v>
      </c>
      <c r="J1083">
        <f t="shared" si="32"/>
        <v>14</v>
      </c>
      <c r="K1083" t="str">
        <f t="shared" si="33"/>
        <v>Budget</v>
      </c>
    </row>
    <row r="1084" spans="2:11" x14ac:dyDescent="0.25">
      <c r="B1084" t="s">
        <v>258</v>
      </c>
      <c r="C1084">
        <v>2011</v>
      </c>
      <c r="D1084" s="1">
        <v>165000</v>
      </c>
      <c r="E1084">
        <v>60000</v>
      </c>
      <c r="F1084" t="s">
        <v>9</v>
      </c>
      <c r="G1084" t="s">
        <v>10</v>
      </c>
      <c r="H1084" t="s">
        <v>11</v>
      </c>
      <c r="I1084" t="s">
        <v>12</v>
      </c>
      <c r="J1084">
        <f t="shared" si="32"/>
        <v>15</v>
      </c>
      <c r="K1084" t="str">
        <f t="shared" si="33"/>
        <v>Budget</v>
      </c>
    </row>
    <row r="1085" spans="2:11" x14ac:dyDescent="0.25">
      <c r="B1085" t="s">
        <v>304</v>
      </c>
      <c r="C1085">
        <v>2013</v>
      </c>
      <c r="D1085" s="1">
        <v>260000</v>
      </c>
      <c r="E1085">
        <v>65000</v>
      </c>
      <c r="F1085" t="s">
        <v>15</v>
      </c>
      <c r="G1085" t="s">
        <v>10</v>
      </c>
      <c r="H1085" t="s">
        <v>11</v>
      </c>
      <c r="I1085" t="s">
        <v>12</v>
      </c>
      <c r="J1085">
        <f t="shared" si="32"/>
        <v>13</v>
      </c>
      <c r="K1085" t="str">
        <f t="shared" si="33"/>
        <v>Budget</v>
      </c>
    </row>
    <row r="1086" spans="2:11" x14ac:dyDescent="0.25">
      <c r="B1086" t="s">
        <v>172</v>
      </c>
      <c r="C1086">
        <v>2011</v>
      </c>
      <c r="D1086" s="1">
        <v>151000</v>
      </c>
      <c r="E1086">
        <v>40000</v>
      </c>
      <c r="F1086" t="s">
        <v>9</v>
      </c>
      <c r="G1086" t="s">
        <v>10</v>
      </c>
      <c r="H1086" t="s">
        <v>11</v>
      </c>
      <c r="I1086" t="s">
        <v>12</v>
      </c>
      <c r="J1086">
        <f t="shared" si="32"/>
        <v>15</v>
      </c>
      <c r="K1086" t="str">
        <f t="shared" si="33"/>
        <v>Budget</v>
      </c>
    </row>
    <row r="1087" spans="2:11" x14ac:dyDescent="0.25">
      <c r="B1087" t="s">
        <v>146</v>
      </c>
      <c r="C1087">
        <v>2018</v>
      </c>
      <c r="D1087" s="1">
        <v>780000</v>
      </c>
      <c r="E1087">
        <v>50000</v>
      </c>
      <c r="F1087" t="s">
        <v>15</v>
      </c>
      <c r="G1087" t="s">
        <v>10</v>
      </c>
      <c r="H1087" t="s">
        <v>11</v>
      </c>
      <c r="I1087" t="s">
        <v>12</v>
      </c>
      <c r="J1087">
        <f t="shared" si="32"/>
        <v>8</v>
      </c>
      <c r="K1087" t="str">
        <f t="shared" si="33"/>
        <v>Mid Range</v>
      </c>
    </row>
    <row r="1088" spans="2:11" x14ac:dyDescent="0.25">
      <c r="B1088" t="s">
        <v>363</v>
      </c>
      <c r="C1088">
        <v>2012</v>
      </c>
      <c r="D1088" s="1">
        <v>175000</v>
      </c>
      <c r="E1088">
        <v>80000</v>
      </c>
      <c r="F1088" t="s">
        <v>15</v>
      </c>
      <c r="G1088" t="s">
        <v>10</v>
      </c>
      <c r="H1088" t="s">
        <v>11</v>
      </c>
      <c r="I1088" t="s">
        <v>49</v>
      </c>
      <c r="J1088">
        <f t="shared" si="32"/>
        <v>14</v>
      </c>
      <c r="K1088" t="str">
        <f t="shared" si="33"/>
        <v>Budget</v>
      </c>
    </row>
    <row r="1089" spans="2:11" x14ac:dyDescent="0.25">
      <c r="B1089" t="s">
        <v>217</v>
      </c>
      <c r="C1089">
        <v>2010</v>
      </c>
      <c r="D1089" s="1">
        <v>170000</v>
      </c>
      <c r="E1089">
        <v>107500</v>
      </c>
      <c r="F1089" t="s">
        <v>15</v>
      </c>
      <c r="G1089" t="s">
        <v>27</v>
      </c>
      <c r="H1089" t="s">
        <v>11</v>
      </c>
      <c r="I1089" t="s">
        <v>12</v>
      </c>
      <c r="J1089">
        <f t="shared" si="32"/>
        <v>16</v>
      </c>
      <c r="K1089" t="str">
        <f t="shared" si="33"/>
        <v>Budget</v>
      </c>
    </row>
    <row r="1090" spans="2:11" x14ac:dyDescent="0.25">
      <c r="B1090" t="s">
        <v>217</v>
      </c>
      <c r="C1090">
        <v>2013</v>
      </c>
      <c r="D1090" s="1">
        <v>210000</v>
      </c>
      <c r="E1090">
        <v>135000</v>
      </c>
      <c r="F1090" t="s">
        <v>15</v>
      </c>
      <c r="G1090" t="s">
        <v>27</v>
      </c>
      <c r="H1090" t="s">
        <v>11</v>
      </c>
      <c r="I1090" t="s">
        <v>18</v>
      </c>
      <c r="J1090">
        <f t="shared" si="32"/>
        <v>13</v>
      </c>
      <c r="K1090" t="str">
        <f t="shared" si="33"/>
        <v>Budget</v>
      </c>
    </row>
    <row r="1091" spans="2:11" x14ac:dyDescent="0.25">
      <c r="B1091" t="s">
        <v>58</v>
      </c>
      <c r="C1091">
        <v>2007</v>
      </c>
      <c r="D1091" s="1">
        <v>90000</v>
      </c>
      <c r="E1091">
        <v>43826</v>
      </c>
      <c r="F1091" t="s">
        <v>9</v>
      </c>
      <c r="G1091" t="s">
        <v>27</v>
      </c>
      <c r="H1091" t="s">
        <v>11</v>
      </c>
      <c r="I1091" t="s">
        <v>18</v>
      </c>
      <c r="J1091">
        <f t="shared" si="32"/>
        <v>19</v>
      </c>
      <c r="K1091" t="str">
        <f t="shared" si="33"/>
        <v>Budget</v>
      </c>
    </row>
    <row r="1092" spans="2:11" x14ac:dyDescent="0.25">
      <c r="B1092" t="s">
        <v>698</v>
      </c>
      <c r="C1092">
        <v>2016</v>
      </c>
      <c r="D1092" s="1">
        <v>535000</v>
      </c>
      <c r="E1092">
        <v>55838</v>
      </c>
      <c r="F1092" t="s">
        <v>9</v>
      </c>
      <c r="G1092" t="s">
        <v>27</v>
      </c>
      <c r="H1092" t="s">
        <v>11</v>
      </c>
      <c r="I1092" t="s">
        <v>12</v>
      </c>
      <c r="J1092">
        <f t="shared" si="32"/>
        <v>10</v>
      </c>
      <c r="K1092" t="str">
        <f t="shared" si="33"/>
        <v>Mid Range</v>
      </c>
    </row>
    <row r="1093" spans="2:11" x14ac:dyDescent="0.25">
      <c r="B1093" t="s">
        <v>162</v>
      </c>
      <c r="C1093">
        <v>2007</v>
      </c>
      <c r="D1093" s="1">
        <v>195000</v>
      </c>
      <c r="E1093">
        <v>112880</v>
      </c>
      <c r="F1093" t="s">
        <v>15</v>
      </c>
      <c r="G1093" t="s">
        <v>27</v>
      </c>
      <c r="H1093" t="s">
        <v>11</v>
      </c>
      <c r="I1093" t="s">
        <v>12</v>
      </c>
      <c r="J1093">
        <f t="shared" si="32"/>
        <v>19</v>
      </c>
      <c r="K1093" t="str">
        <f t="shared" si="33"/>
        <v>Budget</v>
      </c>
    </row>
    <row r="1094" spans="2:11" x14ac:dyDescent="0.25">
      <c r="B1094" t="s">
        <v>699</v>
      </c>
      <c r="C1094">
        <v>2011</v>
      </c>
      <c r="D1094" s="1">
        <v>140000</v>
      </c>
      <c r="E1094">
        <v>90000</v>
      </c>
      <c r="F1094" t="s">
        <v>15</v>
      </c>
      <c r="G1094" t="s">
        <v>10</v>
      </c>
      <c r="H1094" t="s">
        <v>11</v>
      </c>
      <c r="I1094" t="s">
        <v>49</v>
      </c>
      <c r="J1094">
        <f t="shared" ref="J1094:J1157" si="34">2026 - C1094</f>
        <v>15</v>
      </c>
      <c r="K1094" t="str">
        <f t="shared" ref="K1094:K1157" si="35">IF(D1094&lt;500000,"Budget",IF(D1094&lt;=1000000,"Mid Range","Premium"))</f>
        <v>Budget</v>
      </c>
    </row>
    <row r="1095" spans="2:11" x14ac:dyDescent="0.25">
      <c r="B1095" t="s">
        <v>700</v>
      </c>
      <c r="C1095">
        <v>2012</v>
      </c>
      <c r="D1095" s="1">
        <v>350000</v>
      </c>
      <c r="E1095">
        <v>40000</v>
      </c>
      <c r="F1095" t="s">
        <v>9</v>
      </c>
      <c r="G1095" t="s">
        <v>10</v>
      </c>
      <c r="H1095" t="s">
        <v>11</v>
      </c>
      <c r="I1095" t="s">
        <v>12</v>
      </c>
      <c r="J1095">
        <f t="shared" si="34"/>
        <v>14</v>
      </c>
      <c r="K1095" t="str">
        <f t="shared" si="35"/>
        <v>Budget</v>
      </c>
    </row>
    <row r="1096" spans="2:11" x14ac:dyDescent="0.25">
      <c r="B1096" t="s">
        <v>517</v>
      </c>
      <c r="C1096">
        <v>2013</v>
      </c>
      <c r="D1096" s="1">
        <v>425000</v>
      </c>
      <c r="E1096">
        <v>66000</v>
      </c>
      <c r="F1096" t="s">
        <v>9</v>
      </c>
      <c r="G1096" t="s">
        <v>10</v>
      </c>
      <c r="H1096" t="s">
        <v>11</v>
      </c>
      <c r="I1096" t="s">
        <v>12</v>
      </c>
      <c r="J1096">
        <f t="shared" si="34"/>
        <v>13</v>
      </c>
      <c r="K1096" t="str">
        <f t="shared" si="35"/>
        <v>Budget</v>
      </c>
    </row>
    <row r="1097" spans="2:11" x14ac:dyDescent="0.25">
      <c r="B1097" t="s">
        <v>306</v>
      </c>
      <c r="C1097">
        <v>2017</v>
      </c>
      <c r="D1097" s="1">
        <v>300000</v>
      </c>
      <c r="E1097">
        <v>30300</v>
      </c>
      <c r="F1097" t="s">
        <v>9</v>
      </c>
      <c r="G1097" t="s">
        <v>10</v>
      </c>
      <c r="H1097" t="s">
        <v>11</v>
      </c>
      <c r="I1097" t="s">
        <v>12</v>
      </c>
      <c r="J1097">
        <f t="shared" si="34"/>
        <v>9</v>
      </c>
      <c r="K1097" t="str">
        <f t="shared" si="35"/>
        <v>Budget</v>
      </c>
    </row>
    <row r="1098" spans="2:11" x14ac:dyDescent="0.25">
      <c r="B1098" t="s">
        <v>701</v>
      </c>
      <c r="C1098">
        <v>2013</v>
      </c>
      <c r="D1098" s="1">
        <v>340000</v>
      </c>
      <c r="E1098">
        <v>85000</v>
      </c>
      <c r="F1098" t="s">
        <v>15</v>
      </c>
      <c r="G1098" t="s">
        <v>10</v>
      </c>
      <c r="H1098" t="s">
        <v>11</v>
      </c>
      <c r="I1098" t="s">
        <v>18</v>
      </c>
      <c r="J1098">
        <f t="shared" si="34"/>
        <v>13</v>
      </c>
      <c r="K1098" t="str">
        <f t="shared" si="35"/>
        <v>Budget</v>
      </c>
    </row>
    <row r="1099" spans="2:11" x14ac:dyDescent="0.25">
      <c r="B1099" t="s">
        <v>539</v>
      </c>
      <c r="C1099">
        <v>2009</v>
      </c>
      <c r="D1099" s="1">
        <v>250000</v>
      </c>
      <c r="E1099">
        <v>80659</v>
      </c>
      <c r="F1099" t="s">
        <v>9</v>
      </c>
      <c r="G1099" t="s">
        <v>27</v>
      </c>
      <c r="H1099" t="s">
        <v>11</v>
      </c>
      <c r="I1099" t="s">
        <v>12</v>
      </c>
      <c r="J1099">
        <f t="shared" si="34"/>
        <v>17</v>
      </c>
      <c r="K1099" t="str">
        <f t="shared" si="35"/>
        <v>Budget</v>
      </c>
    </row>
    <row r="1100" spans="2:11" x14ac:dyDescent="0.25">
      <c r="B1100" t="s">
        <v>702</v>
      </c>
      <c r="C1100">
        <v>2008</v>
      </c>
      <c r="D1100" s="1">
        <v>170000</v>
      </c>
      <c r="E1100">
        <v>81324</v>
      </c>
      <c r="F1100" t="s">
        <v>9</v>
      </c>
      <c r="G1100" t="s">
        <v>27</v>
      </c>
      <c r="H1100" t="s">
        <v>11</v>
      </c>
      <c r="I1100" t="s">
        <v>12</v>
      </c>
      <c r="J1100">
        <f t="shared" si="34"/>
        <v>18</v>
      </c>
      <c r="K1100" t="str">
        <f t="shared" si="35"/>
        <v>Budget</v>
      </c>
    </row>
    <row r="1101" spans="2:11" x14ac:dyDescent="0.25">
      <c r="B1101" t="s">
        <v>665</v>
      </c>
      <c r="C1101">
        <v>2013</v>
      </c>
      <c r="D1101" s="1">
        <v>315000</v>
      </c>
      <c r="E1101">
        <v>127884</v>
      </c>
      <c r="F1101" t="s">
        <v>15</v>
      </c>
      <c r="G1101" t="s">
        <v>27</v>
      </c>
      <c r="H1101" t="s">
        <v>11</v>
      </c>
      <c r="I1101" t="s">
        <v>12</v>
      </c>
      <c r="J1101">
        <f t="shared" si="34"/>
        <v>13</v>
      </c>
      <c r="K1101" t="str">
        <f t="shared" si="35"/>
        <v>Budget</v>
      </c>
    </row>
    <row r="1102" spans="2:11" x14ac:dyDescent="0.25">
      <c r="B1102" t="s">
        <v>703</v>
      </c>
      <c r="C1102">
        <v>2015</v>
      </c>
      <c r="D1102" s="1">
        <v>200000</v>
      </c>
      <c r="E1102">
        <v>50000</v>
      </c>
      <c r="F1102" t="s">
        <v>9</v>
      </c>
      <c r="G1102" t="s">
        <v>10</v>
      </c>
      <c r="H1102" t="s">
        <v>11</v>
      </c>
      <c r="I1102" t="s">
        <v>12</v>
      </c>
      <c r="J1102">
        <f t="shared" si="34"/>
        <v>11</v>
      </c>
      <c r="K1102" t="str">
        <f t="shared" si="35"/>
        <v>Budget</v>
      </c>
    </row>
    <row r="1103" spans="2:11" x14ac:dyDescent="0.25">
      <c r="B1103" t="s">
        <v>703</v>
      </c>
      <c r="C1103">
        <v>2016</v>
      </c>
      <c r="D1103" s="1">
        <v>300000</v>
      </c>
      <c r="E1103">
        <v>25000</v>
      </c>
      <c r="F1103" t="s">
        <v>9</v>
      </c>
      <c r="G1103" t="s">
        <v>10</v>
      </c>
      <c r="H1103" t="s">
        <v>11</v>
      </c>
      <c r="I1103" t="s">
        <v>12</v>
      </c>
      <c r="J1103">
        <f t="shared" si="34"/>
        <v>10</v>
      </c>
      <c r="K1103" t="str">
        <f t="shared" si="35"/>
        <v>Budget</v>
      </c>
    </row>
    <row r="1104" spans="2:11" x14ac:dyDescent="0.25">
      <c r="B1104" t="s">
        <v>665</v>
      </c>
      <c r="C1104">
        <v>2015</v>
      </c>
      <c r="D1104" s="1">
        <v>300000</v>
      </c>
      <c r="E1104">
        <v>66755</v>
      </c>
      <c r="F1104" t="s">
        <v>15</v>
      </c>
      <c r="G1104" t="s">
        <v>27</v>
      </c>
      <c r="H1104" t="s">
        <v>11</v>
      </c>
      <c r="I1104" t="s">
        <v>12</v>
      </c>
      <c r="J1104">
        <f t="shared" si="34"/>
        <v>11</v>
      </c>
      <c r="K1104" t="str">
        <f t="shared" si="35"/>
        <v>Budget</v>
      </c>
    </row>
    <row r="1105" spans="2:11" x14ac:dyDescent="0.25">
      <c r="B1105" t="s">
        <v>704</v>
      </c>
      <c r="C1105">
        <v>2013</v>
      </c>
      <c r="D1105" s="1">
        <v>380000</v>
      </c>
      <c r="E1105">
        <v>123084</v>
      </c>
      <c r="F1105" t="s">
        <v>9</v>
      </c>
      <c r="G1105" t="s">
        <v>27</v>
      </c>
      <c r="H1105" t="s">
        <v>11</v>
      </c>
      <c r="I1105" t="s">
        <v>12</v>
      </c>
      <c r="J1105">
        <f t="shared" si="34"/>
        <v>13</v>
      </c>
      <c r="K1105" t="str">
        <f t="shared" si="35"/>
        <v>Budget</v>
      </c>
    </row>
    <row r="1106" spans="2:11" x14ac:dyDescent="0.25">
      <c r="B1106" t="s">
        <v>317</v>
      </c>
      <c r="C1106">
        <v>2009</v>
      </c>
      <c r="D1106" s="1">
        <v>250000</v>
      </c>
      <c r="E1106">
        <v>806599</v>
      </c>
      <c r="F1106" t="s">
        <v>9</v>
      </c>
      <c r="G1106" t="s">
        <v>27</v>
      </c>
      <c r="H1106" t="s">
        <v>11</v>
      </c>
      <c r="I1106" t="s">
        <v>12</v>
      </c>
      <c r="J1106">
        <f t="shared" si="34"/>
        <v>17</v>
      </c>
      <c r="K1106" t="str">
        <f t="shared" si="35"/>
        <v>Budget</v>
      </c>
    </row>
    <row r="1107" spans="2:11" x14ac:dyDescent="0.25">
      <c r="B1107" t="s">
        <v>665</v>
      </c>
      <c r="C1107">
        <v>2013</v>
      </c>
      <c r="D1107" s="1">
        <v>310000</v>
      </c>
      <c r="E1107">
        <v>95851</v>
      </c>
      <c r="F1107" t="s">
        <v>15</v>
      </c>
      <c r="G1107" t="s">
        <v>27</v>
      </c>
      <c r="H1107" t="s">
        <v>11</v>
      </c>
      <c r="I1107" t="s">
        <v>12</v>
      </c>
      <c r="J1107">
        <f t="shared" si="34"/>
        <v>13</v>
      </c>
      <c r="K1107" t="str">
        <f t="shared" si="35"/>
        <v>Budget</v>
      </c>
    </row>
    <row r="1108" spans="2:11" x14ac:dyDescent="0.25">
      <c r="B1108" t="s">
        <v>705</v>
      </c>
      <c r="C1108">
        <v>2010</v>
      </c>
      <c r="D1108" s="1">
        <v>260000</v>
      </c>
      <c r="E1108">
        <v>50000</v>
      </c>
      <c r="F1108" t="s">
        <v>9</v>
      </c>
      <c r="G1108" t="s">
        <v>10</v>
      </c>
      <c r="H1108" t="s">
        <v>11</v>
      </c>
      <c r="I1108" t="s">
        <v>12</v>
      </c>
      <c r="J1108">
        <f t="shared" si="34"/>
        <v>16</v>
      </c>
      <c r="K1108" t="str">
        <f t="shared" si="35"/>
        <v>Budget</v>
      </c>
    </row>
    <row r="1109" spans="2:11" x14ac:dyDescent="0.25">
      <c r="B1109" t="s">
        <v>706</v>
      </c>
      <c r="C1109">
        <v>2008</v>
      </c>
      <c r="D1109" s="1">
        <v>150000</v>
      </c>
      <c r="E1109">
        <v>50000</v>
      </c>
      <c r="F1109" t="s">
        <v>9</v>
      </c>
      <c r="G1109" t="s">
        <v>10</v>
      </c>
      <c r="H1109" t="s">
        <v>11</v>
      </c>
      <c r="I1109" t="s">
        <v>18</v>
      </c>
      <c r="J1109">
        <f t="shared" si="34"/>
        <v>18</v>
      </c>
      <c r="K1109" t="str">
        <f t="shared" si="35"/>
        <v>Budget</v>
      </c>
    </row>
    <row r="1110" spans="2:11" x14ac:dyDescent="0.25">
      <c r="B1110" t="s">
        <v>183</v>
      </c>
      <c r="C1110">
        <v>2006</v>
      </c>
      <c r="D1110" s="1">
        <v>85000</v>
      </c>
      <c r="E1110">
        <v>60000</v>
      </c>
      <c r="F1110" t="s">
        <v>9</v>
      </c>
      <c r="G1110" t="s">
        <v>10</v>
      </c>
      <c r="H1110" t="s">
        <v>11</v>
      </c>
      <c r="I1110" t="s">
        <v>18</v>
      </c>
      <c r="J1110">
        <f t="shared" si="34"/>
        <v>20</v>
      </c>
      <c r="K1110" t="str">
        <f t="shared" si="35"/>
        <v>Budget</v>
      </c>
    </row>
    <row r="1111" spans="2:11" x14ac:dyDescent="0.25">
      <c r="B1111" t="s">
        <v>249</v>
      </c>
      <c r="C1111">
        <v>2015</v>
      </c>
      <c r="D1111" s="1">
        <v>280000</v>
      </c>
      <c r="E1111">
        <v>15000</v>
      </c>
      <c r="F1111" t="s">
        <v>9</v>
      </c>
      <c r="G1111" t="s">
        <v>10</v>
      </c>
      <c r="H1111" t="s">
        <v>11</v>
      </c>
      <c r="I1111" t="s">
        <v>18</v>
      </c>
      <c r="J1111">
        <f t="shared" si="34"/>
        <v>11</v>
      </c>
      <c r="K1111" t="str">
        <f t="shared" si="35"/>
        <v>Budget</v>
      </c>
    </row>
    <row r="1112" spans="2:11" x14ac:dyDescent="0.25">
      <c r="B1112" t="s">
        <v>707</v>
      </c>
      <c r="C1112">
        <v>2016</v>
      </c>
      <c r="D1112" s="1">
        <v>850000</v>
      </c>
      <c r="E1112">
        <v>40000</v>
      </c>
      <c r="F1112" t="s">
        <v>15</v>
      </c>
      <c r="G1112" t="s">
        <v>10</v>
      </c>
      <c r="H1112" t="s">
        <v>11</v>
      </c>
      <c r="I1112" t="s">
        <v>12</v>
      </c>
      <c r="J1112">
        <f t="shared" si="34"/>
        <v>10</v>
      </c>
      <c r="K1112" t="str">
        <f t="shared" si="35"/>
        <v>Mid Range</v>
      </c>
    </row>
    <row r="1113" spans="2:11" x14ac:dyDescent="0.25">
      <c r="B1113" t="s">
        <v>371</v>
      </c>
      <c r="C1113">
        <v>2017</v>
      </c>
      <c r="D1113" s="1">
        <v>375000</v>
      </c>
      <c r="E1113">
        <v>20000</v>
      </c>
      <c r="F1113" t="s">
        <v>9</v>
      </c>
      <c r="G1113" t="s">
        <v>10</v>
      </c>
      <c r="H1113" t="s">
        <v>11</v>
      </c>
      <c r="I1113" t="s">
        <v>18</v>
      </c>
      <c r="J1113">
        <f t="shared" si="34"/>
        <v>9</v>
      </c>
      <c r="K1113" t="str">
        <f t="shared" si="35"/>
        <v>Budget</v>
      </c>
    </row>
    <row r="1114" spans="2:11" x14ac:dyDescent="0.25">
      <c r="B1114" t="s">
        <v>708</v>
      </c>
      <c r="C1114">
        <v>2006</v>
      </c>
      <c r="D1114" s="1">
        <v>125000</v>
      </c>
      <c r="E1114">
        <v>120000</v>
      </c>
      <c r="F1114" t="s">
        <v>15</v>
      </c>
      <c r="G1114" t="s">
        <v>10</v>
      </c>
      <c r="H1114" t="s">
        <v>11</v>
      </c>
      <c r="I1114" t="s">
        <v>49</v>
      </c>
      <c r="J1114">
        <f t="shared" si="34"/>
        <v>20</v>
      </c>
      <c r="K1114" t="str">
        <f t="shared" si="35"/>
        <v>Budget</v>
      </c>
    </row>
    <row r="1115" spans="2:11" x14ac:dyDescent="0.25">
      <c r="B1115" t="s">
        <v>185</v>
      </c>
      <c r="C1115">
        <v>2012</v>
      </c>
      <c r="D1115" s="1">
        <v>250000</v>
      </c>
      <c r="E1115">
        <v>110000</v>
      </c>
      <c r="F1115" t="s">
        <v>15</v>
      </c>
      <c r="G1115" t="s">
        <v>10</v>
      </c>
      <c r="H1115" t="s">
        <v>11</v>
      </c>
      <c r="I1115" t="s">
        <v>12</v>
      </c>
      <c r="J1115">
        <f t="shared" si="34"/>
        <v>14</v>
      </c>
      <c r="K1115" t="str">
        <f t="shared" si="35"/>
        <v>Budget</v>
      </c>
    </row>
    <row r="1116" spans="2:11" x14ac:dyDescent="0.25">
      <c r="B1116" t="s">
        <v>709</v>
      </c>
      <c r="C1116">
        <v>2014</v>
      </c>
      <c r="D1116" s="1">
        <v>715000</v>
      </c>
      <c r="E1116">
        <v>234000</v>
      </c>
      <c r="F1116" t="s">
        <v>15</v>
      </c>
      <c r="G1116" t="s">
        <v>10</v>
      </c>
      <c r="H1116" t="s">
        <v>11</v>
      </c>
      <c r="I1116" t="s">
        <v>12</v>
      </c>
      <c r="J1116">
        <f t="shared" si="34"/>
        <v>12</v>
      </c>
      <c r="K1116" t="str">
        <f t="shared" si="35"/>
        <v>Mid Range</v>
      </c>
    </row>
    <row r="1117" spans="2:11" x14ac:dyDescent="0.25">
      <c r="B1117" t="s">
        <v>710</v>
      </c>
      <c r="C1117">
        <v>2011</v>
      </c>
      <c r="D1117" s="1">
        <v>220000</v>
      </c>
      <c r="E1117">
        <v>70000</v>
      </c>
      <c r="F1117" t="s">
        <v>15</v>
      </c>
      <c r="G1117" t="s">
        <v>10</v>
      </c>
      <c r="H1117" t="s">
        <v>11</v>
      </c>
      <c r="I1117" t="s">
        <v>12</v>
      </c>
      <c r="J1117">
        <f t="shared" si="34"/>
        <v>15</v>
      </c>
      <c r="K1117" t="str">
        <f t="shared" si="35"/>
        <v>Budget</v>
      </c>
    </row>
    <row r="1118" spans="2:11" x14ac:dyDescent="0.25">
      <c r="B1118" t="s">
        <v>711</v>
      </c>
      <c r="C1118">
        <v>2010</v>
      </c>
      <c r="D1118" s="1">
        <v>110000</v>
      </c>
      <c r="E1118">
        <v>110000</v>
      </c>
      <c r="F1118" t="s">
        <v>15</v>
      </c>
      <c r="G1118" t="s">
        <v>10</v>
      </c>
      <c r="H1118" t="s">
        <v>11</v>
      </c>
      <c r="I1118" t="s">
        <v>18</v>
      </c>
      <c r="J1118">
        <f t="shared" si="34"/>
        <v>16</v>
      </c>
      <c r="K1118" t="str">
        <f t="shared" si="35"/>
        <v>Budget</v>
      </c>
    </row>
    <row r="1119" spans="2:11" x14ac:dyDescent="0.25">
      <c r="B1119" t="s">
        <v>712</v>
      </c>
      <c r="C1119">
        <v>2007</v>
      </c>
      <c r="D1119" s="1">
        <v>150000</v>
      </c>
      <c r="E1119">
        <v>84000</v>
      </c>
      <c r="F1119" t="s">
        <v>9</v>
      </c>
      <c r="G1119" t="s">
        <v>10</v>
      </c>
      <c r="H1119" t="s">
        <v>11</v>
      </c>
      <c r="I1119" t="s">
        <v>18</v>
      </c>
      <c r="J1119">
        <f t="shared" si="34"/>
        <v>19</v>
      </c>
      <c r="K1119" t="str">
        <f t="shared" si="35"/>
        <v>Budget</v>
      </c>
    </row>
    <row r="1120" spans="2:11" x14ac:dyDescent="0.25">
      <c r="B1120" t="s">
        <v>564</v>
      </c>
      <c r="C1120">
        <v>2012</v>
      </c>
      <c r="D1120" s="1">
        <v>300000</v>
      </c>
      <c r="E1120">
        <v>170000</v>
      </c>
      <c r="F1120" t="s">
        <v>15</v>
      </c>
      <c r="G1120" t="s">
        <v>10</v>
      </c>
      <c r="H1120" t="s">
        <v>11</v>
      </c>
      <c r="I1120" t="s">
        <v>12</v>
      </c>
      <c r="J1120">
        <f t="shared" si="34"/>
        <v>14</v>
      </c>
      <c r="K1120" t="str">
        <f t="shared" si="35"/>
        <v>Budget</v>
      </c>
    </row>
    <row r="1121" spans="2:11" x14ac:dyDescent="0.25">
      <c r="B1121" t="s">
        <v>16</v>
      </c>
      <c r="C1121">
        <v>2017</v>
      </c>
      <c r="D1121" s="1">
        <v>220000</v>
      </c>
      <c r="E1121">
        <v>40000</v>
      </c>
      <c r="F1121" t="s">
        <v>9</v>
      </c>
      <c r="G1121" t="s">
        <v>10</v>
      </c>
      <c r="H1121" t="s">
        <v>11</v>
      </c>
      <c r="I1121" t="s">
        <v>12</v>
      </c>
      <c r="J1121">
        <f t="shared" si="34"/>
        <v>9</v>
      </c>
      <c r="K1121" t="str">
        <f t="shared" si="35"/>
        <v>Budget</v>
      </c>
    </row>
    <row r="1122" spans="2:11" x14ac:dyDescent="0.25">
      <c r="B1122" t="s">
        <v>713</v>
      </c>
      <c r="C1122">
        <v>2006</v>
      </c>
      <c r="D1122" s="1">
        <v>75000</v>
      </c>
      <c r="E1122">
        <v>96000</v>
      </c>
      <c r="F1122" t="s">
        <v>9</v>
      </c>
      <c r="G1122" t="s">
        <v>10</v>
      </c>
      <c r="H1122" t="s">
        <v>11</v>
      </c>
      <c r="I1122" t="s">
        <v>18</v>
      </c>
      <c r="J1122">
        <f t="shared" si="34"/>
        <v>20</v>
      </c>
      <c r="K1122" t="str">
        <f t="shared" si="35"/>
        <v>Budget</v>
      </c>
    </row>
    <row r="1123" spans="2:11" x14ac:dyDescent="0.25">
      <c r="B1123" t="s">
        <v>486</v>
      </c>
      <c r="C1123">
        <v>2009</v>
      </c>
      <c r="D1123" s="1">
        <v>100000</v>
      </c>
      <c r="E1123">
        <v>20000</v>
      </c>
      <c r="F1123" t="s">
        <v>15</v>
      </c>
      <c r="G1123" t="s">
        <v>10</v>
      </c>
      <c r="H1123" t="s">
        <v>11</v>
      </c>
      <c r="I1123" t="s">
        <v>12</v>
      </c>
      <c r="J1123">
        <f t="shared" si="34"/>
        <v>17</v>
      </c>
      <c r="K1123" t="str">
        <f t="shared" si="35"/>
        <v>Budget</v>
      </c>
    </row>
    <row r="1124" spans="2:11" x14ac:dyDescent="0.25">
      <c r="B1124" t="s">
        <v>261</v>
      </c>
      <c r="C1124">
        <v>2016</v>
      </c>
      <c r="D1124" s="1">
        <v>380000</v>
      </c>
      <c r="E1124">
        <v>15000</v>
      </c>
      <c r="F1124" t="s">
        <v>9</v>
      </c>
      <c r="G1124" t="s">
        <v>10</v>
      </c>
      <c r="H1124" t="s">
        <v>11</v>
      </c>
      <c r="I1124" t="s">
        <v>12</v>
      </c>
      <c r="J1124">
        <f t="shared" si="34"/>
        <v>10</v>
      </c>
      <c r="K1124" t="str">
        <f t="shared" si="35"/>
        <v>Budget</v>
      </c>
    </row>
    <row r="1125" spans="2:11" x14ac:dyDescent="0.25">
      <c r="B1125" t="s">
        <v>714</v>
      </c>
      <c r="C1125">
        <v>2007</v>
      </c>
      <c r="D1125" s="1">
        <v>100000</v>
      </c>
      <c r="E1125">
        <v>50000</v>
      </c>
      <c r="F1125" t="s">
        <v>9</v>
      </c>
      <c r="G1125" t="s">
        <v>10</v>
      </c>
      <c r="H1125" t="s">
        <v>11</v>
      </c>
      <c r="I1125" t="s">
        <v>12</v>
      </c>
      <c r="J1125">
        <f t="shared" si="34"/>
        <v>19</v>
      </c>
      <c r="K1125" t="str">
        <f t="shared" si="35"/>
        <v>Budget</v>
      </c>
    </row>
    <row r="1126" spans="2:11" x14ac:dyDescent="0.25">
      <c r="B1126" t="s">
        <v>715</v>
      </c>
      <c r="C1126">
        <v>2010</v>
      </c>
      <c r="D1126" s="1">
        <v>480000</v>
      </c>
      <c r="E1126">
        <v>80000</v>
      </c>
      <c r="F1126" t="s">
        <v>9</v>
      </c>
      <c r="G1126" t="s">
        <v>10</v>
      </c>
      <c r="H1126" t="s">
        <v>11</v>
      </c>
      <c r="I1126" t="s">
        <v>18</v>
      </c>
      <c r="J1126">
        <f t="shared" si="34"/>
        <v>16</v>
      </c>
      <c r="K1126" t="str">
        <f t="shared" si="35"/>
        <v>Budget</v>
      </c>
    </row>
    <row r="1127" spans="2:11" x14ac:dyDescent="0.25">
      <c r="B1127" t="s">
        <v>69</v>
      </c>
      <c r="C1127">
        <v>2012</v>
      </c>
      <c r="D1127" s="1">
        <v>300000</v>
      </c>
      <c r="E1127">
        <v>124000</v>
      </c>
      <c r="F1127" t="s">
        <v>15</v>
      </c>
      <c r="G1127" t="s">
        <v>10</v>
      </c>
      <c r="H1127" t="s">
        <v>11</v>
      </c>
      <c r="I1127" t="s">
        <v>12</v>
      </c>
      <c r="J1127">
        <f t="shared" si="34"/>
        <v>14</v>
      </c>
      <c r="K1127" t="str">
        <f t="shared" si="35"/>
        <v>Budget</v>
      </c>
    </row>
    <row r="1128" spans="2:11" x14ac:dyDescent="0.25">
      <c r="B1128" t="s">
        <v>218</v>
      </c>
      <c r="C1128">
        <v>2013</v>
      </c>
      <c r="D1128" s="1">
        <v>190000</v>
      </c>
      <c r="E1128">
        <v>70000</v>
      </c>
      <c r="F1128" t="s">
        <v>15</v>
      </c>
      <c r="G1128" t="s">
        <v>10</v>
      </c>
      <c r="H1128" t="s">
        <v>11</v>
      </c>
      <c r="I1128" t="s">
        <v>12</v>
      </c>
      <c r="J1128">
        <f t="shared" si="34"/>
        <v>13</v>
      </c>
      <c r="K1128" t="str">
        <f t="shared" si="35"/>
        <v>Budget</v>
      </c>
    </row>
    <row r="1129" spans="2:11" x14ac:dyDescent="0.25">
      <c r="B1129" t="s">
        <v>716</v>
      </c>
      <c r="C1129">
        <v>2012</v>
      </c>
      <c r="D1129" s="1">
        <v>190000</v>
      </c>
      <c r="E1129">
        <v>130000</v>
      </c>
      <c r="F1129" t="s">
        <v>15</v>
      </c>
      <c r="G1129" t="s">
        <v>10</v>
      </c>
      <c r="H1129" t="s">
        <v>11</v>
      </c>
      <c r="I1129" t="s">
        <v>18</v>
      </c>
      <c r="J1129">
        <f t="shared" si="34"/>
        <v>14</v>
      </c>
      <c r="K1129" t="str">
        <f t="shared" si="35"/>
        <v>Budget</v>
      </c>
    </row>
    <row r="1130" spans="2:11" x14ac:dyDescent="0.25">
      <c r="B1130" t="s">
        <v>717</v>
      </c>
      <c r="C1130">
        <v>2017</v>
      </c>
      <c r="D1130" s="1">
        <v>650000</v>
      </c>
      <c r="E1130">
        <v>19014</v>
      </c>
      <c r="F1130" t="s">
        <v>9</v>
      </c>
      <c r="G1130" t="s">
        <v>27</v>
      </c>
      <c r="H1130" t="s">
        <v>11</v>
      </c>
      <c r="I1130" t="s">
        <v>12</v>
      </c>
      <c r="J1130">
        <f t="shared" si="34"/>
        <v>9</v>
      </c>
      <c r="K1130" t="str">
        <f t="shared" si="35"/>
        <v>Mid Range</v>
      </c>
    </row>
    <row r="1131" spans="2:11" x14ac:dyDescent="0.25">
      <c r="B1131" t="s">
        <v>718</v>
      </c>
      <c r="C1131">
        <v>2009</v>
      </c>
      <c r="D1131" s="1">
        <v>300000</v>
      </c>
      <c r="E1131">
        <v>23262</v>
      </c>
      <c r="F1131" t="s">
        <v>9</v>
      </c>
      <c r="G1131" t="s">
        <v>27</v>
      </c>
      <c r="H1131" t="s">
        <v>11</v>
      </c>
      <c r="I1131" t="s">
        <v>12</v>
      </c>
      <c r="J1131">
        <f t="shared" si="34"/>
        <v>17</v>
      </c>
      <c r="K1131" t="str">
        <f t="shared" si="35"/>
        <v>Budget</v>
      </c>
    </row>
    <row r="1132" spans="2:11" x14ac:dyDescent="0.25">
      <c r="B1132" t="s">
        <v>719</v>
      </c>
      <c r="C1132">
        <v>2016</v>
      </c>
      <c r="D1132" s="1">
        <v>700000</v>
      </c>
      <c r="E1132">
        <v>29600</v>
      </c>
      <c r="F1132" t="s">
        <v>15</v>
      </c>
      <c r="G1132" t="s">
        <v>27</v>
      </c>
      <c r="H1132" t="s">
        <v>11</v>
      </c>
      <c r="I1132" t="s">
        <v>12</v>
      </c>
      <c r="J1132">
        <f t="shared" si="34"/>
        <v>10</v>
      </c>
      <c r="K1132" t="str">
        <f t="shared" si="35"/>
        <v>Mid Range</v>
      </c>
    </row>
    <row r="1133" spans="2:11" x14ac:dyDescent="0.25">
      <c r="B1133" t="s">
        <v>133</v>
      </c>
      <c r="C1133">
        <v>2015</v>
      </c>
      <c r="D1133" s="1">
        <v>310000</v>
      </c>
      <c r="E1133">
        <v>35925</v>
      </c>
      <c r="F1133" t="s">
        <v>9</v>
      </c>
      <c r="G1133" t="s">
        <v>27</v>
      </c>
      <c r="H1133" t="s">
        <v>11</v>
      </c>
      <c r="I1133" t="s">
        <v>12</v>
      </c>
      <c r="J1133">
        <f t="shared" si="34"/>
        <v>11</v>
      </c>
      <c r="K1133" t="str">
        <f t="shared" si="35"/>
        <v>Budget</v>
      </c>
    </row>
    <row r="1134" spans="2:11" x14ac:dyDescent="0.25">
      <c r="B1134" t="s">
        <v>720</v>
      </c>
      <c r="C1134">
        <v>2018</v>
      </c>
      <c r="D1134" s="1">
        <v>500000</v>
      </c>
      <c r="E1134">
        <v>12000</v>
      </c>
      <c r="F1134" t="s">
        <v>9</v>
      </c>
      <c r="G1134" t="s">
        <v>10</v>
      </c>
      <c r="H1134" t="s">
        <v>11</v>
      </c>
      <c r="I1134" t="s">
        <v>12</v>
      </c>
      <c r="J1134">
        <f t="shared" si="34"/>
        <v>8</v>
      </c>
      <c r="K1134" t="str">
        <f t="shared" si="35"/>
        <v>Mid Range</v>
      </c>
    </row>
    <row r="1135" spans="2:11" x14ac:dyDescent="0.25">
      <c r="B1135" t="s">
        <v>476</v>
      </c>
      <c r="C1135">
        <v>2013</v>
      </c>
      <c r="D1135" s="1">
        <v>415000</v>
      </c>
      <c r="E1135">
        <v>40771</v>
      </c>
      <c r="F1135" t="s">
        <v>9</v>
      </c>
      <c r="G1135" t="s">
        <v>27</v>
      </c>
      <c r="H1135" t="s">
        <v>11</v>
      </c>
      <c r="I1135" t="s">
        <v>12</v>
      </c>
      <c r="J1135">
        <f t="shared" si="34"/>
        <v>13</v>
      </c>
      <c r="K1135" t="str">
        <f t="shared" si="35"/>
        <v>Budget</v>
      </c>
    </row>
    <row r="1136" spans="2:11" x14ac:dyDescent="0.25">
      <c r="B1136" t="s">
        <v>471</v>
      </c>
      <c r="C1136">
        <v>2015</v>
      </c>
      <c r="D1136" s="1">
        <v>395000</v>
      </c>
      <c r="E1136">
        <v>30500</v>
      </c>
      <c r="F1136" t="s">
        <v>9</v>
      </c>
      <c r="G1136" t="s">
        <v>27</v>
      </c>
      <c r="H1136" t="s">
        <v>28</v>
      </c>
      <c r="I1136" t="s">
        <v>18</v>
      </c>
      <c r="J1136">
        <f t="shared" si="34"/>
        <v>11</v>
      </c>
      <c r="K1136" t="str">
        <f t="shared" si="35"/>
        <v>Budget</v>
      </c>
    </row>
    <row r="1137" spans="2:11" x14ac:dyDescent="0.25">
      <c r="B1137" t="s">
        <v>721</v>
      </c>
      <c r="C1137">
        <v>2014</v>
      </c>
      <c r="D1137" s="1">
        <v>430000</v>
      </c>
      <c r="E1137">
        <v>42000</v>
      </c>
      <c r="F1137" t="s">
        <v>9</v>
      </c>
      <c r="G1137" t="s">
        <v>27</v>
      </c>
      <c r="H1137" t="s">
        <v>11</v>
      </c>
      <c r="I1137" t="s">
        <v>18</v>
      </c>
      <c r="J1137">
        <f t="shared" si="34"/>
        <v>12</v>
      </c>
      <c r="K1137" t="str">
        <f t="shared" si="35"/>
        <v>Budget</v>
      </c>
    </row>
    <row r="1138" spans="2:11" x14ac:dyDescent="0.25">
      <c r="B1138" t="s">
        <v>722</v>
      </c>
      <c r="C1138">
        <v>2007</v>
      </c>
      <c r="D1138" s="1">
        <v>215000</v>
      </c>
      <c r="E1138">
        <v>55800</v>
      </c>
      <c r="F1138" t="s">
        <v>9</v>
      </c>
      <c r="G1138" t="s">
        <v>27</v>
      </c>
      <c r="H1138" t="s">
        <v>11</v>
      </c>
      <c r="I1138" t="s">
        <v>18</v>
      </c>
      <c r="J1138">
        <f t="shared" si="34"/>
        <v>19</v>
      </c>
      <c r="K1138" t="str">
        <f t="shared" si="35"/>
        <v>Budget</v>
      </c>
    </row>
    <row r="1139" spans="2:11" x14ac:dyDescent="0.25">
      <c r="B1139" t="s">
        <v>723</v>
      </c>
      <c r="C1139">
        <v>2014</v>
      </c>
      <c r="D1139" s="1">
        <v>550000</v>
      </c>
      <c r="E1139">
        <v>66569</v>
      </c>
      <c r="F1139" t="s">
        <v>15</v>
      </c>
      <c r="G1139" t="s">
        <v>27</v>
      </c>
      <c r="H1139" t="s">
        <v>11</v>
      </c>
      <c r="I1139" t="s">
        <v>12</v>
      </c>
      <c r="J1139">
        <f t="shared" si="34"/>
        <v>12</v>
      </c>
      <c r="K1139" t="str">
        <f t="shared" si="35"/>
        <v>Mid Range</v>
      </c>
    </row>
    <row r="1140" spans="2:11" x14ac:dyDescent="0.25">
      <c r="B1140" t="s">
        <v>511</v>
      </c>
      <c r="C1140">
        <v>2014</v>
      </c>
      <c r="D1140" s="1">
        <v>415000</v>
      </c>
      <c r="E1140">
        <v>81358</v>
      </c>
      <c r="F1140" t="s">
        <v>15</v>
      </c>
      <c r="G1140" t="s">
        <v>27</v>
      </c>
      <c r="H1140" t="s">
        <v>11</v>
      </c>
      <c r="I1140" t="s">
        <v>12</v>
      </c>
      <c r="J1140">
        <f t="shared" si="34"/>
        <v>12</v>
      </c>
      <c r="K1140" t="str">
        <f t="shared" si="35"/>
        <v>Budget</v>
      </c>
    </row>
    <row r="1141" spans="2:11" x14ac:dyDescent="0.25">
      <c r="B1141" t="s">
        <v>724</v>
      </c>
      <c r="C1141">
        <v>2015</v>
      </c>
      <c r="D1141" s="1">
        <v>450000</v>
      </c>
      <c r="E1141">
        <v>82695</v>
      </c>
      <c r="F1141" t="s">
        <v>15</v>
      </c>
      <c r="G1141" t="s">
        <v>27</v>
      </c>
      <c r="H1141" t="s">
        <v>11</v>
      </c>
      <c r="I1141" t="s">
        <v>12</v>
      </c>
      <c r="J1141">
        <f t="shared" si="34"/>
        <v>11</v>
      </c>
      <c r="K1141" t="str">
        <f t="shared" si="35"/>
        <v>Budget</v>
      </c>
    </row>
    <row r="1142" spans="2:11" x14ac:dyDescent="0.25">
      <c r="B1142" t="s">
        <v>725</v>
      </c>
      <c r="C1142">
        <v>2014</v>
      </c>
      <c r="D1142" s="1">
        <v>285000</v>
      </c>
      <c r="E1142">
        <v>68293</v>
      </c>
      <c r="F1142" t="s">
        <v>15</v>
      </c>
      <c r="G1142" t="s">
        <v>27</v>
      </c>
      <c r="H1142" t="s">
        <v>11</v>
      </c>
      <c r="I1142" t="s">
        <v>18</v>
      </c>
      <c r="J1142">
        <f t="shared" si="34"/>
        <v>12</v>
      </c>
      <c r="K1142" t="str">
        <f t="shared" si="35"/>
        <v>Budget</v>
      </c>
    </row>
    <row r="1143" spans="2:11" x14ac:dyDescent="0.25">
      <c r="B1143" t="s">
        <v>726</v>
      </c>
      <c r="C1143">
        <v>2016</v>
      </c>
      <c r="D1143" s="1">
        <v>580000</v>
      </c>
      <c r="E1143">
        <v>32000</v>
      </c>
      <c r="F1143" t="s">
        <v>9</v>
      </c>
      <c r="G1143" t="s">
        <v>27</v>
      </c>
      <c r="H1143" t="s">
        <v>28</v>
      </c>
      <c r="I1143" t="s">
        <v>12</v>
      </c>
      <c r="J1143">
        <f t="shared" si="34"/>
        <v>10</v>
      </c>
      <c r="K1143" t="str">
        <f t="shared" si="35"/>
        <v>Mid Range</v>
      </c>
    </row>
    <row r="1144" spans="2:11" x14ac:dyDescent="0.25">
      <c r="B1144" t="s">
        <v>727</v>
      </c>
      <c r="C1144">
        <v>2014</v>
      </c>
      <c r="D1144" s="1">
        <v>300000</v>
      </c>
      <c r="E1144">
        <v>190621</v>
      </c>
      <c r="F1144" t="s">
        <v>15</v>
      </c>
      <c r="G1144" t="s">
        <v>27</v>
      </c>
      <c r="H1144" t="s">
        <v>11</v>
      </c>
      <c r="I1144" t="s">
        <v>12</v>
      </c>
      <c r="J1144">
        <f t="shared" si="34"/>
        <v>12</v>
      </c>
      <c r="K1144" t="str">
        <f t="shared" si="35"/>
        <v>Budget</v>
      </c>
    </row>
    <row r="1145" spans="2:11" x14ac:dyDescent="0.25">
      <c r="B1145" t="s">
        <v>490</v>
      </c>
      <c r="C1145">
        <v>2018</v>
      </c>
      <c r="D1145" s="1">
        <v>1200000</v>
      </c>
      <c r="E1145">
        <v>60000</v>
      </c>
      <c r="F1145" t="s">
        <v>15</v>
      </c>
      <c r="G1145" t="s">
        <v>10</v>
      </c>
      <c r="H1145" t="s">
        <v>11</v>
      </c>
      <c r="I1145" t="s">
        <v>12</v>
      </c>
      <c r="J1145">
        <f t="shared" si="34"/>
        <v>8</v>
      </c>
      <c r="K1145" t="str">
        <f t="shared" si="35"/>
        <v>Premium</v>
      </c>
    </row>
    <row r="1146" spans="2:11" x14ac:dyDescent="0.25">
      <c r="B1146" t="s">
        <v>728</v>
      </c>
      <c r="C1146">
        <v>2006</v>
      </c>
      <c r="D1146" s="1">
        <v>78000</v>
      </c>
      <c r="E1146">
        <v>64700</v>
      </c>
      <c r="F1146" t="s">
        <v>9</v>
      </c>
      <c r="G1146" t="s">
        <v>10</v>
      </c>
      <c r="H1146" t="s">
        <v>11</v>
      </c>
      <c r="I1146" t="s">
        <v>12</v>
      </c>
      <c r="J1146">
        <f t="shared" si="34"/>
        <v>20</v>
      </c>
      <c r="K1146" t="str">
        <f t="shared" si="35"/>
        <v>Budget</v>
      </c>
    </row>
    <row r="1147" spans="2:11" x14ac:dyDescent="0.25">
      <c r="B1147" t="s">
        <v>219</v>
      </c>
      <c r="C1147">
        <v>2016</v>
      </c>
      <c r="D1147" s="1">
        <v>400000</v>
      </c>
      <c r="E1147">
        <v>88470</v>
      </c>
      <c r="F1147" t="s">
        <v>15</v>
      </c>
      <c r="G1147" t="s">
        <v>10</v>
      </c>
      <c r="H1147" t="s">
        <v>11</v>
      </c>
      <c r="I1147" t="s">
        <v>12</v>
      </c>
      <c r="J1147">
        <f t="shared" si="34"/>
        <v>10</v>
      </c>
      <c r="K1147" t="str">
        <f t="shared" si="35"/>
        <v>Budget</v>
      </c>
    </row>
    <row r="1148" spans="2:11" x14ac:dyDescent="0.25">
      <c r="B1148" t="s">
        <v>729</v>
      </c>
      <c r="C1148">
        <v>2016</v>
      </c>
      <c r="D1148" s="1">
        <v>850000</v>
      </c>
      <c r="E1148">
        <v>75000</v>
      </c>
      <c r="F1148" t="s">
        <v>15</v>
      </c>
      <c r="G1148" t="s">
        <v>10</v>
      </c>
      <c r="H1148" t="s">
        <v>11</v>
      </c>
      <c r="I1148" t="s">
        <v>12</v>
      </c>
      <c r="J1148">
        <f t="shared" si="34"/>
        <v>10</v>
      </c>
      <c r="K1148" t="str">
        <f t="shared" si="35"/>
        <v>Mid Range</v>
      </c>
    </row>
    <row r="1149" spans="2:11" x14ac:dyDescent="0.25">
      <c r="B1149" t="s">
        <v>370</v>
      </c>
      <c r="C1149">
        <v>2013</v>
      </c>
      <c r="D1149" s="1">
        <v>450000</v>
      </c>
      <c r="E1149">
        <v>120000</v>
      </c>
      <c r="F1149" t="s">
        <v>15</v>
      </c>
      <c r="G1149" t="s">
        <v>10</v>
      </c>
      <c r="H1149" t="s">
        <v>11</v>
      </c>
      <c r="I1149" t="s">
        <v>18</v>
      </c>
      <c r="J1149">
        <f t="shared" si="34"/>
        <v>13</v>
      </c>
      <c r="K1149" t="str">
        <f t="shared" si="35"/>
        <v>Budget</v>
      </c>
    </row>
    <row r="1150" spans="2:11" x14ac:dyDescent="0.25">
      <c r="B1150" t="s">
        <v>730</v>
      </c>
      <c r="C1150">
        <v>2012</v>
      </c>
      <c r="D1150" s="1">
        <v>2500000</v>
      </c>
      <c r="E1150">
        <v>35000</v>
      </c>
      <c r="F1150" t="s">
        <v>15</v>
      </c>
      <c r="G1150" t="s">
        <v>10</v>
      </c>
      <c r="H1150" t="s">
        <v>28</v>
      </c>
      <c r="I1150" t="s">
        <v>12</v>
      </c>
      <c r="J1150">
        <f t="shared" si="34"/>
        <v>14</v>
      </c>
      <c r="K1150" t="str">
        <f t="shared" si="35"/>
        <v>Premium</v>
      </c>
    </row>
    <row r="1151" spans="2:11" x14ac:dyDescent="0.25">
      <c r="B1151" t="s">
        <v>731</v>
      </c>
      <c r="C1151">
        <v>2017</v>
      </c>
      <c r="D1151" s="1">
        <v>780000</v>
      </c>
      <c r="E1151">
        <v>70000</v>
      </c>
      <c r="F1151" t="s">
        <v>15</v>
      </c>
      <c r="G1151" t="s">
        <v>10</v>
      </c>
      <c r="H1151" t="s">
        <v>11</v>
      </c>
      <c r="I1151" t="s">
        <v>12</v>
      </c>
      <c r="J1151">
        <f t="shared" si="34"/>
        <v>9</v>
      </c>
      <c r="K1151" t="str">
        <f t="shared" si="35"/>
        <v>Mid Range</v>
      </c>
    </row>
    <row r="1152" spans="2:11" x14ac:dyDescent="0.25">
      <c r="B1152" t="s">
        <v>509</v>
      </c>
      <c r="C1152">
        <v>2017</v>
      </c>
      <c r="D1152" s="1">
        <v>3200000</v>
      </c>
      <c r="E1152">
        <v>57000</v>
      </c>
      <c r="F1152" t="s">
        <v>15</v>
      </c>
      <c r="G1152" t="s">
        <v>10</v>
      </c>
      <c r="H1152" t="s">
        <v>28</v>
      </c>
      <c r="I1152" t="s">
        <v>12</v>
      </c>
      <c r="J1152">
        <f t="shared" si="34"/>
        <v>9</v>
      </c>
      <c r="K1152" t="str">
        <f t="shared" si="35"/>
        <v>Premium</v>
      </c>
    </row>
    <row r="1153" spans="2:11" x14ac:dyDescent="0.25">
      <c r="B1153" t="s">
        <v>241</v>
      </c>
      <c r="C1153">
        <v>2020</v>
      </c>
      <c r="D1153" s="1">
        <v>350000</v>
      </c>
      <c r="E1153">
        <v>1000</v>
      </c>
      <c r="F1153" t="s">
        <v>9</v>
      </c>
      <c r="G1153" t="s">
        <v>10</v>
      </c>
      <c r="H1153" t="s">
        <v>11</v>
      </c>
      <c r="I1153" t="s">
        <v>12</v>
      </c>
      <c r="J1153">
        <f t="shared" si="34"/>
        <v>6</v>
      </c>
      <c r="K1153" t="str">
        <f t="shared" si="35"/>
        <v>Budget</v>
      </c>
    </row>
    <row r="1154" spans="2:11" x14ac:dyDescent="0.25">
      <c r="B1154" t="s">
        <v>732</v>
      </c>
      <c r="C1154">
        <v>2013</v>
      </c>
      <c r="D1154" s="1">
        <v>285000</v>
      </c>
      <c r="E1154">
        <v>120000</v>
      </c>
      <c r="F1154" t="s">
        <v>15</v>
      </c>
      <c r="G1154" t="s">
        <v>10</v>
      </c>
      <c r="H1154" t="s">
        <v>11</v>
      </c>
      <c r="I1154" t="s">
        <v>18</v>
      </c>
      <c r="J1154">
        <f t="shared" si="34"/>
        <v>13</v>
      </c>
      <c r="K1154" t="str">
        <f t="shared" si="35"/>
        <v>Budget</v>
      </c>
    </row>
    <row r="1155" spans="2:11" x14ac:dyDescent="0.25">
      <c r="B1155" t="s">
        <v>733</v>
      </c>
      <c r="C1155">
        <v>2015</v>
      </c>
      <c r="D1155" s="1">
        <v>525000</v>
      </c>
      <c r="E1155">
        <v>98000</v>
      </c>
      <c r="F1155" t="s">
        <v>15</v>
      </c>
      <c r="G1155" t="s">
        <v>27</v>
      </c>
      <c r="H1155" t="s">
        <v>11</v>
      </c>
      <c r="I1155" t="s">
        <v>12</v>
      </c>
      <c r="J1155">
        <f t="shared" si="34"/>
        <v>11</v>
      </c>
      <c r="K1155" t="str">
        <f t="shared" si="35"/>
        <v>Mid Range</v>
      </c>
    </row>
    <row r="1156" spans="2:11" x14ac:dyDescent="0.25">
      <c r="B1156" t="s">
        <v>734</v>
      </c>
      <c r="C1156">
        <v>2014</v>
      </c>
      <c r="D1156" s="1">
        <v>550000</v>
      </c>
      <c r="E1156">
        <v>90000</v>
      </c>
      <c r="F1156" t="s">
        <v>15</v>
      </c>
      <c r="G1156" t="s">
        <v>27</v>
      </c>
      <c r="H1156" t="s">
        <v>11</v>
      </c>
      <c r="I1156" t="s">
        <v>18</v>
      </c>
      <c r="J1156">
        <f t="shared" si="34"/>
        <v>12</v>
      </c>
      <c r="K1156" t="str">
        <f t="shared" si="35"/>
        <v>Mid Range</v>
      </c>
    </row>
    <row r="1157" spans="2:11" x14ac:dyDescent="0.25">
      <c r="B1157" t="s">
        <v>735</v>
      </c>
      <c r="C1157">
        <v>2018</v>
      </c>
      <c r="D1157" s="1">
        <v>580000</v>
      </c>
      <c r="E1157">
        <v>70000</v>
      </c>
      <c r="F1157" t="s">
        <v>15</v>
      </c>
      <c r="G1157" t="s">
        <v>10</v>
      </c>
      <c r="H1157" t="s">
        <v>11</v>
      </c>
      <c r="I1157" t="s">
        <v>12</v>
      </c>
      <c r="J1157">
        <f t="shared" si="34"/>
        <v>8</v>
      </c>
      <c r="K1157" t="str">
        <f t="shared" si="35"/>
        <v>Mid Range</v>
      </c>
    </row>
    <row r="1158" spans="2:11" x14ac:dyDescent="0.25">
      <c r="B1158" t="s">
        <v>736</v>
      </c>
      <c r="C1158">
        <v>2013</v>
      </c>
      <c r="D1158" s="1">
        <v>75000</v>
      </c>
      <c r="E1158">
        <v>25000</v>
      </c>
      <c r="F1158" t="s">
        <v>9</v>
      </c>
      <c r="G1158" t="s">
        <v>10</v>
      </c>
      <c r="H1158" t="s">
        <v>11</v>
      </c>
      <c r="I1158" t="s">
        <v>49</v>
      </c>
      <c r="J1158">
        <f t="shared" ref="J1158:J1221" si="36">2026 - C1158</f>
        <v>13</v>
      </c>
      <c r="K1158" t="str">
        <f t="shared" ref="K1158:K1221" si="37">IF(D1158&lt;500000,"Budget",IF(D1158&lt;=1000000,"Mid Range","Premium"))</f>
        <v>Budget</v>
      </c>
    </row>
    <row r="1159" spans="2:11" x14ac:dyDescent="0.25">
      <c r="B1159" t="s">
        <v>737</v>
      </c>
      <c r="C1159">
        <v>2009</v>
      </c>
      <c r="D1159" s="1">
        <v>185000</v>
      </c>
      <c r="E1159">
        <v>60000</v>
      </c>
      <c r="F1159" t="s">
        <v>15</v>
      </c>
      <c r="G1159" t="s">
        <v>10</v>
      </c>
      <c r="H1159" t="s">
        <v>11</v>
      </c>
      <c r="I1159" t="s">
        <v>49</v>
      </c>
      <c r="J1159">
        <f t="shared" si="36"/>
        <v>17</v>
      </c>
      <c r="K1159" t="str">
        <f t="shared" si="37"/>
        <v>Budget</v>
      </c>
    </row>
    <row r="1160" spans="2:11" x14ac:dyDescent="0.25">
      <c r="B1160" t="s">
        <v>738</v>
      </c>
      <c r="C1160">
        <v>2007</v>
      </c>
      <c r="D1160" s="1">
        <v>110000</v>
      </c>
      <c r="E1160">
        <v>90000</v>
      </c>
      <c r="F1160" t="s">
        <v>9</v>
      </c>
      <c r="G1160" t="s">
        <v>10</v>
      </c>
      <c r="H1160" t="s">
        <v>11</v>
      </c>
      <c r="I1160" t="s">
        <v>46</v>
      </c>
      <c r="J1160">
        <f t="shared" si="36"/>
        <v>19</v>
      </c>
      <c r="K1160" t="str">
        <f t="shared" si="37"/>
        <v>Budget</v>
      </c>
    </row>
    <row r="1161" spans="2:11" x14ac:dyDescent="0.25">
      <c r="B1161" t="s">
        <v>178</v>
      </c>
      <c r="C1161">
        <v>2004</v>
      </c>
      <c r="D1161" s="1">
        <v>180000</v>
      </c>
      <c r="E1161">
        <v>200000</v>
      </c>
      <c r="F1161" t="s">
        <v>9</v>
      </c>
      <c r="G1161" t="s">
        <v>10</v>
      </c>
      <c r="H1161" t="s">
        <v>11</v>
      </c>
      <c r="I1161" t="s">
        <v>18</v>
      </c>
      <c r="J1161">
        <f t="shared" si="36"/>
        <v>22</v>
      </c>
      <c r="K1161" t="str">
        <f t="shared" si="37"/>
        <v>Budget</v>
      </c>
    </row>
    <row r="1162" spans="2:11" x14ac:dyDescent="0.25">
      <c r="B1162" t="s">
        <v>685</v>
      </c>
      <c r="C1162">
        <v>2010</v>
      </c>
      <c r="D1162" s="1">
        <v>350000</v>
      </c>
      <c r="E1162">
        <v>110000</v>
      </c>
      <c r="F1162" t="s">
        <v>15</v>
      </c>
      <c r="G1162" t="s">
        <v>10</v>
      </c>
      <c r="H1162" t="s">
        <v>11</v>
      </c>
      <c r="I1162" t="s">
        <v>18</v>
      </c>
      <c r="J1162">
        <f t="shared" si="36"/>
        <v>16</v>
      </c>
      <c r="K1162" t="str">
        <f t="shared" si="37"/>
        <v>Budget</v>
      </c>
    </row>
    <row r="1163" spans="2:11" x14ac:dyDescent="0.25">
      <c r="B1163" t="s">
        <v>739</v>
      </c>
      <c r="C1163">
        <v>2005</v>
      </c>
      <c r="D1163" s="1">
        <v>60000</v>
      </c>
      <c r="E1163">
        <v>126000</v>
      </c>
      <c r="F1163" t="s">
        <v>9</v>
      </c>
      <c r="G1163" t="s">
        <v>10</v>
      </c>
      <c r="H1163" t="s">
        <v>11</v>
      </c>
      <c r="I1163" t="s">
        <v>18</v>
      </c>
      <c r="J1163">
        <f t="shared" si="36"/>
        <v>21</v>
      </c>
      <c r="K1163" t="str">
        <f t="shared" si="37"/>
        <v>Budget</v>
      </c>
    </row>
    <row r="1164" spans="2:11" x14ac:dyDescent="0.25">
      <c r="B1164" t="s">
        <v>740</v>
      </c>
      <c r="C1164">
        <v>2018</v>
      </c>
      <c r="D1164" s="1">
        <v>695000</v>
      </c>
      <c r="E1164">
        <v>70000</v>
      </c>
      <c r="F1164" t="s">
        <v>15</v>
      </c>
      <c r="G1164" t="s">
        <v>10</v>
      </c>
      <c r="H1164" t="s">
        <v>11</v>
      </c>
      <c r="I1164" t="s">
        <v>12</v>
      </c>
      <c r="J1164">
        <f t="shared" si="36"/>
        <v>8</v>
      </c>
      <c r="K1164" t="str">
        <f t="shared" si="37"/>
        <v>Mid Range</v>
      </c>
    </row>
    <row r="1165" spans="2:11" x14ac:dyDescent="0.25">
      <c r="B1165" t="s">
        <v>741</v>
      </c>
      <c r="C1165">
        <v>2019</v>
      </c>
      <c r="D1165" s="1">
        <v>2700000</v>
      </c>
      <c r="E1165">
        <v>5000</v>
      </c>
      <c r="F1165" t="s">
        <v>15</v>
      </c>
      <c r="G1165" t="s">
        <v>10</v>
      </c>
      <c r="H1165" t="s">
        <v>28</v>
      </c>
      <c r="I1165" t="s">
        <v>12</v>
      </c>
      <c r="J1165">
        <f t="shared" si="36"/>
        <v>7</v>
      </c>
      <c r="K1165" t="str">
        <f t="shared" si="37"/>
        <v>Premium</v>
      </c>
    </row>
    <row r="1166" spans="2:11" x14ac:dyDescent="0.25">
      <c r="B1166" t="s">
        <v>742</v>
      </c>
      <c r="C1166">
        <v>2007</v>
      </c>
      <c r="D1166" s="1">
        <v>135000</v>
      </c>
      <c r="E1166">
        <v>74183</v>
      </c>
      <c r="F1166" t="s">
        <v>9</v>
      </c>
      <c r="G1166" t="s">
        <v>10</v>
      </c>
      <c r="H1166" t="s">
        <v>11</v>
      </c>
      <c r="I1166" t="s">
        <v>18</v>
      </c>
      <c r="J1166">
        <f t="shared" si="36"/>
        <v>19</v>
      </c>
      <c r="K1166" t="str">
        <f t="shared" si="37"/>
        <v>Budget</v>
      </c>
    </row>
    <row r="1167" spans="2:11" x14ac:dyDescent="0.25">
      <c r="B1167" t="s">
        <v>266</v>
      </c>
      <c r="C1167">
        <v>2015</v>
      </c>
      <c r="D1167" s="1">
        <v>640000</v>
      </c>
      <c r="E1167">
        <v>70000</v>
      </c>
      <c r="F1167" t="s">
        <v>15</v>
      </c>
      <c r="G1167" t="s">
        <v>10</v>
      </c>
      <c r="H1167" t="s">
        <v>11</v>
      </c>
      <c r="I1167" t="s">
        <v>18</v>
      </c>
      <c r="J1167">
        <f t="shared" si="36"/>
        <v>11</v>
      </c>
      <c r="K1167" t="str">
        <f t="shared" si="37"/>
        <v>Mid Range</v>
      </c>
    </row>
    <row r="1168" spans="2:11" x14ac:dyDescent="0.25">
      <c r="B1168" t="s">
        <v>241</v>
      </c>
      <c r="C1168">
        <v>2014</v>
      </c>
      <c r="D1168" s="1">
        <v>160000</v>
      </c>
      <c r="E1168">
        <v>90000</v>
      </c>
      <c r="F1168" t="s">
        <v>9</v>
      </c>
      <c r="G1168" t="s">
        <v>10</v>
      </c>
      <c r="H1168" t="s">
        <v>11</v>
      </c>
      <c r="I1168" t="s">
        <v>12</v>
      </c>
      <c r="J1168">
        <f t="shared" si="36"/>
        <v>12</v>
      </c>
      <c r="K1168" t="str">
        <f t="shared" si="37"/>
        <v>Budget</v>
      </c>
    </row>
    <row r="1169" spans="2:11" x14ac:dyDescent="0.25">
      <c r="B1169" t="s">
        <v>743</v>
      </c>
      <c r="C1169">
        <v>2004</v>
      </c>
      <c r="D1169" s="1">
        <v>80000</v>
      </c>
      <c r="E1169">
        <v>46000</v>
      </c>
      <c r="F1169" t="s">
        <v>9</v>
      </c>
      <c r="G1169" t="s">
        <v>10</v>
      </c>
      <c r="H1169" t="s">
        <v>11</v>
      </c>
      <c r="I1169" t="s">
        <v>18</v>
      </c>
      <c r="J1169">
        <f t="shared" si="36"/>
        <v>22</v>
      </c>
      <c r="K1169" t="str">
        <f t="shared" si="37"/>
        <v>Budget</v>
      </c>
    </row>
    <row r="1170" spans="2:11" x14ac:dyDescent="0.25">
      <c r="B1170" t="s">
        <v>114</v>
      </c>
      <c r="C1170">
        <v>2013</v>
      </c>
      <c r="D1170" s="1">
        <v>340000</v>
      </c>
      <c r="E1170">
        <v>110000</v>
      </c>
      <c r="F1170" t="s">
        <v>15</v>
      </c>
      <c r="G1170" t="s">
        <v>10</v>
      </c>
      <c r="H1170" t="s">
        <v>11</v>
      </c>
      <c r="I1170" t="s">
        <v>18</v>
      </c>
      <c r="J1170">
        <f t="shared" si="36"/>
        <v>13</v>
      </c>
      <c r="K1170" t="str">
        <f t="shared" si="37"/>
        <v>Budget</v>
      </c>
    </row>
    <row r="1171" spans="2:11" x14ac:dyDescent="0.25">
      <c r="B1171" t="s">
        <v>295</v>
      </c>
      <c r="C1171">
        <v>2012</v>
      </c>
      <c r="D1171" s="1">
        <v>110000</v>
      </c>
      <c r="E1171">
        <v>80000</v>
      </c>
      <c r="F1171" t="s">
        <v>15</v>
      </c>
      <c r="G1171" t="s">
        <v>10</v>
      </c>
      <c r="H1171" t="s">
        <v>11</v>
      </c>
      <c r="I1171" t="s">
        <v>18</v>
      </c>
      <c r="J1171">
        <f t="shared" si="36"/>
        <v>14</v>
      </c>
      <c r="K1171" t="str">
        <f t="shared" si="37"/>
        <v>Budget</v>
      </c>
    </row>
    <row r="1172" spans="2:11" x14ac:dyDescent="0.25">
      <c r="B1172" t="s">
        <v>652</v>
      </c>
      <c r="C1172">
        <v>2013</v>
      </c>
      <c r="D1172" s="1">
        <v>250000</v>
      </c>
      <c r="E1172">
        <v>90000</v>
      </c>
      <c r="F1172" t="s">
        <v>15</v>
      </c>
      <c r="G1172" t="s">
        <v>10</v>
      </c>
      <c r="H1172" t="s">
        <v>11</v>
      </c>
      <c r="I1172" t="s">
        <v>18</v>
      </c>
      <c r="J1172">
        <f t="shared" si="36"/>
        <v>13</v>
      </c>
      <c r="K1172" t="str">
        <f t="shared" si="37"/>
        <v>Budget</v>
      </c>
    </row>
    <row r="1173" spans="2:11" x14ac:dyDescent="0.25">
      <c r="B1173" t="s">
        <v>492</v>
      </c>
      <c r="C1173">
        <v>2017</v>
      </c>
      <c r="D1173" s="1">
        <v>1300000</v>
      </c>
      <c r="E1173">
        <v>70000</v>
      </c>
      <c r="F1173" t="s">
        <v>15</v>
      </c>
      <c r="G1173" t="s">
        <v>10</v>
      </c>
      <c r="H1173" t="s">
        <v>11</v>
      </c>
      <c r="I1173" t="s">
        <v>12</v>
      </c>
      <c r="J1173">
        <f t="shared" si="36"/>
        <v>9</v>
      </c>
      <c r="K1173" t="str">
        <f t="shared" si="37"/>
        <v>Premium</v>
      </c>
    </row>
    <row r="1174" spans="2:11" x14ac:dyDescent="0.25">
      <c r="B1174" t="s">
        <v>732</v>
      </c>
      <c r="C1174">
        <v>2014</v>
      </c>
      <c r="D1174" s="1">
        <v>250000</v>
      </c>
      <c r="E1174">
        <v>1</v>
      </c>
      <c r="F1174" t="s">
        <v>15</v>
      </c>
      <c r="G1174" t="s">
        <v>10</v>
      </c>
      <c r="H1174" t="s">
        <v>11</v>
      </c>
      <c r="I1174" t="s">
        <v>18</v>
      </c>
      <c r="J1174">
        <f t="shared" si="36"/>
        <v>12</v>
      </c>
      <c r="K1174" t="str">
        <f t="shared" si="37"/>
        <v>Budget</v>
      </c>
    </row>
    <row r="1175" spans="2:11" x14ac:dyDescent="0.25">
      <c r="B1175" t="s">
        <v>314</v>
      </c>
      <c r="C1175">
        <v>2009</v>
      </c>
      <c r="D1175" s="1">
        <v>450000</v>
      </c>
      <c r="E1175">
        <v>192000</v>
      </c>
      <c r="F1175" t="s">
        <v>15</v>
      </c>
      <c r="G1175" t="s">
        <v>10</v>
      </c>
      <c r="H1175" t="s">
        <v>11</v>
      </c>
      <c r="I1175" t="s">
        <v>12</v>
      </c>
      <c r="J1175">
        <f t="shared" si="36"/>
        <v>17</v>
      </c>
      <c r="K1175" t="str">
        <f t="shared" si="37"/>
        <v>Budget</v>
      </c>
    </row>
    <row r="1176" spans="2:11" x14ac:dyDescent="0.25">
      <c r="B1176" t="s">
        <v>462</v>
      </c>
      <c r="C1176">
        <v>2013</v>
      </c>
      <c r="D1176" s="1">
        <v>240000</v>
      </c>
      <c r="E1176">
        <v>70000</v>
      </c>
      <c r="F1176" t="s">
        <v>9</v>
      </c>
      <c r="G1176" t="s">
        <v>10</v>
      </c>
      <c r="H1176" t="s">
        <v>11</v>
      </c>
      <c r="I1176" t="s">
        <v>46</v>
      </c>
      <c r="J1176">
        <f t="shared" si="36"/>
        <v>13</v>
      </c>
      <c r="K1176" t="str">
        <f t="shared" si="37"/>
        <v>Budget</v>
      </c>
    </row>
    <row r="1177" spans="2:11" x14ac:dyDescent="0.25">
      <c r="B1177" t="s">
        <v>374</v>
      </c>
      <c r="C1177">
        <v>2007</v>
      </c>
      <c r="D1177" s="1">
        <v>225000</v>
      </c>
      <c r="E1177">
        <v>120000</v>
      </c>
      <c r="F1177" t="s">
        <v>15</v>
      </c>
      <c r="G1177" t="s">
        <v>10</v>
      </c>
      <c r="H1177" t="s">
        <v>11</v>
      </c>
      <c r="I1177" t="s">
        <v>18</v>
      </c>
      <c r="J1177">
        <f t="shared" si="36"/>
        <v>19</v>
      </c>
      <c r="K1177" t="str">
        <f t="shared" si="37"/>
        <v>Budget</v>
      </c>
    </row>
    <row r="1178" spans="2:11" x14ac:dyDescent="0.25">
      <c r="B1178" t="s">
        <v>744</v>
      </c>
      <c r="C1178">
        <v>2015</v>
      </c>
      <c r="D1178" s="1">
        <v>275000</v>
      </c>
      <c r="E1178">
        <v>60000</v>
      </c>
      <c r="F1178" t="s">
        <v>9</v>
      </c>
      <c r="G1178" t="s">
        <v>10</v>
      </c>
      <c r="H1178" t="s">
        <v>11</v>
      </c>
      <c r="I1178" t="s">
        <v>18</v>
      </c>
      <c r="J1178">
        <f t="shared" si="36"/>
        <v>11</v>
      </c>
      <c r="K1178" t="str">
        <f t="shared" si="37"/>
        <v>Budget</v>
      </c>
    </row>
    <row r="1179" spans="2:11" x14ac:dyDescent="0.25">
      <c r="B1179" t="s">
        <v>745</v>
      </c>
      <c r="C1179">
        <v>2012</v>
      </c>
      <c r="D1179" s="1">
        <v>320000</v>
      </c>
      <c r="E1179">
        <v>120000</v>
      </c>
      <c r="F1179" t="s">
        <v>15</v>
      </c>
      <c r="G1179" t="s">
        <v>10</v>
      </c>
      <c r="H1179" t="s">
        <v>11</v>
      </c>
      <c r="I1179" t="s">
        <v>18</v>
      </c>
      <c r="J1179">
        <f t="shared" si="36"/>
        <v>14</v>
      </c>
      <c r="K1179" t="str">
        <f t="shared" si="37"/>
        <v>Budget</v>
      </c>
    </row>
    <row r="1180" spans="2:11" x14ac:dyDescent="0.25">
      <c r="B1180" t="s">
        <v>19</v>
      </c>
      <c r="C1180">
        <v>2008</v>
      </c>
      <c r="D1180" s="1">
        <v>75000</v>
      </c>
      <c r="E1180">
        <v>120000</v>
      </c>
      <c r="F1180" t="s">
        <v>9</v>
      </c>
      <c r="G1180" t="s">
        <v>10</v>
      </c>
      <c r="H1180" t="s">
        <v>11</v>
      </c>
      <c r="I1180" t="s">
        <v>12</v>
      </c>
      <c r="J1180">
        <f t="shared" si="36"/>
        <v>18</v>
      </c>
      <c r="K1180" t="str">
        <f t="shared" si="37"/>
        <v>Budget</v>
      </c>
    </row>
    <row r="1181" spans="2:11" x14ac:dyDescent="0.25">
      <c r="B1181" t="s">
        <v>504</v>
      </c>
      <c r="C1181">
        <v>2007</v>
      </c>
      <c r="D1181" s="1">
        <v>85000</v>
      </c>
      <c r="E1181">
        <v>50000</v>
      </c>
      <c r="F1181" t="s">
        <v>9</v>
      </c>
      <c r="G1181" t="s">
        <v>10</v>
      </c>
      <c r="H1181" t="s">
        <v>11</v>
      </c>
      <c r="I1181" t="s">
        <v>18</v>
      </c>
      <c r="J1181">
        <f t="shared" si="36"/>
        <v>19</v>
      </c>
      <c r="K1181" t="str">
        <f t="shared" si="37"/>
        <v>Budget</v>
      </c>
    </row>
    <row r="1182" spans="2:11" x14ac:dyDescent="0.25">
      <c r="B1182" t="s">
        <v>137</v>
      </c>
      <c r="C1182">
        <v>2009</v>
      </c>
      <c r="D1182" s="1">
        <v>90000</v>
      </c>
      <c r="E1182">
        <v>120000</v>
      </c>
      <c r="F1182" t="s">
        <v>15</v>
      </c>
      <c r="G1182" t="s">
        <v>10</v>
      </c>
      <c r="H1182" t="s">
        <v>11</v>
      </c>
      <c r="I1182" t="s">
        <v>12</v>
      </c>
      <c r="J1182">
        <f t="shared" si="36"/>
        <v>17</v>
      </c>
      <c r="K1182" t="str">
        <f t="shared" si="37"/>
        <v>Budget</v>
      </c>
    </row>
    <row r="1183" spans="2:11" x14ac:dyDescent="0.25">
      <c r="B1183" t="s">
        <v>13</v>
      </c>
      <c r="C1183">
        <v>2007</v>
      </c>
      <c r="D1183" s="1">
        <v>85000</v>
      </c>
      <c r="E1183">
        <v>80000</v>
      </c>
      <c r="F1183" t="s">
        <v>9</v>
      </c>
      <c r="G1183" t="s">
        <v>10</v>
      </c>
      <c r="H1183" t="s">
        <v>11</v>
      </c>
      <c r="I1183" t="s">
        <v>18</v>
      </c>
      <c r="J1183">
        <f t="shared" si="36"/>
        <v>19</v>
      </c>
      <c r="K1183" t="str">
        <f t="shared" si="37"/>
        <v>Budget</v>
      </c>
    </row>
    <row r="1184" spans="2:11" x14ac:dyDescent="0.25">
      <c r="B1184" t="s">
        <v>589</v>
      </c>
      <c r="C1184">
        <v>2008</v>
      </c>
      <c r="D1184" s="1">
        <v>350000</v>
      </c>
      <c r="E1184">
        <v>80000</v>
      </c>
      <c r="F1184" t="s">
        <v>15</v>
      </c>
      <c r="G1184" t="s">
        <v>10</v>
      </c>
      <c r="H1184" t="s">
        <v>11</v>
      </c>
      <c r="I1184" t="s">
        <v>18</v>
      </c>
      <c r="J1184">
        <f t="shared" si="36"/>
        <v>18</v>
      </c>
      <c r="K1184" t="str">
        <f t="shared" si="37"/>
        <v>Budget</v>
      </c>
    </row>
    <row r="1185" spans="2:11" x14ac:dyDescent="0.25">
      <c r="B1185" t="s">
        <v>746</v>
      </c>
      <c r="C1185">
        <v>2009</v>
      </c>
      <c r="D1185" s="1">
        <v>355000</v>
      </c>
      <c r="E1185">
        <v>100000</v>
      </c>
      <c r="F1185" t="s">
        <v>15</v>
      </c>
      <c r="G1185" t="s">
        <v>10</v>
      </c>
      <c r="H1185" t="s">
        <v>28</v>
      </c>
      <c r="I1185" t="s">
        <v>18</v>
      </c>
      <c r="J1185">
        <f t="shared" si="36"/>
        <v>17</v>
      </c>
      <c r="K1185" t="str">
        <f t="shared" si="37"/>
        <v>Budget</v>
      </c>
    </row>
    <row r="1186" spans="2:11" x14ac:dyDescent="0.25">
      <c r="B1186" t="s">
        <v>443</v>
      </c>
      <c r="C1186">
        <v>2020</v>
      </c>
      <c r="D1186" s="1">
        <v>619000</v>
      </c>
      <c r="E1186">
        <v>1500</v>
      </c>
      <c r="F1186" t="s">
        <v>9</v>
      </c>
      <c r="G1186" t="s">
        <v>10</v>
      </c>
      <c r="H1186" t="s">
        <v>11</v>
      </c>
      <c r="I1186" t="s">
        <v>12</v>
      </c>
      <c r="J1186">
        <f t="shared" si="36"/>
        <v>6</v>
      </c>
      <c r="K1186" t="str">
        <f t="shared" si="37"/>
        <v>Mid Range</v>
      </c>
    </row>
    <row r="1187" spans="2:11" x14ac:dyDescent="0.25">
      <c r="B1187" t="s">
        <v>747</v>
      </c>
      <c r="C1187">
        <v>2018</v>
      </c>
      <c r="D1187" s="1">
        <v>1700000</v>
      </c>
      <c r="E1187">
        <v>50000</v>
      </c>
      <c r="F1187" t="s">
        <v>15</v>
      </c>
      <c r="G1187" t="s">
        <v>10</v>
      </c>
      <c r="H1187" t="s">
        <v>11</v>
      </c>
      <c r="I1187" t="s">
        <v>12</v>
      </c>
      <c r="J1187">
        <f t="shared" si="36"/>
        <v>8</v>
      </c>
      <c r="K1187" t="str">
        <f t="shared" si="37"/>
        <v>Premium</v>
      </c>
    </row>
    <row r="1188" spans="2:11" x14ac:dyDescent="0.25">
      <c r="B1188" t="s">
        <v>748</v>
      </c>
      <c r="C1188">
        <v>2006</v>
      </c>
      <c r="D1188" s="1">
        <v>55000</v>
      </c>
      <c r="E1188">
        <v>100000</v>
      </c>
      <c r="F1188" t="s">
        <v>15</v>
      </c>
      <c r="G1188" t="s">
        <v>10</v>
      </c>
      <c r="H1188" t="s">
        <v>11</v>
      </c>
      <c r="I1188" t="s">
        <v>18</v>
      </c>
      <c r="J1188">
        <f t="shared" si="36"/>
        <v>20</v>
      </c>
      <c r="K1188" t="str">
        <f t="shared" si="37"/>
        <v>Budget</v>
      </c>
    </row>
    <row r="1189" spans="2:11" x14ac:dyDescent="0.25">
      <c r="B1189" t="s">
        <v>749</v>
      </c>
      <c r="C1189">
        <v>2006</v>
      </c>
      <c r="D1189" s="1">
        <v>95000</v>
      </c>
      <c r="E1189">
        <v>83411</v>
      </c>
      <c r="F1189" t="s">
        <v>9</v>
      </c>
      <c r="G1189" t="s">
        <v>10</v>
      </c>
      <c r="H1189" t="s">
        <v>11</v>
      </c>
      <c r="I1189" t="s">
        <v>12</v>
      </c>
      <c r="J1189">
        <f t="shared" si="36"/>
        <v>20</v>
      </c>
      <c r="K1189" t="str">
        <f t="shared" si="37"/>
        <v>Budget</v>
      </c>
    </row>
    <row r="1190" spans="2:11" x14ac:dyDescent="0.25">
      <c r="B1190" t="s">
        <v>370</v>
      </c>
      <c r="C1190">
        <v>2011</v>
      </c>
      <c r="D1190" s="1">
        <v>300000</v>
      </c>
      <c r="E1190">
        <v>120000</v>
      </c>
      <c r="F1190" t="s">
        <v>15</v>
      </c>
      <c r="G1190" t="s">
        <v>10</v>
      </c>
      <c r="H1190" t="s">
        <v>11</v>
      </c>
      <c r="I1190" t="s">
        <v>18</v>
      </c>
      <c r="J1190">
        <f t="shared" si="36"/>
        <v>15</v>
      </c>
      <c r="K1190" t="str">
        <f t="shared" si="37"/>
        <v>Budget</v>
      </c>
    </row>
    <row r="1191" spans="2:11" x14ac:dyDescent="0.25">
      <c r="B1191" t="s">
        <v>749</v>
      </c>
      <c r="C1191">
        <v>2006</v>
      </c>
      <c r="D1191" s="1">
        <v>81000</v>
      </c>
      <c r="E1191">
        <v>83411</v>
      </c>
      <c r="F1191" t="s">
        <v>9</v>
      </c>
      <c r="G1191" t="s">
        <v>10</v>
      </c>
      <c r="H1191" t="s">
        <v>11</v>
      </c>
      <c r="I1191" t="s">
        <v>12</v>
      </c>
      <c r="J1191">
        <f t="shared" si="36"/>
        <v>20</v>
      </c>
      <c r="K1191" t="str">
        <f t="shared" si="37"/>
        <v>Budget</v>
      </c>
    </row>
    <row r="1192" spans="2:11" x14ac:dyDescent="0.25">
      <c r="B1192" t="s">
        <v>746</v>
      </c>
      <c r="C1192">
        <v>2015</v>
      </c>
      <c r="D1192" s="1">
        <v>1000000</v>
      </c>
      <c r="E1192">
        <v>80000</v>
      </c>
      <c r="F1192" t="s">
        <v>15</v>
      </c>
      <c r="G1192" t="s">
        <v>10</v>
      </c>
      <c r="H1192" t="s">
        <v>28</v>
      </c>
      <c r="I1192" t="s">
        <v>18</v>
      </c>
      <c r="J1192">
        <f t="shared" si="36"/>
        <v>11</v>
      </c>
      <c r="K1192" t="str">
        <f t="shared" si="37"/>
        <v>Mid Range</v>
      </c>
    </row>
    <row r="1193" spans="2:11" x14ac:dyDescent="0.25">
      <c r="B1193" t="s">
        <v>118</v>
      </c>
      <c r="C1193">
        <v>2019</v>
      </c>
      <c r="D1193" s="1">
        <v>925000</v>
      </c>
      <c r="E1193">
        <v>50000</v>
      </c>
      <c r="F1193" t="s">
        <v>15</v>
      </c>
      <c r="G1193" t="s">
        <v>10</v>
      </c>
      <c r="H1193" t="s">
        <v>11</v>
      </c>
      <c r="I1193" t="s">
        <v>12</v>
      </c>
      <c r="J1193">
        <f t="shared" si="36"/>
        <v>7</v>
      </c>
      <c r="K1193" t="str">
        <f t="shared" si="37"/>
        <v>Mid Range</v>
      </c>
    </row>
    <row r="1194" spans="2:11" x14ac:dyDescent="0.25">
      <c r="B1194" t="s">
        <v>266</v>
      </c>
      <c r="C1194">
        <v>2015</v>
      </c>
      <c r="D1194" s="1">
        <v>450000</v>
      </c>
      <c r="E1194">
        <v>40000</v>
      </c>
      <c r="F1194" t="s">
        <v>15</v>
      </c>
      <c r="G1194" t="s">
        <v>10</v>
      </c>
      <c r="H1194" t="s">
        <v>11</v>
      </c>
      <c r="I1194" t="s">
        <v>12</v>
      </c>
      <c r="J1194">
        <f t="shared" si="36"/>
        <v>11</v>
      </c>
      <c r="K1194" t="str">
        <f t="shared" si="37"/>
        <v>Budget</v>
      </c>
    </row>
    <row r="1195" spans="2:11" x14ac:dyDescent="0.25">
      <c r="B1195" t="s">
        <v>750</v>
      </c>
      <c r="C1195">
        <v>2014</v>
      </c>
      <c r="D1195" s="1">
        <v>600000</v>
      </c>
      <c r="E1195">
        <v>13270</v>
      </c>
      <c r="F1195" t="s">
        <v>15</v>
      </c>
      <c r="G1195" t="s">
        <v>10</v>
      </c>
      <c r="H1195" t="s">
        <v>11</v>
      </c>
      <c r="I1195" t="s">
        <v>12</v>
      </c>
      <c r="J1195">
        <f t="shared" si="36"/>
        <v>12</v>
      </c>
      <c r="K1195" t="str">
        <f t="shared" si="37"/>
        <v>Mid Range</v>
      </c>
    </row>
    <row r="1196" spans="2:11" x14ac:dyDescent="0.25">
      <c r="B1196" t="s">
        <v>751</v>
      </c>
      <c r="C1196">
        <v>2006</v>
      </c>
      <c r="D1196" s="1">
        <v>85000</v>
      </c>
      <c r="E1196">
        <v>100000</v>
      </c>
      <c r="F1196" t="s">
        <v>9</v>
      </c>
      <c r="G1196" t="s">
        <v>10</v>
      </c>
      <c r="H1196" t="s">
        <v>28</v>
      </c>
      <c r="I1196" t="s">
        <v>49</v>
      </c>
      <c r="J1196">
        <f t="shared" si="36"/>
        <v>20</v>
      </c>
      <c r="K1196" t="str">
        <f t="shared" si="37"/>
        <v>Budget</v>
      </c>
    </row>
    <row r="1197" spans="2:11" x14ac:dyDescent="0.25">
      <c r="B1197" t="s">
        <v>752</v>
      </c>
      <c r="C1197">
        <v>2016</v>
      </c>
      <c r="D1197" s="1">
        <v>700000</v>
      </c>
      <c r="E1197">
        <v>50000</v>
      </c>
      <c r="F1197" t="s">
        <v>15</v>
      </c>
      <c r="G1197" t="s">
        <v>10</v>
      </c>
      <c r="H1197" t="s">
        <v>11</v>
      </c>
      <c r="I1197" t="s">
        <v>12</v>
      </c>
      <c r="J1197">
        <f t="shared" si="36"/>
        <v>10</v>
      </c>
      <c r="K1197" t="str">
        <f t="shared" si="37"/>
        <v>Mid Range</v>
      </c>
    </row>
    <row r="1198" spans="2:11" x14ac:dyDescent="0.25">
      <c r="B1198" t="s">
        <v>753</v>
      </c>
      <c r="C1198">
        <v>2017</v>
      </c>
      <c r="D1198" s="1">
        <v>486000</v>
      </c>
      <c r="E1198">
        <v>26500</v>
      </c>
      <c r="F1198" t="s">
        <v>9</v>
      </c>
      <c r="G1198" t="s">
        <v>10</v>
      </c>
      <c r="H1198" t="s">
        <v>11</v>
      </c>
      <c r="I1198" t="s">
        <v>12</v>
      </c>
      <c r="J1198">
        <f t="shared" si="36"/>
        <v>9</v>
      </c>
      <c r="K1198" t="str">
        <f t="shared" si="37"/>
        <v>Budget</v>
      </c>
    </row>
    <row r="1199" spans="2:11" x14ac:dyDescent="0.25">
      <c r="B1199" t="s">
        <v>354</v>
      </c>
      <c r="C1199">
        <v>2013</v>
      </c>
      <c r="D1199" s="1">
        <v>400000</v>
      </c>
      <c r="E1199">
        <v>90000</v>
      </c>
      <c r="F1199" t="s">
        <v>15</v>
      </c>
      <c r="G1199" t="s">
        <v>10</v>
      </c>
      <c r="H1199" t="s">
        <v>11</v>
      </c>
      <c r="I1199" t="s">
        <v>12</v>
      </c>
      <c r="J1199">
        <f t="shared" si="36"/>
        <v>13</v>
      </c>
      <c r="K1199" t="str">
        <f t="shared" si="37"/>
        <v>Budget</v>
      </c>
    </row>
    <row r="1200" spans="2:11" x14ac:dyDescent="0.25">
      <c r="B1200" t="s">
        <v>754</v>
      </c>
      <c r="C1200">
        <v>2008</v>
      </c>
      <c r="D1200" s="1">
        <v>120000</v>
      </c>
      <c r="E1200">
        <v>100000</v>
      </c>
      <c r="F1200" t="s">
        <v>9</v>
      </c>
      <c r="G1200" t="s">
        <v>10</v>
      </c>
      <c r="H1200" t="s">
        <v>11</v>
      </c>
      <c r="I1200" t="s">
        <v>49</v>
      </c>
      <c r="J1200">
        <f t="shared" si="36"/>
        <v>18</v>
      </c>
      <c r="K1200" t="str">
        <f t="shared" si="37"/>
        <v>Budget</v>
      </c>
    </row>
    <row r="1201" spans="2:11" x14ac:dyDescent="0.25">
      <c r="B1201" t="s">
        <v>249</v>
      </c>
      <c r="C1201">
        <v>2018</v>
      </c>
      <c r="D1201" s="1">
        <v>275000</v>
      </c>
      <c r="E1201">
        <v>35000</v>
      </c>
      <c r="F1201" t="s">
        <v>9</v>
      </c>
      <c r="G1201" t="s">
        <v>10</v>
      </c>
      <c r="H1201" t="s">
        <v>11</v>
      </c>
      <c r="I1201" t="s">
        <v>12</v>
      </c>
      <c r="J1201">
        <f t="shared" si="36"/>
        <v>8</v>
      </c>
      <c r="K1201" t="str">
        <f t="shared" si="37"/>
        <v>Budget</v>
      </c>
    </row>
    <row r="1202" spans="2:11" x14ac:dyDescent="0.25">
      <c r="B1202" t="s">
        <v>755</v>
      </c>
      <c r="C1202">
        <v>2016</v>
      </c>
      <c r="D1202" s="1">
        <v>580000</v>
      </c>
      <c r="E1202">
        <v>57000</v>
      </c>
      <c r="F1202" t="s">
        <v>15</v>
      </c>
      <c r="G1202" t="s">
        <v>10</v>
      </c>
      <c r="H1202" t="s">
        <v>11</v>
      </c>
      <c r="I1202" t="s">
        <v>12</v>
      </c>
      <c r="J1202">
        <f t="shared" si="36"/>
        <v>10</v>
      </c>
      <c r="K1202" t="str">
        <f t="shared" si="37"/>
        <v>Mid Range</v>
      </c>
    </row>
    <row r="1203" spans="2:11" x14ac:dyDescent="0.25">
      <c r="B1203" t="s">
        <v>756</v>
      </c>
      <c r="C1203">
        <v>2015</v>
      </c>
      <c r="D1203" s="1">
        <v>375000</v>
      </c>
      <c r="E1203">
        <v>70000</v>
      </c>
      <c r="F1203" t="s">
        <v>9</v>
      </c>
      <c r="G1203" t="s">
        <v>10</v>
      </c>
      <c r="H1203" t="s">
        <v>11</v>
      </c>
      <c r="I1203" t="s">
        <v>12</v>
      </c>
      <c r="J1203">
        <f t="shared" si="36"/>
        <v>11</v>
      </c>
      <c r="K1203" t="str">
        <f t="shared" si="37"/>
        <v>Budget</v>
      </c>
    </row>
    <row r="1204" spans="2:11" x14ac:dyDescent="0.25">
      <c r="B1204" t="s">
        <v>53</v>
      </c>
      <c r="C1204">
        <v>2015</v>
      </c>
      <c r="D1204" s="1">
        <v>229999</v>
      </c>
      <c r="E1204">
        <v>100000</v>
      </c>
      <c r="F1204" t="s">
        <v>9</v>
      </c>
      <c r="G1204" t="s">
        <v>10</v>
      </c>
      <c r="H1204" t="s">
        <v>11</v>
      </c>
      <c r="I1204" t="s">
        <v>49</v>
      </c>
      <c r="J1204">
        <f t="shared" si="36"/>
        <v>11</v>
      </c>
      <c r="K1204" t="str">
        <f t="shared" si="37"/>
        <v>Budget</v>
      </c>
    </row>
    <row r="1205" spans="2:11" x14ac:dyDescent="0.25">
      <c r="B1205" t="s">
        <v>172</v>
      </c>
      <c r="C1205">
        <v>2010</v>
      </c>
      <c r="D1205" s="1">
        <v>110000</v>
      </c>
      <c r="E1205">
        <v>88000</v>
      </c>
      <c r="F1205" t="s">
        <v>9</v>
      </c>
      <c r="G1205" t="s">
        <v>10</v>
      </c>
      <c r="H1205" t="s">
        <v>11</v>
      </c>
      <c r="I1205" t="s">
        <v>18</v>
      </c>
      <c r="J1205">
        <f t="shared" si="36"/>
        <v>16</v>
      </c>
      <c r="K1205" t="str">
        <f t="shared" si="37"/>
        <v>Budget</v>
      </c>
    </row>
    <row r="1206" spans="2:11" x14ac:dyDescent="0.25">
      <c r="B1206" t="s">
        <v>114</v>
      </c>
      <c r="C1206">
        <v>2017</v>
      </c>
      <c r="D1206" s="1">
        <v>600000</v>
      </c>
      <c r="E1206">
        <v>60000</v>
      </c>
      <c r="F1206" t="s">
        <v>15</v>
      </c>
      <c r="G1206" t="s">
        <v>10</v>
      </c>
      <c r="H1206" t="s">
        <v>11</v>
      </c>
      <c r="I1206" t="s">
        <v>12</v>
      </c>
      <c r="J1206">
        <f t="shared" si="36"/>
        <v>9</v>
      </c>
      <c r="K1206" t="str">
        <f t="shared" si="37"/>
        <v>Mid Range</v>
      </c>
    </row>
    <row r="1207" spans="2:11" x14ac:dyDescent="0.25">
      <c r="B1207" t="s">
        <v>269</v>
      </c>
      <c r="C1207">
        <v>2009</v>
      </c>
      <c r="D1207" s="1">
        <v>120000</v>
      </c>
      <c r="E1207">
        <v>76000</v>
      </c>
      <c r="F1207" t="s">
        <v>9</v>
      </c>
      <c r="G1207" t="s">
        <v>10</v>
      </c>
      <c r="H1207" t="s">
        <v>11</v>
      </c>
      <c r="I1207" t="s">
        <v>18</v>
      </c>
      <c r="J1207">
        <f t="shared" si="36"/>
        <v>17</v>
      </c>
      <c r="K1207" t="str">
        <f t="shared" si="37"/>
        <v>Budget</v>
      </c>
    </row>
    <row r="1208" spans="2:11" x14ac:dyDescent="0.25">
      <c r="B1208" t="s">
        <v>180</v>
      </c>
      <c r="C1208">
        <v>2010</v>
      </c>
      <c r="D1208" s="1">
        <v>200000</v>
      </c>
      <c r="E1208">
        <v>100000</v>
      </c>
      <c r="F1208" t="s">
        <v>15</v>
      </c>
      <c r="G1208" t="s">
        <v>10</v>
      </c>
      <c r="H1208" t="s">
        <v>11</v>
      </c>
      <c r="I1208" t="s">
        <v>18</v>
      </c>
      <c r="J1208">
        <f t="shared" si="36"/>
        <v>16</v>
      </c>
      <c r="K1208" t="str">
        <f t="shared" si="37"/>
        <v>Budget</v>
      </c>
    </row>
    <row r="1209" spans="2:11" x14ac:dyDescent="0.25">
      <c r="B1209" t="s">
        <v>243</v>
      </c>
      <c r="C1209">
        <v>2012</v>
      </c>
      <c r="D1209" s="1">
        <v>450000</v>
      </c>
      <c r="E1209">
        <v>110000</v>
      </c>
      <c r="F1209" t="s">
        <v>15</v>
      </c>
      <c r="G1209" t="s">
        <v>10</v>
      </c>
      <c r="H1209" t="s">
        <v>11</v>
      </c>
      <c r="I1209" t="s">
        <v>18</v>
      </c>
      <c r="J1209">
        <f t="shared" si="36"/>
        <v>14</v>
      </c>
      <c r="K1209" t="str">
        <f t="shared" si="37"/>
        <v>Budget</v>
      </c>
    </row>
    <row r="1210" spans="2:11" x14ac:dyDescent="0.25">
      <c r="B1210" t="s">
        <v>243</v>
      </c>
      <c r="C1210">
        <v>2012</v>
      </c>
      <c r="D1210" s="1">
        <v>550000</v>
      </c>
      <c r="E1210">
        <v>80000</v>
      </c>
      <c r="F1210" t="s">
        <v>15</v>
      </c>
      <c r="G1210" t="s">
        <v>10</v>
      </c>
      <c r="H1210" t="s">
        <v>11</v>
      </c>
      <c r="I1210" t="s">
        <v>18</v>
      </c>
      <c r="J1210">
        <f t="shared" si="36"/>
        <v>14</v>
      </c>
      <c r="K1210" t="str">
        <f t="shared" si="37"/>
        <v>Mid Range</v>
      </c>
    </row>
    <row r="1211" spans="2:11" x14ac:dyDescent="0.25">
      <c r="B1211" t="s">
        <v>172</v>
      </c>
      <c r="C1211">
        <v>2012</v>
      </c>
      <c r="D1211" s="1">
        <v>220000</v>
      </c>
      <c r="E1211">
        <v>80000</v>
      </c>
      <c r="F1211" t="s">
        <v>9</v>
      </c>
      <c r="G1211" t="s">
        <v>10</v>
      </c>
      <c r="H1211" t="s">
        <v>11</v>
      </c>
      <c r="I1211" t="s">
        <v>18</v>
      </c>
      <c r="J1211">
        <f t="shared" si="36"/>
        <v>14</v>
      </c>
      <c r="K1211" t="str">
        <f t="shared" si="37"/>
        <v>Budget</v>
      </c>
    </row>
    <row r="1212" spans="2:11" x14ac:dyDescent="0.25">
      <c r="B1212" t="s">
        <v>757</v>
      </c>
      <c r="C1212">
        <v>2001</v>
      </c>
      <c r="D1212" s="1">
        <v>40000</v>
      </c>
      <c r="E1212">
        <v>30000</v>
      </c>
      <c r="F1212" t="s">
        <v>9</v>
      </c>
      <c r="G1212" t="s">
        <v>10</v>
      </c>
      <c r="H1212" t="s">
        <v>11</v>
      </c>
      <c r="I1212" t="s">
        <v>12</v>
      </c>
      <c r="J1212">
        <f t="shared" si="36"/>
        <v>25</v>
      </c>
      <c r="K1212" t="str">
        <f t="shared" si="37"/>
        <v>Budget</v>
      </c>
    </row>
    <row r="1213" spans="2:11" x14ac:dyDescent="0.25">
      <c r="B1213" t="s">
        <v>758</v>
      </c>
      <c r="C1213">
        <v>2017</v>
      </c>
      <c r="D1213" s="1">
        <v>300000</v>
      </c>
      <c r="E1213">
        <v>20000</v>
      </c>
      <c r="F1213" t="s">
        <v>9</v>
      </c>
      <c r="G1213" t="s">
        <v>10</v>
      </c>
      <c r="H1213" t="s">
        <v>28</v>
      </c>
      <c r="I1213" t="s">
        <v>12</v>
      </c>
      <c r="J1213">
        <f t="shared" si="36"/>
        <v>9</v>
      </c>
      <c r="K1213" t="str">
        <f t="shared" si="37"/>
        <v>Budget</v>
      </c>
    </row>
    <row r="1214" spans="2:11" x14ac:dyDescent="0.25">
      <c r="B1214" t="s">
        <v>759</v>
      </c>
      <c r="C1214">
        <v>2018</v>
      </c>
      <c r="D1214" s="1">
        <v>630000</v>
      </c>
      <c r="E1214">
        <v>40000</v>
      </c>
      <c r="F1214" t="s">
        <v>15</v>
      </c>
      <c r="G1214" t="s">
        <v>10</v>
      </c>
      <c r="H1214" t="s">
        <v>11</v>
      </c>
      <c r="I1214" t="s">
        <v>12</v>
      </c>
      <c r="J1214">
        <f t="shared" si="36"/>
        <v>8</v>
      </c>
      <c r="K1214" t="str">
        <f t="shared" si="37"/>
        <v>Mid Range</v>
      </c>
    </row>
    <row r="1215" spans="2:11" x14ac:dyDescent="0.25">
      <c r="B1215" t="s">
        <v>114</v>
      </c>
      <c r="C1215">
        <v>2017</v>
      </c>
      <c r="D1215" s="1">
        <v>610000</v>
      </c>
      <c r="E1215">
        <v>40000</v>
      </c>
      <c r="F1215" t="s">
        <v>15</v>
      </c>
      <c r="G1215" t="s">
        <v>10</v>
      </c>
      <c r="H1215" t="s">
        <v>11</v>
      </c>
      <c r="I1215" t="s">
        <v>18</v>
      </c>
      <c r="J1215">
        <f t="shared" si="36"/>
        <v>9</v>
      </c>
      <c r="K1215" t="str">
        <f t="shared" si="37"/>
        <v>Mid Range</v>
      </c>
    </row>
    <row r="1216" spans="2:11" x14ac:dyDescent="0.25">
      <c r="B1216" t="s">
        <v>760</v>
      </c>
      <c r="C1216">
        <v>2019</v>
      </c>
      <c r="D1216" s="1">
        <v>660000</v>
      </c>
      <c r="E1216">
        <v>7000</v>
      </c>
      <c r="F1216" t="s">
        <v>9</v>
      </c>
      <c r="G1216" t="s">
        <v>10</v>
      </c>
      <c r="H1216" t="s">
        <v>11</v>
      </c>
      <c r="I1216" t="s">
        <v>18</v>
      </c>
      <c r="J1216">
        <f t="shared" si="36"/>
        <v>7</v>
      </c>
      <c r="K1216" t="str">
        <f t="shared" si="37"/>
        <v>Mid Range</v>
      </c>
    </row>
    <row r="1217" spans="2:11" x14ac:dyDescent="0.25">
      <c r="B1217" t="s">
        <v>761</v>
      </c>
      <c r="C1217">
        <v>2012</v>
      </c>
      <c r="D1217" s="1">
        <v>220000</v>
      </c>
      <c r="E1217">
        <v>80000</v>
      </c>
      <c r="F1217" t="s">
        <v>152</v>
      </c>
      <c r="G1217" t="s">
        <v>10</v>
      </c>
      <c r="H1217" t="s">
        <v>11</v>
      </c>
      <c r="I1217" t="s">
        <v>18</v>
      </c>
      <c r="J1217">
        <f t="shared" si="36"/>
        <v>14</v>
      </c>
      <c r="K1217" t="str">
        <f t="shared" si="37"/>
        <v>Budget</v>
      </c>
    </row>
    <row r="1218" spans="2:11" x14ac:dyDescent="0.25">
      <c r="B1218" t="s">
        <v>762</v>
      </c>
      <c r="C1218">
        <v>2011</v>
      </c>
      <c r="D1218" s="1">
        <v>138000</v>
      </c>
      <c r="E1218">
        <v>90000</v>
      </c>
      <c r="F1218" t="s">
        <v>15</v>
      </c>
      <c r="G1218" t="s">
        <v>10</v>
      </c>
      <c r="H1218" t="s">
        <v>11</v>
      </c>
      <c r="I1218" t="s">
        <v>18</v>
      </c>
      <c r="J1218">
        <f t="shared" si="36"/>
        <v>15</v>
      </c>
      <c r="K1218" t="str">
        <f t="shared" si="37"/>
        <v>Budget</v>
      </c>
    </row>
    <row r="1219" spans="2:11" x14ac:dyDescent="0.25">
      <c r="B1219" t="s">
        <v>762</v>
      </c>
      <c r="C1219">
        <v>2013</v>
      </c>
      <c r="D1219" s="1">
        <v>210000</v>
      </c>
      <c r="E1219">
        <v>13770</v>
      </c>
      <c r="F1219" t="s">
        <v>15</v>
      </c>
      <c r="G1219" t="s">
        <v>10</v>
      </c>
      <c r="H1219" t="s">
        <v>11</v>
      </c>
      <c r="I1219" t="s">
        <v>12</v>
      </c>
      <c r="J1219">
        <f t="shared" si="36"/>
        <v>13</v>
      </c>
      <c r="K1219" t="str">
        <f t="shared" si="37"/>
        <v>Budget</v>
      </c>
    </row>
    <row r="1220" spans="2:11" x14ac:dyDescent="0.25">
      <c r="B1220" t="s">
        <v>763</v>
      </c>
      <c r="C1220">
        <v>2005</v>
      </c>
      <c r="D1220" s="1">
        <v>125000</v>
      </c>
      <c r="E1220">
        <v>34000</v>
      </c>
      <c r="F1220" t="s">
        <v>9</v>
      </c>
      <c r="G1220" t="s">
        <v>27</v>
      </c>
      <c r="H1220" t="s">
        <v>11</v>
      </c>
      <c r="I1220" t="s">
        <v>12</v>
      </c>
      <c r="J1220">
        <f t="shared" si="36"/>
        <v>21</v>
      </c>
      <c r="K1220" t="str">
        <f t="shared" si="37"/>
        <v>Budget</v>
      </c>
    </row>
    <row r="1221" spans="2:11" x14ac:dyDescent="0.25">
      <c r="B1221" t="s">
        <v>211</v>
      </c>
      <c r="C1221">
        <v>2008</v>
      </c>
      <c r="D1221" s="1">
        <v>125000</v>
      </c>
      <c r="E1221">
        <v>102000</v>
      </c>
      <c r="F1221" t="s">
        <v>9</v>
      </c>
      <c r="G1221" t="s">
        <v>27</v>
      </c>
      <c r="H1221" t="s">
        <v>11</v>
      </c>
      <c r="I1221" t="s">
        <v>12</v>
      </c>
      <c r="J1221">
        <f t="shared" si="36"/>
        <v>18</v>
      </c>
      <c r="K1221" t="str">
        <f t="shared" si="37"/>
        <v>Budget</v>
      </c>
    </row>
    <row r="1222" spans="2:11" x14ac:dyDescent="0.25">
      <c r="B1222" t="s">
        <v>764</v>
      </c>
      <c r="C1222">
        <v>2014</v>
      </c>
      <c r="D1222" s="1">
        <v>725000</v>
      </c>
      <c r="E1222">
        <v>110000</v>
      </c>
      <c r="F1222" t="s">
        <v>15</v>
      </c>
      <c r="G1222" t="s">
        <v>10</v>
      </c>
      <c r="H1222" t="s">
        <v>11</v>
      </c>
      <c r="I1222" t="s">
        <v>12</v>
      </c>
      <c r="J1222">
        <f t="shared" ref="J1222:J1285" si="38">2026 - C1222</f>
        <v>12</v>
      </c>
      <c r="K1222" t="str">
        <f t="shared" ref="K1222:K1285" si="39">IF(D1222&lt;500000,"Budget",IF(D1222&lt;=1000000,"Mid Range","Premium"))</f>
        <v>Mid Range</v>
      </c>
    </row>
    <row r="1223" spans="2:11" x14ac:dyDescent="0.25">
      <c r="B1223" t="s">
        <v>453</v>
      </c>
      <c r="C1223">
        <v>2011</v>
      </c>
      <c r="D1223" s="1">
        <v>170000</v>
      </c>
      <c r="E1223">
        <v>90000</v>
      </c>
      <c r="F1223" t="s">
        <v>9</v>
      </c>
      <c r="G1223" t="s">
        <v>10</v>
      </c>
      <c r="H1223" t="s">
        <v>11</v>
      </c>
      <c r="I1223" t="s">
        <v>18</v>
      </c>
      <c r="J1223">
        <f t="shared" si="38"/>
        <v>15</v>
      </c>
      <c r="K1223" t="str">
        <f t="shared" si="39"/>
        <v>Budget</v>
      </c>
    </row>
    <row r="1224" spans="2:11" x14ac:dyDescent="0.25">
      <c r="B1224" t="s">
        <v>765</v>
      </c>
      <c r="C1224">
        <v>2015</v>
      </c>
      <c r="D1224" s="1">
        <v>1200000</v>
      </c>
      <c r="E1224">
        <v>70000</v>
      </c>
      <c r="F1224" t="s">
        <v>15</v>
      </c>
      <c r="G1224" t="s">
        <v>10</v>
      </c>
      <c r="H1224" t="s">
        <v>11</v>
      </c>
      <c r="I1224" t="s">
        <v>49</v>
      </c>
      <c r="J1224">
        <f t="shared" si="38"/>
        <v>11</v>
      </c>
      <c r="K1224" t="str">
        <f t="shared" si="39"/>
        <v>Premium</v>
      </c>
    </row>
    <row r="1225" spans="2:11" x14ac:dyDescent="0.25">
      <c r="B1225" t="s">
        <v>680</v>
      </c>
      <c r="C1225">
        <v>2003</v>
      </c>
      <c r="D1225" s="1">
        <v>70000</v>
      </c>
      <c r="E1225">
        <v>90000</v>
      </c>
      <c r="F1225" t="s">
        <v>9</v>
      </c>
      <c r="G1225" t="s">
        <v>10</v>
      </c>
      <c r="H1225" t="s">
        <v>11</v>
      </c>
      <c r="I1225" t="s">
        <v>18</v>
      </c>
      <c r="J1225">
        <f t="shared" si="38"/>
        <v>23</v>
      </c>
      <c r="K1225" t="str">
        <f t="shared" si="39"/>
        <v>Budget</v>
      </c>
    </row>
    <row r="1226" spans="2:11" x14ac:dyDescent="0.25">
      <c r="B1226" t="s">
        <v>58</v>
      </c>
      <c r="C1226">
        <v>2007</v>
      </c>
      <c r="D1226" s="1">
        <v>100000</v>
      </c>
      <c r="E1226">
        <v>70000</v>
      </c>
      <c r="F1226" t="s">
        <v>9</v>
      </c>
      <c r="G1226" t="s">
        <v>10</v>
      </c>
      <c r="H1226" t="s">
        <v>11</v>
      </c>
      <c r="I1226" t="s">
        <v>18</v>
      </c>
      <c r="J1226">
        <f t="shared" si="38"/>
        <v>19</v>
      </c>
      <c r="K1226" t="str">
        <f t="shared" si="39"/>
        <v>Budget</v>
      </c>
    </row>
    <row r="1227" spans="2:11" x14ac:dyDescent="0.25">
      <c r="B1227" t="s">
        <v>766</v>
      </c>
      <c r="C1227">
        <v>2006</v>
      </c>
      <c r="D1227" s="1">
        <v>300000</v>
      </c>
      <c r="E1227">
        <v>80000</v>
      </c>
      <c r="F1227" t="s">
        <v>9</v>
      </c>
      <c r="G1227" t="s">
        <v>10</v>
      </c>
      <c r="H1227" t="s">
        <v>11</v>
      </c>
      <c r="I1227" t="s">
        <v>18</v>
      </c>
      <c r="J1227">
        <f t="shared" si="38"/>
        <v>20</v>
      </c>
      <c r="K1227" t="str">
        <f t="shared" si="39"/>
        <v>Budget</v>
      </c>
    </row>
    <row r="1228" spans="2:11" x14ac:dyDescent="0.25">
      <c r="B1228" t="s">
        <v>354</v>
      </c>
      <c r="C1228">
        <v>2013</v>
      </c>
      <c r="D1228" s="1">
        <v>450000</v>
      </c>
      <c r="E1228">
        <v>100000</v>
      </c>
      <c r="F1228" t="s">
        <v>15</v>
      </c>
      <c r="G1228" t="s">
        <v>10</v>
      </c>
      <c r="H1228" t="s">
        <v>11</v>
      </c>
      <c r="I1228" t="s">
        <v>18</v>
      </c>
      <c r="J1228">
        <f t="shared" si="38"/>
        <v>13</v>
      </c>
      <c r="K1228" t="str">
        <f t="shared" si="39"/>
        <v>Budget</v>
      </c>
    </row>
    <row r="1229" spans="2:11" x14ac:dyDescent="0.25">
      <c r="B1229" t="s">
        <v>114</v>
      </c>
      <c r="C1229">
        <v>2015</v>
      </c>
      <c r="D1229" s="1">
        <v>530000</v>
      </c>
      <c r="E1229">
        <v>100000</v>
      </c>
      <c r="F1229" t="s">
        <v>15</v>
      </c>
      <c r="G1229" t="s">
        <v>10</v>
      </c>
      <c r="H1229" t="s">
        <v>11</v>
      </c>
      <c r="I1229" t="s">
        <v>12</v>
      </c>
      <c r="J1229">
        <f t="shared" si="38"/>
        <v>11</v>
      </c>
      <c r="K1229" t="str">
        <f t="shared" si="39"/>
        <v>Mid Range</v>
      </c>
    </row>
    <row r="1230" spans="2:11" x14ac:dyDescent="0.25">
      <c r="B1230" t="s">
        <v>767</v>
      </c>
      <c r="C1230">
        <v>2007</v>
      </c>
      <c r="D1230" s="1">
        <v>100000</v>
      </c>
      <c r="E1230">
        <v>143000</v>
      </c>
      <c r="F1230" t="s">
        <v>9</v>
      </c>
      <c r="G1230" t="s">
        <v>10</v>
      </c>
      <c r="H1230" t="s">
        <v>11</v>
      </c>
      <c r="I1230" t="s">
        <v>49</v>
      </c>
      <c r="J1230">
        <f t="shared" si="38"/>
        <v>19</v>
      </c>
      <c r="K1230" t="str">
        <f t="shared" si="39"/>
        <v>Budget</v>
      </c>
    </row>
    <row r="1231" spans="2:11" x14ac:dyDescent="0.25">
      <c r="B1231" t="s">
        <v>768</v>
      </c>
      <c r="C1231">
        <v>2010</v>
      </c>
      <c r="D1231" s="1">
        <v>350000</v>
      </c>
      <c r="E1231">
        <v>115000</v>
      </c>
      <c r="F1231" t="s">
        <v>9</v>
      </c>
      <c r="G1231" t="s">
        <v>10</v>
      </c>
      <c r="H1231" t="s">
        <v>11</v>
      </c>
      <c r="I1231" t="s">
        <v>18</v>
      </c>
      <c r="J1231">
        <f t="shared" si="38"/>
        <v>16</v>
      </c>
      <c r="K1231" t="str">
        <f t="shared" si="39"/>
        <v>Budget</v>
      </c>
    </row>
    <row r="1232" spans="2:11" x14ac:dyDescent="0.25">
      <c r="B1232" t="s">
        <v>769</v>
      </c>
      <c r="C1232">
        <v>2011</v>
      </c>
      <c r="D1232" s="1">
        <v>165000</v>
      </c>
      <c r="E1232">
        <v>100000</v>
      </c>
      <c r="F1232" t="s">
        <v>15</v>
      </c>
      <c r="G1232" t="s">
        <v>10</v>
      </c>
      <c r="H1232" t="s">
        <v>11</v>
      </c>
      <c r="I1232" t="s">
        <v>18</v>
      </c>
      <c r="J1232">
        <f t="shared" si="38"/>
        <v>15</v>
      </c>
      <c r="K1232" t="str">
        <f t="shared" si="39"/>
        <v>Budget</v>
      </c>
    </row>
    <row r="1233" spans="2:11" x14ac:dyDescent="0.25">
      <c r="B1233" t="s">
        <v>366</v>
      </c>
      <c r="C1233">
        <v>2019</v>
      </c>
      <c r="D1233" s="1">
        <v>475000</v>
      </c>
      <c r="E1233">
        <v>120000</v>
      </c>
      <c r="F1233" t="s">
        <v>15</v>
      </c>
      <c r="G1233" t="s">
        <v>10</v>
      </c>
      <c r="H1233" t="s">
        <v>11</v>
      </c>
      <c r="I1233" t="s">
        <v>18</v>
      </c>
      <c r="J1233">
        <f t="shared" si="38"/>
        <v>7</v>
      </c>
      <c r="K1233" t="str">
        <f t="shared" si="39"/>
        <v>Budget</v>
      </c>
    </row>
    <row r="1234" spans="2:11" x14ac:dyDescent="0.25">
      <c r="B1234" t="s">
        <v>770</v>
      </c>
      <c r="C1234">
        <v>2013</v>
      </c>
      <c r="D1234" s="1">
        <v>350000</v>
      </c>
      <c r="E1234">
        <v>42000</v>
      </c>
      <c r="F1234" t="s">
        <v>15</v>
      </c>
      <c r="G1234" t="s">
        <v>10</v>
      </c>
      <c r="H1234" t="s">
        <v>11</v>
      </c>
      <c r="I1234" t="s">
        <v>12</v>
      </c>
      <c r="J1234">
        <f t="shared" si="38"/>
        <v>13</v>
      </c>
      <c r="K1234" t="str">
        <f t="shared" si="39"/>
        <v>Budget</v>
      </c>
    </row>
    <row r="1235" spans="2:11" x14ac:dyDescent="0.25">
      <c r="B1235" t="s">
        <v>534</v>
      </c>
      <c r="C1235">
        <v>2016</v>
      </c>
      <c r="D1235" s="1">
        <v>229999</v>
      </c>
      <c r="E1235">
        <v>38000</v>
      </c>
      <c r="F1235" t="s">
        <v>9</v>
      </c>
      <c r="G1235" t="s">
        <v>10</v>
      </c>
      <c r="H1235" t="s">
        <v>11</v>
      </c>
      <c r="I1235" t="s">
        <v>12</v>
      </c>
      <c r="J1235">
        <f t="shared" si="38"/>
        <v>10</v>
      </c>
      <c r="K1235" t="str">
        <f t="shared" si="39"/>
        <v>Budget</v>
      </c>
    </row>
    <row r="1236" spans="2:11" x14ac:dyDescent="0.25">
      <c r="B1236" t="s">
        <v>771</v>
      </c>
      <c r="C1236">
        <v>2018</v>
      </c>
      <c r="D1236" s="1">
        <v>800000</v>
      </c>
      <c r="E1236">
        <v>35000</v>
      </c>
      <c r="F1236" t="s">
        <v>15</v>
      </c>
      <c r="G1236" t="s">
        <v>10</v>
      </c>
      <c r="H1236" t="s">
        <v>11</v>
      </c>
      <c r="I1236" t="s">
        <v>12</v>
      </c>
      <c r="J1236">
        <f t="shared" si="38"/>
        <v>8</v>
      </c>
      <c r="K1236" t="str">
        <f t="shared" si="39"/>
        <v>Mid Range</v>
      </c>
    </row>
    <row r="1237" spans="2:11" x14ac:dyDescent="0.25">
      <c r="B1237" t="s">
        <v>366</v>
      </c>
      <c r="C1237">
        <v>2014</v>
      </c>
      <c r="D1237" s="1">
        <v>475000</v>
      </c>
      <c r="E1237">
        <v>120000</v>
      </c>
      <c r="F1237" t="s">
        <v>15</v>
      </c>
      <c r="G1237" t="s">
        <v>10</v>
      </c>
      <c r="H1237" t="s">
        <v>11</v>
      </c>
      <c r="I1237" t="s">
        <v>18</v>
      </c>
      <c r="J1237">
        <f t="shared" si="38"/>
        <v>12</v>
      </c>
      <c r="K1237" t="str">
        <f t="shared" si="39"/>
        <v>Budget</v>
      </c>
    </row>
    <row r="1238" spans="2:11" x14ac:dyDescent="0.25">
      <c r="B1238" t="s">
        <v>772</v>
      </c>
      <c r="C1238">
        <v>2014</v>
      </c>
      <c r="D1238" s="1">
        <v>425000</v>
      </c>
      <c r="E1238">
        <v>136906</v>
      </c>
      <c r="F1238" t="s">
        <v>15</v>
      </c>
      <c r="G1238" t="s">
        <v>10</v>
      </c>
      <c r="H1238" t="s">
        <v>11</v>
      </c>
      <c r="I1238" t="s">
        <v>12</v>
      </c>
      <c r="J1238">
        <f t="shared" si="38"/>
        <v>12</v>
      </c>
      <c r="K1238" t="str">
        <f t="shared" si="39"/>
        <v>Budget</v>
      </c>
    </row>
    <row r="1239" spans="2:11" x14ac:dyDescent="0.25">
      <c r="B1239" t="s">
        <v>143</v>
      </c>
      <c r="C1239">
        <v>2015</v>
      </c>
      <c r="D1239" s="1">
        <v>660000</v>
      </c>
      <c r="E1239">
        <v>97000</v>
      </c>
      <c r="F1239" t="s">
        <v>15</v>
      </c>
      <c r="G1239" t="s">
        <v>10</v>
      </c>
      <c r="H1239" t="s">
        <v>11</v>
      </c>
      <c r="I1239" t="s">
        <v>18</v>
      </c>
      <c r="J1239">
        <f t="shared" si="38"/>
        <v>11</v>
      </c>
      <c r="K1239" t="str">
        <f t="shared" si="39"/>
        <v>Mid Range</v>
      </c>
    </row>
    <row r="1240" spans="2:11" x14ac:dyDescent="0.25">
      <c r="B1240" t="s">
        <v>773</v>
      </c>
      <c r="C1240">
        <v>2019</v>
      </c>
      <c r="D1240" s="1">
        <v>610000</v>
      </c>
      <c r="E1240">
        <v>10000</v>
      </c>
      <c r="F1240" t="s">
        <v>9</v>
      </c>
      <c r="G1240" t="s">
        <v>10</v>
      </c>
      <c r="H1240" t="s">
        <v>28</v>
      </c>
      <c r="I1240" t="s">
        <v>12</v>
      </c>
      <c r="J1240">
        <f t="shared" si="38"/>
        <v>7</v>
      </c>
      <c r="K1240" t="str">
        <f t="shared" si="39"/>
        <v>Mid Range</v>
      </c>
    </row>
    <row r="1241" spans="2:11" x14ac:dyDescent="0.25">
      <c r="B1241" t="s">
        <v>87</v>
      </c>
      <c r="C1241">
        <v>2013</v>
      </c>
      <c r="D1241" s="1">
        <v>240000</v>
      </c>
      <c r="E1241">
        <v>50000</v>
      </c>
      <c r="F1241" t="s">
        <v>9</v>
      </c>
      <c r="G1241" t="s">
        <v>10</v>
      </c>
      <c r="H1241" t="s">
        <v>11</v>
      </c>
      <c r="I1241" t="s">
        <v>49</v>
      </c>
      <c r="J1241">
        <f t="shared" si="38"/>
        <v>13</v>
      </c>
      <c r="K1241" t="str">
        <f t="shared" si="39"/>
        <v>Budget</v>
      </c>
    </row>
    <row r="1242" spans="2:11" x14ac:dyDescent="0.25">
      <c r="B1242" t="s">
        <v>774</v>
      </c>
      <c r="C1242">
        <v>2005</v>
      </c>
      <c r="D1242" s="1">
        <v>70000</v>
      </c>
      <c r="E1242">
        <v>60000</v>
      </c>
      <c r="F1242" t="s">
        <v>9</v>
      </c>
      <c r="G1242" t="s">
        <v>10</v>
      </c>
      <c r="H1242" t="s">
        <v>11</v>
      </c>
      <c r="I1242" t="s">
        <v>18</v>
      </c>
      <c r="J1242">
        <f t="shared" si="38"/>
        <v>21</v>
      </c>
      <c r="K1242" t="str">
        <f t="shared" si="39"/>
        <v>Budget</v>
      </c>
    </row>
    <row r="1243" spans="2:11" x14ac:dyDescent="0.25">
      <c r="B1243" t="s">
        <v>775</v>
      </c>
      <c r="C1243">
        <v>2011</v>
      </c>
      <c r="D1243" s="1">
        <v>550000</v>
      </c>
      <c r="E1243">
        <v>120000</v>
      </c>
      <c r="F1243" t="s">
        <v>15</v>
      </c>
      <c r="G1243" t="s">
        <v>10</v>
      </c>
      <c r="H1243" t="s">
        <v>11</v>
      </c>
      <c r="I1243" t="s">
        <v>12</v>
      </c>
      <c r="J1243">
        <f t="shared" si="38"/>
        <v>15</v>
      </c>
      <c r="K1243" t="str">
        <f t="shared" si="39"/>
        <v>Mid Range</v>
      </c>
    </row>
    <row r="1244" spans="2:11" x14ac:dyDescent="0.25">
      <c r="B1244" t="s">
        <v>776</v>
      </c>
      <c r="C1244">
        <v>2010</v>
      </c>
      <c r="D1244" s="1">
        <v>100000</v>
      </c>
      <c r="E1244">
        <v>120000</v>
      </c>
      <c r="F1244" t="s">
        <v>9</v>
      </c>
      <c r="G1244" t="s">
        <v>10</v>
      </c>
      <c r="H1244" t="s">
        <v>11</v>
      </c>
      <c r="I1244" t="s">
        <v>18</v>
      </c>
      <c r="J1244">
        <f t="shared" si="38"/>
        <v>16</v>
      </c>
      <c r="K1244" t="str">
        <f t="shared" si="39"/>
        <v>Budget</v>
      </c>
    </row>
    <row r="1245" spans="2:11" x14ac:dyDescent="0.25">
      <c r="B1245" t="s">
        <v>777</v>
      </c>
      <c r="C1245">
        <v>2010</v>
      </c>
      <c r="D1245" s="1">
        <v>350000</v>
      </c>
      <c r="E1245">
        <v>90000</v>
      </c>
      <c r="F1245" t="s">
        <v>15</v>
      </c>
      <c r="G1245" t="s">
        <v>10</v>
      </c>
      <c r="H1245" t="s">
        <v>11</v>
      </c>
      <c r="I1245" t="s">
        <v>18</v>
      </c>
      <c r="J1245">
        <f t="shared" si="38"/>
        <v>16</v>
      </c>
      <c r="K1245" t="str">
        <f t="shared" si="39"/>
        <v>Budget</v>
      </c>
    </row>
    <row r="1246" spans="2:11" x14ac:dyDescent="0.25">
      <c r="B1246" t="s">
        <v>136</v>
      </c>
      <c r="C1246">
        <v>2013</v>
      </c>
      <c r="D1246" s="1">
        <v>200000</v>
      </c>
      <c r="E1246">
        <v>120000</v>
      </c>
      <c r="F1246" t="s">
        <v>9</v>
      </c>
      <c r="G1246" t="s">
        <v>10</v>
      </c>
      <c r="H1246" t="s">
        <v>11</v>
      </c>
      <c r="I1246" t="s">
        <v>12</v>
      </c>
      <c r="J1246">
        <f t="shared" si="38"/>
        <v>13</v>
      </c>
      <c r="K1246" t="str">
        <f t="shared" si="39"/>
        <v>Budget</v>
      </c>
    </row>
    <row r="1247" spans="2:11" x14ac:dyDescent="0.25">
      <c r="B1247" t="s">
        <v>778</v>
      </c>
      <c r="C1247">
        <v>2019</v>
      </c>
      <c r="D1247" s="1">
        <v>720000</v>
      </c>
      <c r="E1247">
        <v>3000</v>
      </c>
      <c r="F1247" t="s">
        <v>9</v>
      </c>
      <c r="G1247" t="s">
        <v>10</v>
      </c>
      <c r="H1247" t="s">
        <v>28</v>
      </c>
      <c r="I1247" t="s">
        <v>12</v>
      </c>
      <c r="J1247">
        <f t="shared" si="38"/>
        <v>7</v>
      </c>
      <c r="K1247" t="str">
        <f t="shared" si="39"/>
        <v>Mid Range</v>
      </c>
    </row>
    <row r="1248" spans="2:11" x14ac:dyDescent="0.25">
      <c r="B1248" t="s">
        <v>295</v>
      </c>
      <c r="C1248">
        <v>2014</v>
      </c>
      <c r="D1248" s="1">
        <v>350000</v>
      </c>
      <c r="E1248">
        <v>133000</v>
      </c>
      <c r="F1248" t="s">
        <v>15</v>
      </c>
      <c r="G1248" t="s">
        <v>10</v>
      </c>
      <c r="H1248" t="s">
        <v>11</v>
      </c>
      <c r="I1248" t="s">
        <v>12</v>
      </c>
      <c r="J1248">
        <f t="shared" si="38"/>
        <v>12</v>
      </c>
      <c r="K1248" t="str">
        <f t="shared" si="39"/>
        <v>Budget</v>
      </c>
    </row>
    <row r="1249" spans="2:11" x14ac:dyDescent="0.25">
      <c r="B1249" t="s">
        <v>54</v>
      </c>
      <c r="C1249">
        <v>2016</v>
      </c>
      <c r="D1249" s="1">
        <v>400000</v>
      </c>
      <c r="E1249">
        <v>25000</v>
      </c>
      <c r="F1249" t="s">
        <v>9</v>
      </c>
      <c r="G1249" t="s">
        <v>10</v>
      </c>
      <c r="H1249" t="s">
        <v>11</v>
      </c>
      <c r="I1249" t="s">
        <v>12</v>
      </c>
      <c r="J1249">
        <f t="shared" si="38"/>
        <v>10</v>
      </c>
      <c r="K1249" t="str">
        <f t="shared" si="39"/>
        <v>Budget</v>
      </c>
    </row>
    <row r="1250" spans="2:11" x14ac:dyDescent="0.25">
      <c r="B1250" t="s">
        <v>319</v>
      </c>
      <c r="C1250">
        <v>2017</v>
      </c>
      <c r="D1250" s="1">
        <v>570000</v>
      </c>
      <c r="E1250">
        <v>35000</v>
      </c>
      <c r="F1250" t="s">
        <v>9</v>
      </c>
      <c r="G1250" t="s">
        <v>10</v>
      </c>
      <c r="H1250" t="s">
        <v>11</v>
      </c>
      <c r="I1250" t="s">
        <v>12</v>
      </c>
      <c r="J1250">
        <f t="shared" si="38"/>
        <v>9</v>
      </c>
      <c r="K1250" t="str">
        <f t="shared" si="39"/>
        <v>Mid Range</v>
      </c>
    </row>
    <row r="1251" spans="2:11" x14ac:dyDescent="0.25">
      <c r="B1251" t="s">
        <v>224</v>
      </c>
      <c r="C1251">
        <v>2015</v>
      </c>
      <c r="D1251" s="1">
        <v>130000</v>
      </c>
      <c r="E1251">
        <v>70000</v>
      </c>
      <c r="F1251" t="s">
        <v>9</v>
      </c>
      <c r="G1251" t="s">
        <v>10</v>
      </c>
      <c r="H1251" t="s">
        <v>11</v>
      </c>
      <c r="I1251" t="s">
        <v>12</v>
      </c>
      <c r="J1251">
        <f t="shared" si="38"/>
        <v>11</v>
      </c>
      <c r="K1251" t="str">
        <f t="shared" si="39"/>
        <v>Budget</v>
      </c>
    </row>
    <row r="1252" spans="2:11" x14ac:dyDescent="0.25">
      <c r="B1252" t="s">
        <v>249</v>
      </c>
      <c r="C1252">
        <v>2016</v>
      </c>
      <c r="D1252" s="1">
        <v>210000</v>
      </c>
      <c r="E1252">
        <v>52000</v>
      </c>
      <c r="F1252" t="s">
        <v>9</v>
      </c>
      <c r="G1252" t="s">
        <v>10</v>
      </c>
      <c r="H1252" t="s">
        <v>11</v>
      </c>
      <c r="I1252" t="s">
        <v>12</v>
      </c>
      <c r="J1252">
        <f t="shared" si="38"/>
        <v>10</v>
      </c>
      <c r="K1252" t="str">
        <f t="shared" si="39"/>
        <v>Budget</v>
      </c>
    </row>
    <row r="1253" spans="2:11" x14ac:dyDescent="0.25">
      <c r="B1253" t="s">
        <v>779</v>
      </c>
      <c r="C1253">
        <v>2018</v>
      </c>
      <c r="D1253" s="1">
        <v>800000</v>
      </c>
      <c r="E1253">
        <v>52000</v>
      </c>
      <c r="F1253" t="s">
        <v>15</v>
      </c>
      <c r="G1253" t="s">
        <v>10</v>
      </c>
      <c r="H1253" t="s">
        <v>11</v>
      </c>
      <c r="I1253" t="s">
        <v>12</v>
      </c>
      <c r="J1253">
        <f t="shared" si="38"/>
        <v>8</v>
      </c>
      <c r="K1253" t="str">
        <f t="shared" si="39"/>
        <v>Mid Range</v>
      </c>
    </row>
    <row r="1254" spans="2:11" x14ac:dyDescent="0.25">
      <c r="B1254" t="s">
        <v>780</v>
      </c>
      <c r="C1254">
        <v>2017</v>
      </c>
      <c r="D1254" s="1">
        <v>700000</v>
      </c>
      <c r="E1254">
        <v>39000</v>
      </c>
      <c r="F1254" t="s">
        <v>15</v>
      </c>
      <c r="G1254" t="s">
        <v>10</v>
      </c>
      <c r="H1254" t="s">
        <v>11</v>
      </c>
      <c r="I1254" t="s">
        <v>12</v>
      </c>
      <c r="J1254">
        <f t="shared" si="38"/>
        <v>9</v>
      </c>
      <c r="K1254" t="str">
        <f t="shared" si="39"/>
        <v>Mid Range</v>
      </c>
    </row>
    <row r="1255" spans="2:11" x14ac:dyDescent="0.25">
      <c r="B1255" t="s">
        <v>438</v>
      </c>
      <c r="C1255">
        <v>2011</v>
      </c>
      <c r="D1255" s="1">
        <v>200000</v>
      </c>
      <c r="E1255">
        <v>28689</v>
      </c>
      <c r="F1255" t="s">
        <v>15</v>
      </c>
      <c r="G1255" t="s">
        <v>10</v>
      </c>
      <c r="H1255" t="s">
        <v>11</v>
      </c>
      <c r="I1255" t="s">
        <v>12</v>
      </c>
      <c r="J1255">
        <f t="shared" si="38"/>
        <v>15</v>
      </c>
      <c r="K1255" t="str">
        <f t="shared" si="39"/>
        <v>Budget</v>
      </c>
    </row>
    <row r="1256" spans="2:11" x14ac:dyDescent="0.25">
      <c r="B1256" t="s">
        <v>781</v>
      </c>
      <c r="C1256">
        <v>2014</v>
      </c>
      <c r="D1256" s="1">
        <v>495000</v>
      </c>
      <c r="E1256">
        <v>90000</v>
      </c>
      <c r="F1256" t="s">
        <v>15</v>
      </c>
      <c r="G1256" t="s">
        <v>10</v>
      </c>
      <c r="H1256" t="s">
        <v>11</v>
      </c>
      <c r="I1256" t="s">
        <v>18</v>
      </c>
      <c r="J1256">
        <f t="shared" si="38"/>
        <v>12</v>
      </c>
      <c r="K1256" t="str">
        <f t="shared" si="39"/>
        <v>Budget</v>
      </c>
    </row>
    <row r="1257" spans="2:11" x14ac:dyDescent="0.25">
      <c r="B1257" t="s">
        <v>383</v>
      </c>
      <c r="C1257">
        <v>2014</v>
      </c>
      <c r="D1257" s="1">
        <v>325000</v>
      </c>
      <c r="E1257">
        <v>80322</v>
      </c>
      <c r="F1257" t="s">
        <v>15</v>
      </c>
      <c r="G1257" t="s">
        <v>27</v>
      </c>
      <c r="H1257" t="s">
        <v>11</v>
      </c>
      <c r="I1257" t="s">
        <v>12</v>
      </c>
      <c r="J1257">
        <f t="shared" si="38"/>
        <v>12</v>
      </c>
      <c r="K1257" t="str">
        <f t="shared" si="39"/>
        <v>Budget</v>
      </c>
    </row>
    <row r="1258" spans="2:11" x14ac:dyDescent="0.25">
      <c r="B1258" t="s">
        <v>782</v>
      </c>
      <c r="C1258">
        <v>2019</v>
      </c>
      <c r="D1258" s="1">
        <v>650000</v>
      </c>
      <c r="E1258">
        <v>8000</v>
      </c>
      <c r="F1258" t="s">
        <v>9</v>
      </c>
      <c r="G1258" t="s">
        <v>10</v>
      </c>
      <c r="H1258" t="s">
        <v>11</v>
      </c>
      <c r="I1258" t="s">
        <v>12</v>
      </c>
      <c r="J1258">
        <f t="shared" si="38"/>
        <v>7</v>
      </c>
      <c r="K1258" t="str">
        <f t="shared" si="39"/>
        <v>Mid Range</v>
      </c>
    </row>
    <row r="1259" spans="2:11" x14ac:dyDescent="0.25">
      <c r="B1259" t="s">
        <v>783</v>
      </c>
      <c r="C1259">
        <v>2000</v>
      </c>
      <c r="D1259" s="1">
        <v>155000</v>
      </c>
      <c r="E1259">
        <v>50000</v>
      </c>
      <c r="F1259" t="s">
        <v>15</v>
      </c>
      <c r="G1259" t="s">
        <v>10</v>
      </c>
      <c r="H1259" t="s">
        <v>11</v>
      </c>
      <c r="I1259" t="s">
        <v>18</v>
      </c>
      <c r="J1259">
        <f t="shared" si="38"/>
        <v>26</v>
      </c>
      <c r="K1259" t="str">
        <f t="shared" si="39"/>
        <v>Budget</v>
      </c>
    </row>
    <row r="1260" spans="2:11" x14ac:dyDescent="0.25">
      <c r="B1260" t="s">
        <v>140</v>
      </c>
      <c r="C1260">
        <v>2007</v>
      </c>
      <c r="D1260" s="1">
        <v>75000</v>
      </c>
      <c r="E1260">
        <v>90000</v>
      </c>
      <c r="F1260" t="s">
        <v>9</v>
      </c>
      <c r="G1260" t="s">
        <v>10</v>
      </c>
      <c r="H1260" t="s">
        <v>11</v>
      </c>
      <c r="I1260" t="s">
        <v>18</v>
      </c>
      <c r="J1260">
        <f t="shared" si="38"/>
        <v>19</v>
      </c>
      <c r="K1260" t="str">
        <f t="shared" si="39"/>
        <v>Budget</v>
      </c>
    </row>
    <row r="1261" spans="2:11" x14ac:dyDescent="0.25">
      <c r="B1261" t="s">
        <v>784</v>
      </c>
      <c r="C1261">
        <v>2015</v>
      </c>
      <c r="D1261" s="1">
        <v>350000</v>
      </c>
      <c r="E1261">
        <v>61658</v>
      </c>
      <c r="F1261" t="s">
        <v>15</v>
      </c>
      <c r="G1261" t="s">
        <v>27</v>
      </c>
      <c r="H1261" t="s">
        <v>11</v>
      </c>
      <c r="I1261" t="s">
        <v>12</v>
      </c>
      <c r="J1261">
        <f t="shared" si="38"/>
        <v>11</v>
      </c>
      <c r="K1261" t="str">
        <f t="shared" si="39"/>
        <v>Budget</v>
      </c>
    </row>
    <row r="1262" spans="2:11" x14ac:dyDescent="0.25">
      <c r="B1262" t="s">
        <v>785</v>
      </c>
      <c r="C1262">
        <v>2010</v>
      </c>
      <c r="D1262" s="1">
        <v>90000</v>
      </c>
      <c r="E1262">
        <v>50000</v>
      </c>
      <c r="F1262" t="s">
        <v>9</v>
      </c>
      <c r="G1262" t="s">
        <v>10</v>
      </c>
      <c r="H1262" t="s">
        <v>11</v>
      </c>
      <c r="I1262" t="s">
        <v>49</v>
      </c>
      <c r="J1262">
        <f t="shared" si="38"/>
        <v>16</v>
      </c>
      <c r="K1262" t="str">
        <f t="shared" si="39"/>
        <v>Budget</v>
      </c>
    </row>
    <row r="1263" spans="2:11" x14ac:dyDescent="0.25">
      <c r="B1263" t="s">
        <v>125</v>
      </c>
      <c r="C1263">
        <v>2016</v>
      </c>
      <c r="D1263" s="1">
        <v>600000</v>
      </c>
      <c r="E1263">
        <v>80000</v>
      </c>
      <c r="F1263" t="s">
        <v>15</v>
      </c>
      <c r="G1263" t="s">
        <v>10</v>
      </c>
      <c r="H1263" t="s">
        <v>11</v>
      </c>
      <c r="I1263" t="s">
        <v>12</v>
      </c>
      <c r="J1263">
        <f t="shared" si="38"/>
        <v>10</v>
      </c>
      <c r="K1263" t="str">
        <f t="shared" si="39"/>
        <v>Mid Range</v>
      </c>
    </row>
    <row r="1264" spans="2:11" x14ac:dyDescent="0.25">
      <c r="B1264" t="s">
        <v>458</v>
      </c>
      <c r="C1264">
        <v>2010</v>
      </c>
      <c r="D1264" s="1">
        <v>400000</v>
      </c>
      <c r="E1264">
        <v>185000</v>
      </c>
      <c r="F1264" t="s">
        <v>15</v>
      </c>
      <c r="G1264" t="s">
        <v>10</v>
      </c>
      <c r="H1264" t="s">
        <v>11</v>
      </c>
      <c r="I1264" t="s">
        <v>12</v>
      </c>
      <c r="J1264">
        <f t="shared" si="38"/>
        <v>16</v>
      </c>
      <c r="K1264" t="str">
        <f t="shared" si="39"/>
        <v>Budget</v>
      </c>
    </row>
    <row r="1265" spans="2:11" x14ac:dyDescent="0.25">
      <c r="B1265" t="s">
        <v>162</v>
      </c>
      <c r="C1265">
        <v>2014</v>
      </c>
      <c r="D1265" s="1">
        <v>370000</v>
      </c>
      <c r="E1265">
        <v>57000</v>
      </c>
      <c r="F1265" t="s">
        <v>15</v>
      </c>
      <c r="G1265" t="s">
        <v>10</v>
      </c>
      <c r="H1265" t="s">
        <v>11</v>
      </c>
      <c r="I1265" t="s">
        <v>18</v>
      </c>
      <c r="J1265">
        <f t="shared" si="38"/>
        <v>12</v>
      </c>
      <c r="K1265" t="str">
        <f t="shared" si="39"/>
        <v>Budget</v>
      </c>
    </row>
    <row r="1266" spans="2:11" x14ac:dyDescent="0.25">
      <c r="B1266" t="s">
        <v>786</v>
      </c>
      <c r="C1266">
        <v>2000</v>
      </c>
      <c r="D1266" s="1">
        <v>50000</v>
      </c>
      <c r="E1266">
        <v>60000</v>
      </c>
      <c r="F1266" t="s">
        <v>9</v>
      </c>
      <c r="G1266" t="s">
        <v>10</v>
      </c>
      <c r="H1266" t="s">
        <v>11</v>
      </c>
      <c r="I1266" t="s">
        <v>12</v>
      </c>
      <c r="J1266">
        <f t="shared" si="38"/>
        <v>26</v>
      </c>
      <c r="K1266" t="str">
        <f t="shared" si="39"/>
        <v>Budget</v>
      </c>
    </row>
    <row r="1267" spans="2:11" x14ac:dyDescent="0.25">
      <c r="B1267" t="s">
        <v>787</v>
      </c>
      <c r="C1267">
        <v>2004</v>
      </c>
      <c r="D1267" s="1">
        <v>125000</v>
      </c>
      <c r="E1267">
        <v>120000</v>
      </c>
      <c r="F1267" t="s">
        <v>9</v>
      </c>
      <c r="G1267" t="s">
        <v>10</v>
      </c>
      <c r="H1267" t="s">
        <v>11</v>
      </c>
      <c r="I1267" t="s">
        <v>18</v>
      </c>
      <c r="J1267">
        <f t="shared" si="38"/>
        <v>22</v>
      </c>
      <c r="K1267" t="str">
        <f t="shared" si="39"/>
        <v>Budget</v>
      </c>
    </row>
    <row r="1268" spans="2:11" x14ac:dyDescent="0.25">
      <c r="B1268" t="s">
        <v>788</v>
      </c>
      <c r="C1268">
        <v>2018</v>
      </c>
      <c r="D1268" s="1">
        <v>1800000</v>
      </c>
      <c r="E1268">
        <v>26000</v>
      </c>
      <c r="F1268" t="s">
        <v>15</v>
      </c>
      <c r="G1268" t="s">
        <v>10</v>
      </c>
      <c r="H1268" t="s">
        <v>28</v>
      </c>
      <c r="I1268" t="s">
        <v>12</v>
      </c>
      <c r="J1268">
        <f t="shared" si="38"/>
        <v>8</v>
      </c>
      <c r="K1268" t="str">
        <f t="shared" si="39"/>
        <v>Premium</v>
      </c>
    </row>
    <row r="1269" spans="2:11" x14ac:dyDescent="0.25">
      <c r="B1269" t="s">
        <v>422</v>
      </c>
      <c r="C1269">
        <v>2019</v>
      </c>
      <c r="D1269" s="1">
        <v>650000</v>
      </c>
      <c r="E1269">
        <v>20000</v>
      </c>
      <c r="F1269" t="s">
        <v>9</v>
      </c>
      <c r="G1269" t="s">
        <v>10</v>
      </c>
      <c r="H1269" t="s">
        <v>28</v>
      </c>
      <c r="I1269" t="s">
        <v>12</v>
      </c>
      <c r="J1269">
        <f t="shared" si="38"/>
        <v>7</v>
      </c>
      <c r="K1269" t="str">
        <f t="shared" si="39"/>
        <v>Mid Range</v>
      </c>
    </row>
    <row r="1270" spans="2:11" x14ac:dyDescent="0.25">
      <c r="B1270" t="s">
        <v>789</v>
      </c>
      <c r="C1270">
        <v>2017</v>
      </c>
      <c r="D1270" s="1">
        <v>800000</v>
      </c>
      <c r="E1270">
        <v>30600</v>
      </c>
      <c r="F1270" t="s">
        <v>9</v>
      </c>
      <c r="G1270" t="s">
        <v>10</v>
      </c>
      <c r="H1270" t="s">
        <v>28</v>
      </c>
      <c r="I1270" t="s">
        <v>12</v>
      </c>
      <c r="J1270">
        <f t="shared" si="38"/>
        <v>9</v>
      </c>
      <c r="K1270" t="str">
        <f t="shared" si="39"/>
        <v>Mid Range</v>
      </c>
    </row>
    <row r="1271" spans="2:11" x14ac:dyDescent="0.25">
      <c r="B1271" t="s">
        <v>790</v>
      </c>
      <c r="C1271">
        <v>2020</v>
      </c>
      <c r="D1271" s="1">
        <v>802000</v>
      </c>
      <c r="E1271">
        <v>5000</v>
      </c>
      <c r="F1271" t="s">
        <v>9</v>
      </c>
      <c r="G1271" t="s">
        <v>10</v>
      </c>
      <c r="H1271" t="s">
        <v>11</v>
      </c>
      <c r="I1271" t="s">
        <v>12</v>
      </c>
      <c r="J1271">
        <f t="shared" si="38"/>
        <v>6</v>
      </c>
      <c r="K1271" t="str">
        <f t="shared" si="39"/>
        <v>Mid Range</v>
      </c>
    </row>
    <row r="1272" spans="2:11" x14ac:dyDescent="0.25">
      <c r="B1272" t="s">
        <v>791</v>
      </c>
      <c r="C1272">
        <v>2015</v>
      </c>
      <c r="D1272" s="1">
        <v>2300000</v>
      </c>
      <c r="E1272">
        <v>35000</v>
      </c>
      <c r="F1272" t="s">
        <v>15</v>
      </c>
      <c r="G1272" t="s">
        <v>10</v>
      </c>
      <c r="H1272" t="s">
        <v>28</v>
      </c>
      <c r="I1272" t="s">
        <v>49</v>
      </c>
      <c r="J1272">
        <f t="shared" si="38"/>
        <v>11</v>
      </c>
      <c r="K1272" t="str">
        <f t="shared" si="39"/>
        <v>Premium</v>
      </c>
    </row>
    <row r="1273" spans="2:11" x14ac:dyDescent="0.25">
      <c r="B1273" t="s">
        <v>792</v>
      </c>
      <c r="C1273">
        <v>2016</v>
      </c>
      <c r="D1273" s="1">
        <v>430000</v>
      </c>
      <c r="E1273">
        <v>35000</v>
      </c>
      <c r="F1273" t="s">
        <v>15</v>
      </c>
      <c r="G1273" t="s">
        <v>10</v>
      </c>
      <c r="H1273" t="s">
        <v>11</v>
      </c>
      <c r="I1273" t="s">
        <v>12</v>
      </c>
      <c r="J1273">
        <f t="shared" si="38"/>
        <v>10</v>
      </c>
      <c r="K1273" t="str">
        <f t="shared" si="39"/>
        <v>Budget</v>
      </c>
    </row>
    <row r="1274" spans="2:11" x14ac:dyDescent="0.25">
      <c r="B1274" t="s">
        <v>474</v>
      </c>
      <c r="C1274">
        <v>2017</v>
      </c>
      <c r="D1274" s="1">
        <v>650000</v>
      </c>
      <c r="E1274">
        <v>23000</v>
      </c>
      <c r="F1274" t="s">
        <v>9</v>
      </c>
      <c r="G1274" t="s">
        <v>10</v>
      </c>
      <c r="H1274" t="s">
        <v>11</v>
      </c>
      <c r="I1274" t="s">
        <v>12</v>
      </c>
      <c r="J1274">
        <f t="shared" si="38"/>
        <v>9</v>
      </c>
      <c r="K1274" t="str">
        <f t="shared" si="39"/>
        <v>Mid Range</v>
      </c>
    </row>
    <row r="1275" spans="2:11" x14ac:dyDescent="0.25">
      <c r="B1275" t="s">
        <v>793</v>
      </c>
      <c r="C1275">
        <v>2004</v>
      </c>
      <c r="D1275" s="1">
        <v>170000</v>
      </c>
      <c r="E1275">
        <v>120000</v>
      </c>
      <c r="F1275" t="s">
        <v>15</v>
      </c>
      <c r="G1275" t="s">
        <v>10</v>
      </c>
      <c r="H1275" t="s">
        <v>11</v>
      </c>
      <c r="I1275" t="s">
        <v>12</v>
      </c>
      <c r="J1275">
        <f t="shared" si="38"/>
        <v>22</v>
      </c>
      <c r="K1275" t="str">
        <f t="shared" si="39"/>
        <v>Budget</v>
      </c>
    </row>
    <row r="1276" spans="2:11" x14ac:dyDescent="0.25">
      <c r="B1276" t="s">
        <v>746</v>
      </c>
      <c r="C1276">
        <v>2011</v>
      </c>
      <c r="D1276" s="1">
        <v>450000</v>
      </c>
      <c r="E1276">
        <v>235000</v>
      </c>
      <c r="F1276" t="s">
        <v>15</v>
      </c>
      <c r="G1276" t="s">
        <v>10</v>
      </c>
      <c r="H1276" t="s">
        <v>28</v>
      </c>
      <c r="I1276" t="s">
        <v>12</v>
      </c>
      <c r="J1276">
        <f t="shared" si="38"/>
        <v>15</v>
      </c>
      <c r="K1276" t="str">
        <f t="shared" si="39"/>
        <v>Budget</v>
      </c>
    </row>
    <row r="1277" spans="2:11" x14ac:dyDescent="0.25">
      <c r="B1277" t="s">
        <v>249</v>
      </c>
      <c r="C1277">
        <v>2013</v>
      </c>
      <c r="D1277" s="1">
        <v>250000</v>
      </c>
      <c r="E1277">
        <v>87000</v>
      </c>
      <c r="F1277" t="s">
        <v>9</v>
      </c>
      <c r="G1277" t="s">
        <v>10</v>
      </c>
      <c r="H1277" t="s">
        <v>11</v>
      </c>
      <c r="I1277" t="s">
        <v>12</v>
      </c>
      <c r="J1277">
        <f t="shared" si="38"/>
        <v>13</v>
      </c>
      <c r="K1277" t="str">
        <f t="shared" si="39"/>
        <v>Budget</v>
      </c>
    </row>
    <row r="1278" spans="2:11" x14ac:dyDescent="0.25">
      <c r="B1278" t="s">
        <v>794</v>
      </c>
      <c r="C1278">
        <v>2014</v>
      </c>
      <c r="D1278" s="1">
        <v>550000</v>
      </c>
      <c r="E1278">
        <v>72000</v>
      </c>
      <c r="F1278" t="s">
        <v>9</v>
      </c>
      <c r="G1278" t="s">
        <v>10</v>
      </c>
      <c r="H1278" t="s">
        <v>11</v>
      </c>
      <c r="I1278" t="s">
        <v>18</v>
      </c>
      <c r="J1278">
        <f t="shared" si="38"/>
        <v>12</v>
      </c>
      <c r="K1278" t="str">
        <f t="shared" si="39"/>
        <v>Mid Range</v>
      </c>
    </row>
    <row r="1279" spans="2:11" x14ac:dyDescent="0.25">
      <c r="B1279" t="s">
        <v>795</v>
      </c>
      <c r="C1279">
        <v>2013</v>
      </c>
      <c r="D1279" s="1">
        <v>2000000</v>
      </c>
      <c r="E1279">
        <v>64000</v>
      </c>
      <c r="F1279" t="s">
        <v>15</v>
      </c>
      <c r="G1279" t="s">
        <v>10</v>
      </c>
      <c r="H1279" t="s">
        <v>28</v>
      </c>
      <c r="I1279" t="s">
        <v>18</v>
      </c>
      <c r="J1279">
        <f t="shared" si="38"/>
        <v>13</v>
      </c>
      <c r="K1279" t="str">
        <f t="shared" si="39"/>
        <v>Premium</v>
      </c>
    </row>
    <row r="1280" spans="2:11" x14ac:dyDescent="0.25">
      <c r="B1280" t="s">
        <v>796</v>
      </c>
      <c r="C1280">
        <v>2007</v>
      </c>
      <c r="D1280" s="1">
        <v>140000</v>
      </c>
      <c r="E1280">
        <v>100000</v>
      </c>
      <c r="F1280" t="s">
        <v>9</v>
      </c>
      <c r="G1280" t="s">
        <v>10</v>
      </c>
      <c r="H1280" t="s">
        <v>11</v>
      </c>
      <c r="I1280" t="s">
        <v>18</v>
      </c>
      <c r="J1280">
        <f t="shared" si="38"/>
        <v>19</v>
      </c>
      <c r="K1280" t="str">
        <f t="shared" si="39"/>
        <v>Budget</v>
      </c>
    </row>
    <row r="1281" spans="2:11" x14ac:dyDescent="0.25">
      <c r="B1281" t="s">
        <v>161</v>
      </c>
      <c r="C1281">
        <v>2012</v>
      </c>
      <c r="D1281" s="1">
        <v>155000</v>
      </c>
      <c r="E1281">
        <v>12000</v>
      </c>
      <c r="F1281" t="s">
        <v>9</v>
      </c>
      <c r="G1281" t="s">
        <v>10</v>
      </c>
      <c r="H1281" t="s">
        <v>11</v>
      </c>
      <c r="I1281" t="s">
        <v>12</v>
      </c>
      <c r="J1281">
        <f t="shared" si="38"/>
        <v>14</v>
      </c>
      <c r="K1281" t="str">
        <f t="shared" si="39"/>
        <v>Budget</v>
      </c>
    </row>
    <row r="1282" spans="2:11" x14ac:dyDescent="0.25">
      <c r="B1282" t="s">
        <v>470</v>
      </c>
      <c r="C1282">
        <v>2010</v>
      </c>
      <c r="D1282" s="1">
        <v>120000</v>
      </c>
      <c r="E1282">
        <v>67000</v>
      </c>
      <c r="F1282" t="s">
        <v>9</v>
      </c>
      <c r="G1282" t="s">
        <v>10</v>
      </c>
      <c r="H1282" t="s">
        <v>11</v>
      </c>
      <c r="I1282" t="s">
        <v>49</v>
      </c>
      <c r="J1282">
        <f t="shared" si="38"/>
        <v>16</v>
      </c>
      <c r="K1282" t="str">
        <f t="shared" si="39"/>
        <v>Budget</v>
      </c>
    </row>
    <row r="1283" spans="2:11" x14ac:dyDescent="0.25">
      <c r="B1283" t="s">
        <v>797</v>
      </c>
      <c r="C1283">
        <v>2012</v>
      </c>
      <c r="D1283" s="1">
        <v>287000</v>
      </c>
      <c r="E1283">
        <v>70000</v>
      </c>
      <c r="F1283" t="s">
        <v>15</v>
      </c>
      <c r="G1283" t="s">
        <v>10</v>
      </c>
      <c r="H1283" t="s">
        <v>11</v>
      </c>
      <c r="I1283" t="s">
        <v>12</v>
      </c>
      <c r="J1283">
        <f t="shared" si="38"/>
        <v>14</v>
      </c>
      <c r="K1283" t="str">
        <f t="shared" si="39"/>
        <v>Budget</v>
      </c>
    </row>
    <row r="1284" spans="2:11" x14ac:dyDescent="0.25">
      <c r="B1284" t="s">
        <v>280</v>
      </c>
      <c r="C1284">
        <v>2016</v>
      </c>
      <c r="D1284" s="1">
        <v>675000</v>
      </c>
      <c r="E1284">
        <v>60000</v>
      </c>
      <c r="F1284" t="s">
        <v>15</v>
      </c>
      <c r="G1284" t="s">
        <v>10</v>
      </c>
      <c r="H1284" t="s">
        <v>11</v>
      </c>
      <c r="I1284" t="s">
        <v>12</v>
      </c>
      <c r="J1284">
        <f t="shared" si="38"/>
        <v>10</v>
      </c>
      <c r="K1284" t="str">
        <f t="shared" si="39"/>
        <v>Mid Range</v>
      </c>
    </row>
    <row r="1285" spans="2:11" x14ac:dyDescent="0.25">
      <c r="B1285" t="s">
        <v>661</v>
      </c>
      <c r="C1285">
        <v>2011</v>
      </c>
      <c r="D1285" s="1">
        <v>235000</v>
      </c>
      <c r="E1285">
        <v>74500</v>
      </c>
      <c r="F1285" t="s">
        <v>9</v>
      </c>
      <c r="G1285" t="s">
        <v>10</v>
      </c>
      <c r="H1285" t="s">
        <v>11</v>
      </c>
      <c r="I1285" t="s">
        <v>18</v>
      </c>
      <c r="J1285">
        <f t="shared" si="38"/>
        <v>15</v>
      </c>
      <c r="K1285" t="str">
        <f t="shared" si="39"/>
        <v>Budget</v>
      </c>
    </row>
    <row r="1286" spans="2:11" x14ac:dyDescent="0.25">
      <c r="B1286" t="s">
        <v>798</v>
      </c>
      <c r="C1286">
        <v>2011</v>
      </c>
      <c r="D1286" s="1">
        <v>300000</v>
      </c>
      <c r="E1286">
        <v>118700</v>
      </c>
      <c r="F1286" t="s">
        <v>15</v>
      </c>
      <c r="G1286" t="s">
        <v>10</v>
      </c>
      <c r="H1286" t="s">
        <v>11</v>
      </c>
      <c r="I1286" t="s">
        <v>18</v>
      </c>
      <c r="J1286">
        <f t="shared" ref="J1286:J1349" si="40">2026 - C1286</f>
        <v>15</v>
      </c>
      <c r="K1286" t="str">
        <f t="shared" ref="K1286:K1349" si="41">IF(D1286&lt;500000,"Budget",IF(D1286&lt;=1000000,"Mid Range","Premium"))</f>
        <v>Budget</v>
      </c>
    </row>
    <row r="1287" spans="2:11" x14ac:dyDescent="0.25">
      <c r="B1287" t="s">
        <v>799</v>
      </c>
      <c r="C1287">
        <v>2015</v>
      </c>
      <c r="D1287" s="1">
        <v>434999</v>
      </c>
      <c r="E1287">
        <v>40000</v>
      </c>
      <c r="F1287" t="s">
        <v>9</v>
      </c>
      <c r="G1287" t="s">
        <v>10</v>
      </c>
      <c r="H1287" t="s">
        <v>28</v>
      </c>
      <c r="I1287" t="s">
        <v>18</v>
      </c>
      <c r="J1287">
        <f t="shared" si="40"/>
        <v>11</v>
      </c>
      <c r="K1287" t="str">
        <f t="shared" si="41"/>
        <v>Budget</v>
      </c>
    </row>
    <row r="1288" spans="2:11" x14ac:dyDescent="0.25">
      <c r="B1288" t="s">
        <v>800</v>
      </c>
      <c r="C1288">
        <v>2004</v>
      </c>
      <c r="D1288" s="1">
        <v>225000</v>
      </c>
      <c r="E1288">
        <v>223660</v>
      </c>
      <c r="F1288" t="s">
        <v>15</v>
      </c>
      <c r="G1288" t="s">
        <v>10</v>
      </c>
      <c r="H1288" t="s">
        <v>28</v>
      </c>
      <c r="I1288" t="s">
        <v>49</v>
      </c>
      <c r="J1288">
        <f t="shared" si="40"/>
        <v>22</v>
      </c>
      <c r="K1288" t="str">
        <f t="shared" si="41"/>
        <v>Budget</v>
      </c>
    </row>
    <row r="1289" spans="2:11" x14ac:dyDescent="0.25">
      <c r="B1289" t="s">
        <v>801</v>
      </c>
      <c r="C1289">
        <v>2006</v>
      </c>
      <c r="D1289" s="1">
        <v>160000</v>
      </c>
      <c r="E1289">
        <v>140000</v>
      </c>
      <c r="F1289" t="s">
        <v>9</v>
      </c>
      <c r="G1289" t="s">
        <v>10</v>
      </c>
      <c r="H1289" t="s">
        <v>11</v>
      </c>
      <c r="I1289" t="s">
        <v>18</v>
      </c>
      <c r="J1289">
        <f t="shared" si="40"/>
        <v>20</v>
      </c>
      <c r="K1289" t="str">
        <f t="shared" si="41"/>
        <v>Budget</v>
      </c>
    </row>
    <row r="1290" spans="2:11" x14ac:dyDescent="0.25">
      <c r="B1290" t="s">
        <v>802</v>
      </c>
      <c r="C1290">
        <v>2020</v>
      </c>
      <c r="D1290" s="1">
        <v>600000</v>
      </c>
      <c r="E1290">
        <v>5000</v>
      </c>
      <c r="F1290" t="s">
        <v>9</v>
      </c>
      <c r="G1290" t="s">
        <v>10</v>
      </c>
      <c r="H1290" t="s">
        <v>11</v>
      </c>
      <c r="I1290" t="s">
        <v>12</v>
      </c>
      <c r="J1290">
        <f t="shared" si="40"/>
        <v>6</v>
      </c>
      <c r="K1290" t="str">
        <f t="shared" si="41"/>
        <v>Mid Range</v>
      </c>
    </row>
    <row r="1291" spans="2:11" x14ac:dyDescent="0.25">
      <c r="B1291" t="s">
        <v>803</v>
      </c>
      <c r="C1291">
        <v>2016</v>
      </c>
      <c r="D1291" s="1">
        <v>470000</v>
      </c>
      <c r="E1291">
        <v>100000</v>
      </c>
      <c r="F1291" t="s">
        <v>15</v>
      </c>
      <c r="G1291" t="s">
        <v>10</v>
      </c>
      <c r="H1291" t="s">
        <v>11</v>
      </c>
      <c r="I1291" t="s">
        <v>18</v>
      </c>
      <c r="J1291">
        <f t="shared" si="40"/>
        <v>10</v>
      </c>
      <c r="K1291" t="str">
        <f t="shared" si="41"/>
        <v>Budget</v>
      </c>
    </row>
    <row r="1292" spans="2:11" x14ac:dyDescent="0.25">
      <c r="B1292" t="s">
        <v>539</v>
      </c>
      <c r="C1292">
        <v>2011</v>
      </c>
      <c r="D1292" s="1">
        <v>300000</v>
      </c>
      <c r="E1292">
        <v>100000</v>
      </c>
      <c r="F1292" t="s">
        <v>9</v>
      </c>
      <c r="G1292" t="s">
        <v>10</v>
      </c>
      <c r="H1292" t="s">
        <v>11</v>
      </c>
      <c r="I1292" t="s">
        <v>18</v>
      </c>
      <c r="J1292">
        <f t="shared" si="40"/>
        <v>15</v>
      </c>
      <c r="K1292" t="str">
        <f t="shared" si="41"/>
        <v>Budget</v>
      </c>
    </row>
    <row r="1293" spans="2:11" x14ac:dyDescent="0.25">
      <c r="B1293" t="s">
        <v>121</v>
      </c>
      <c r="C1293">
        <v>2018</v>
      </c>
      <c r="D1293" s="1">
        <v>600000</v>
      </c>
      <c r="E1293">
        <v>2000</v>
      </c>
      <c r="F1293" t="s">
        <v>9</v>
      </c>
      <c r="G1293" t="s">
        <v>10</v>
      </c>
      <c r="H1293" t="s">
        <v>11</v>
      </c>
      <c r="I1293" t="s">
        <v>12</v>
      </c>
      <c r="J1293">
        <f t="shared" si="40"/>
        <v>8</v>
      </c>
      <c r="K1293" t="str">
        <f t="shared" si="41"/>
        <v>Mid Range</v>
      </c>
    </row>
    <row r="1294" spans="2:11" x14ac:dyDescent="0.25">
      <c r="B1294" t="s">
        <v>804</v>
      </c>
      <c r="C1294">
        <v>2020</v>
      </c>
      <c r="D1294" s="1">
        <v>640000</v>
      </c>
      <c r="E1294">
        <v>4000</v>
      </c>
      <c r="F1294" t="s">
        <v>9</v>
      </c>
      <c r="G1294" t="s">
        <v>10</v>
      </c>
      <c r="H1294" t="s">
        <v>28</v>
      </c>
      <c r="I1294" t="s">
        <v>12</v>
      </c>
      <c r="J1294">
        <f t="shared" si="40"/>
        <v>6</v>
      </c>
      <c r="K1294" t="str">
        <f t="shared" si="41"/>
        <v>Mid Range</v>
      </c>
    </row>
    <row r="1295" spans="2:11" x14ac:dyDescent="0.25">
      <c r="B1295" t="s">
        <v>67</v>
      </c>
      <c r="C1295">
        <v>2006</v>
      </c>
      <c r="D1295" s="1">
        <v>50000</v>
      </c>
      <c r="E1295">
        <v>120000</v>
      </c>
      <c r="F1295" t="s">
        <v>15</v>
      </c>
      <c r="G1295" t="s">
        <v>10</v>
      </c>
      <c r="H1295" t="s">
        <v>11</v>
      </c>
      <c r="I1295" t="s">
        <v>46</v>
      </c>
      <c r="J1295">
        <f t="shared" si="40"/>
        <v>20</v>
      </c>
      <c r="K1295" t="str">
        <f t="shared" si="41"/>
        <v>Budget</v>
      </c>
    </row>
    <row r="1296" spans="2:11" x14ac:dyDescent="0.25">
      <c r="B1296" t="s">
        <v>805</v>
      </c>
      <c r="C1296">
        <v>2015</v>
      </c>
      <c r="D1296" s="1">
        <v>600000</v>
      </c>
      <c r="E1296">
        <v>35000</v>
      </c>
      <c r="F1296" t="s">
        <v>9</v>
      </c>
      <c r="G1296" t="s">
        <v>10</v>
      </c>
      <c r="H1296" t="s">
        <v>11</v>
      </c>
      <c r="I1296" t="s">
        <v>12</v>
      </c>
      <c r="J1296">
        <f t="shared" si="40"/>
        <v>11</v>
      </c>
      <c r="K1296" t="str">
        <f t="shared" si="41"/>
        <v>Mid Range</v>
      </c>
    </row>
    <row r="1297" spans="2:11" x14ac:dyDescent="0.25">
      <c r="B1297" t="s">
        <v>445</v>
      </c>
      <c r="C1297">
        <v>2014</v>
      </c>
      <c r="D1297" s="1">
        <v>290000</v>
      </c>
      <c r="E1297">
        <v>29000</v>
      </c>
      <c r="F1297" t="s">
        <v>152</v>
      </c>
      <c r="G1297" t="s">
        <v>10</v>
      </c>
      <c r="H1297" t="s">
        <v>11</v>
      </c>
      <c r="I1297" t="s">
        <v>12</v>
      </c>
      <c r="J1297">
        <f t="shared" si="40"/>
        <v>12</v>
      </c>
      <c r="K1297" t="str">
        <f t="shared" si="41"/>
        <v>Budget</v>
      </c>
    </row>
    <row r="1298" spans="2:11" x14ac:dyDescent="0.25">
      <c r="B1298" t="s">
        <v>805</v>
      </c>
      <c r="C1298">
        <v>2015</v>
      </c>
      <c r="D1298" s="1">
        <v>600000</v>
      </c>
      <c r="E1298">
        <v>30000</v>
      </c>
      <c r="F1298" t="s">
        <v>9</v>
      </c>
      <c r="G1298" t="s">
        <v>10</v>
      </c>
      <c r="H1298" t="s">
        <v>11</v>
      </c>
      <c r="I1298" t="s">
        <v>12</v>
      </c>
      <c r="J1298">
        <f t="shared" si="40"/>
        <v>11</v>
      </c>
      <c r="K1298" t="str">
        <f t="shared" si="41"/>
        <v>Mid Range</v>
      </c>
    </row>
    <row r="1299" spans="2:11" x14ac:dyDescent="0.25">
      <c r="B1299" t="s">
        <v>806</v>
      </c>
      <c r="C1299">
        <v>2012</v>
      </c>
      <c r="D1299" s="1">
        <v>190000</v>
      </c>
      <c r="E1299">
        <v>120000</v>
      </c>
      <c r="F1299" t="s">
        <v>15</v>
      </c>
      <c r="G1299" t="s">
        <v>10</v>
      </c>
      <c r="H1299" t="s">
        <v>11</v>
      </c>
      <c r="I1299" t="s">
        <v>12</v>
      </c>
      <c r="J1299">
        <f t="shared" si="40"/>
        <v>14</v>
      </c>
      <c r="K1299" t="str">
        <f t="shared" si="41"/>
        <v>Budget</v>
      </c>
    </row>
    <row r="1300" spans="2:11" x14ac:dyDescent="0.25">
      <c r="B1300" t="s">
        <v>365</v>
      </c>
      <c r="C1300">
        <v>2008</v>
      </c>
      <c r="D1300" s="1">
        <v>160000</v>
      </c>
      <c r="E1300">
        <v>110000</v>
      </c>
      <c r="F1300" t="s">
        <v>9</v>
      </c>
      <c r="G1300" t="s">
        <v>10</v>
      </c>
      <c r="H1300" t="s">
        <v>11</v>
      </c>
      <c r="I1300" t="s">
        <v>49</v>
      </c>
      <c r="J1300">
        <f t="shared" si="40"/>
        <v>18</v>
      </c>
      <c r="K1300" t="str">
        <f t="shared" si="41"/>
        <v>Budget</v>
      </c>
    </row>
    <row r="1301" spans="2:11" x14ac:dyDescent="0.25">
      <c r="B1301" t="s">
        <v>170</v>
      </c>
      <c r="C1301">
        <v>2017</v>
      </c>
      <c r="D1301" s="1">
        <v>325000</v>
      </c>
      <c r="E1301">
        <v>15000</v>
      </c>
      <c r="F1301" t="s">
        <v>9</v>
      </c>
      <c r="G1301" t="s">
        <v>10</v>
      </c>
      <c r="H1301" t="s">
        <v>11</v>
      </c>
      <c r="I1301" t="s">
        <v>12</v>
      </c>
      <c r="J1301">
        <f t="shared" si="40"/>
        <v>9</v>
      </c>
      <c r="K1301" t="str">
        <f t="shared" si="41"/>
        <v>Budget</v>
      </c>
    </row>
    <row r="1302" spans="2:11" x14ac:dyDescent="0.25">
      <c r="B1302" t="s">
        <v>662</v>
      </c>
      <c r="C1302">
        <v>2006</v>
      </c>
      <c r="D1302" s="1">
        <v>200000</v>
      </c>
      <c r="E1302">
        <v>73756</v>
      </c>
      <c r="F1302" t="s">
        <v>15</v>
      </c>
      <c r="G1302" t="s">
        <v>10</v>
      </c>
      <c r="H1302" t="s">
        <v>11</v>
      </c>
      <c r="I1302" t="s">
        <v>12</v>
      </c>
      <c r="J1302">
        <f t="shared" si="40"/>
        <v>20</v>
      </c>
      <c r="K1302" t="str">
        <f t="shared" si="41"/>
        <v>Budget</v>
      </c>
    </row>
    <row r="1303" spans="2:11" x14ac:dyDescent="0.25">
      <c r="B1303" t="s">
        <v>509</v>
      </c>
      <c r="C1303">
        <v>2018</v>
      </c>
      <c r="D1303" s="1">
        <v>2800000</v>
      </c>
      <c r="E1303">
        <v>40000</v>
      </c>
      <c r="F1303" t="s">
        <v>15</v>
      </c>
      <c r="G1303" t="s">
        <v>10</v>
      </c>
      <c r="H1303" t="s">
        <v>28</v>
      </c>
      <c r="I1303" t="s">
        <v>12</v>
      </c>
      <c r="J1303">
        <f t="shared" si="40"/>
        <v>8</v>
      </c>
      <c r="K1303" t="str">
        <f t="shared" si="41"/>
        <v>Premium</v>
      </c>
    </row>
    <row r="1304" spans="2:11" x14ac:dyDescent="0.25">
      <c r="B1304" t="s">
        <v>135</v>
      </c>
      <c r="C1304">
        <v>2011</v>
      </c>
      <c r="D1304" s="1">
        <v>125000</v>
      </c>
      <c r="E1304">
        <v>60000</v>
      </c>
      <c r="F1304" t="s">
        <v>9</v>
      </c>
      <c r="G1304" t="s">
        <v>10</v>
      </c>
      <c r="H1304" t="s">
        <v>11</v>
      </c>
      <c r="I1304" t="s">
        <v>49</v>
      </c>
      <c r="J1304">
        <f t="shared" si="40"/>
        <v>15</v>
      </c>
      <c r="K1304" t="str">
        <f t="shared" si="41"/>
        <v>Budget</v>
      </c>
    </row>
    <row r="1305" spans="2:11" x14ac:dyDescent="0.25">
      <c r="B1305" t="s">
        <v>563</v>
      </c>
      <c r="C1305">
        <v>2008</v>
      </c>
      <c r="D1305" s="1">
        <v>155000</v>
      </c>
      <c r="E1305">
        <v>60000</v>
      </c>
      <c r="F1305" t="s">
        <v>9</v>
      </c>
      <c r="G1305" t="s">
        <v>10</v>
      </c>
      <c r="H1305" t="s">
        <v>11</v>
      </c>
      <c r="I1305" t="s">
        <v>46</v>
      </c>
      <c r="J1305">
        <f t="shared" si="40"/>
        <v>18</v>
      </c>
      <c r="K1305" t="str">
        <f t="shared" si="41"/>
        <v>Budget</v>
      </c>
    </row>
    <row r="1306" spans="2:11" x14ac:dyDescent="0.25">
      <c r="B1306" t="s">
        <v>144</v>
      </c>
      <c r="C1306">
        <v>2015</v>
      </c>
      <c r="D1306" s="1">
        <v>550000</v>
      </c>
      <c r="E1306">
        <v>90000</v>
      </c>
      <c r="F1306" t="s">
        <v>15</v>
      </c>
      <c r="G1306" t="s">
        <v>10</v>
      </c>
      <c r="H1306" t="s">
        <v>11</v>
      </c>
      <c r="I1306" t="s">
        <v>12</v>
      </c>
      <c r="J1306">
        <f t="shared" si="40"/>
        <v>11</v>
      </c>
      <c r="K1306" t="str">
        <f t="shared" si="41"/>
        <v>Mid Range</v>
      </c>
    </row>
    <row r="1307" spans="2:11" x14ac:dyDescent="0.25">
      <c r="B1307" t="s">
        <v>807</v>
      </c>
      <c r="C1307">
        <v>2009</v>
      </c>
      <c r="D1307" s="1">
        <v>130000</v>
      </c>
      <c r="E1307">
        <v>70000</v>
      </c>
      <c r="F1307" t="s">
        <v>9</v>
      </c>
      <c r="G1307" t="s">
        <v>10</v>
      </c>
      <c r="H1307" t="s">
        <v>11</v>
      </c>
      <c r="I1307" t="s">
        <v>46</v>
      </c>
      <c r="J1307">
        <f t="shared" si="40"/>
        <v>17</v>
      </c>
      <c r="K1307" t="str">
        <f t="shared" si="41"/>
        <v>Budget</v>
      </c>
    </row>
    <row r="1308" spans="2:11" x14ac:dyDescent="0.25">
      <c r="B1308" t="s">
        <v>8</v>
      </c>
      <c r="C1308">
        <v>2002</v>
      </c>
      <c r="D1308" s="1">
        <v>80000</v>
      </c>
      <c r="E1308">
        <v>70000</v>
      </c>
      <c r="F1308" t="s">
        <v>9</v>
      </c>
      <c r="G1308" t="s">
        <v>10</v>
      </c>
      <c r="H1308" t="s">
        <v>11</v>
      </c>
      <c r="I1308" t="s">
        <v>18</v>
      </c>
      <c r="J1308">
        <f t="shared" si="40"/>
        <v>24</v>
      </c>
      <c r="K1308" t="str">
        <f t="shared" si="41"/>
        <v>Budget</v>
      </c>
    </row>
    <row r="1309" spans="2:11" x14ac:dyDescent="0.25">
      <c r="B1309" t="s">
        <v>808</v>
      </c>
      <c r="C1309">
        <v>2015</v>
      </c>
      <c r="D1309" s="1">
        <v>500000</v>
      </c>
      <c r="E1309">
        <v>80000</v>
      </c>
      <c r="F1309" t="s">
        <v>15</v>
      </c>
      <c r="G1309" t="s">
        <v>10</v>
      </c>
      <c r="H1309" t="s">
        <v>11</v>
      </c>
      <c r="I1309" t="s">
        <v>18</v>
      </c>
      <c r="J1309">
        <f t="shared" si="40"/>
        <v>11</v>
      </c>
      <c r="K1309" t="str">
        <f t="shared" si="41"/>
        <v>Mid Range</v>
      </c>
    </row>
    <row r="1310" spans="2:11" x14ac:dyDescent="0.25">
      <c r="B1310" t="s">
        <v>809</v>
      </c>
      <c r="C1310">
        <v>2019</v>
      </c>
      <c r="D1310" s="1">
        <v>250000</v>
      </c>
      <c r="E1310">
        <v>27000</v>
      </c>
      <c r="F1310" t="s">
        <v>9</v>
      </c>
      <c r="G1310" t="s">
        <v>10</v>
      </c>
      <c r="H1310" t="s">
        <v>11</v>
      </c>
      <c r="I1310" t="s">
        <v>12</v>
      </c>
      <c r="J1310">
        <f t="shared" si="40"/>
        <v>7</v>
      </c>
      <c r="K1310" t="str">
        <f t="shared" si="41"/>
        <v>Budget</v>
      </c>
    </row>
    <row r="1311" spans="2:11" x14ac:dyDescent="0.25">
      <c r="B1311" t="s">
        <v>90</v>
      </c>
      <c r="C1311">
        <v>2012</v>
      </c>
      <c r="D1311" s="1">
        <v>580000</v>
      </c>
      <c r="E1311">
        <v>70000</v>
      </c>
      <c r="F1311" t="s">
        <v>15</v>
      </c>
      <c r="G1311" t="s">
        <v>10</v>
      </c>
      <c r="H1311" t="s">
        <v>11</v>
      </c>
      <c r="I1311" t="s">
        <v>12</v>
      </c>
      <c r="J1311">
        <f t="shared" si="40"/>
        <v>14</v>
      </c>
      <c r="K1311" t="str">
        <f t="shared" si="41"/>
        <v>Mid Range</v>
      </c>
    </row>
    <row r="1312" spans="2:11" x14ac:dyDescent="0.25">
      <c r="B1312" t="s">
        <v>810</v>
      </c>
      <c r="C1312">
        <v>2002</v>
      </c>
      <c r="D1312" s="1">
        <v>60000</v>
      </c>
      <c r="E1312">
        <v>50000</v>
      </c>
      <c r="F1312" t="s">
        <v>9</v>
      </c>
      <c r="G1312" t="s">
        <v>10</v>
      </c>
      <c r="H1312" t="s">
        <v>11</v>
      </c>
      <c r="I1312" t="s">
        <v>12</v>
      </c>
      <c r="J1312">
        <f t="shared" si="40"/>
        <v>24</v>
      </c>
      <c r="K1312" t="str">
        <f t="shared" si="41"/>
        <v>Budget</v>
      </c>
    </row>
    <row r="1313" spans="2:11" x14ac:dyDescent="0.25">
      <c r="B1313" t="s">
        <v>69</v>
      </c>
      <c r="C1313">
        <v>2012</v>
      </c>
      <c r="D1313" s="1">
        <v>300000</v>
      </c>
      <c r="E1313">
        <v>185000</v>
      </c>
      <c r="F1313" t="s">
        <v>15</v>
      </c>
      <c r="G1313" t="s">
        <v>10</v>
      </c>
      <c r="H1313" t="s">
        <v>11</v>
      </c>
      <c r="I1313" t="s">
        <v>12</v>
      </c>
      <c r="J1313">
        <f t="shared" si="40"/>
        <v>14</v>
      </c>
      <c r="K1313" t="str">
        <f t="shared" si="41"/>
        <v>Budget</v>
      </c>
    </row>
    <row r="1314" spans="2:11" x14ac:dyDescent="0.25">
      <c r="B1314" t="s">
        <v>180</v>
      </c>
      <c r="C1314">
        <v>2014</v>
      </c>
      <c r="D1314" s="1">
        <v>200000</v>
      </c>
      <c r="E1314">
        <v>90000</v>
      </c>
      <c r="F1314" t="s">
        <v>15</v>
      </c>
      <c r="G1314" t="s">
        <v>10</v>
      </c>
      <c r="H1314" t="s">
        <v>11</v>
      </c>
      <c r="I1314" t="s">
        <v>18</v>
      </c>
      <c r="J1314">
        <f t="shared" si="40"/>
        <v>12</v>
      </c>
      <c r="K1314" t="str">
        <f t="shared" si="41"/>
        <v>Budget</v>
      </c>
    </row>
    <row r="1315" spans="2:11" x14ac:dyDescent="0.25">
      <c r="B1315" t="s">
        <v>811</v>
      </c>
      <c r="C1315">
        <v>2017</v>
      </c>
      <c r="D1315" s="1">
        <v>1200000</v>
      </c>
      <c r="E1315">
        <v>16400</v>
      </c>
      <c r="F1315" t="s">
        <v>15</v>
      </c>
      <c r="G1315" t="s">
        <v>10</v>
      </c>
      <c r="H1315" t="s">
        <v>11</v>
      </c>
      <c r="I1315" t="s">
        <v>12</v>
      </c>
      <c r="J1315">
        <f t="shared" si="40"/>
        <v>9</v>
      </c>
      <c r="K1315" t="str">
        <f t="shared" si="41"/>
        <v>Premium</v>
      </c>
    </row>
    <row r="1316" spans="2:11" x14ac:dyDescent="0.25">
      <c r="B1316" t="s">
        <v>808</v>
      </c>
      <c r="C1316">
        <v>2015</v>
      </c>
      <c r="D1316" s="1">
        <v>350000</v>
      </c>
      <c r="E1316">
        <v>80000</v>
      </c>
      <c r="F1316" t="s">
        <v>15</v>
      </c>
      <c r="G1316" t="s">
        <v>10</v>
      </c>
      <c r="H1316" t="s">
        <v>11</v>
      </c>
      <c r="I1316" t="s">
        <v>18</v>
      </c>
      <c r="J1316">
        <f t="shared" si="40"/>
        <v>11</v>
      </c>
      <c r="K1316" t="str">
        <f t="shared" si="41"/>
        <v>Budget</v>
      </c>
    </row>
    <row r="1317" spans="2:11" x14ac:dyDescent="0.25">
      <c r="B1317" t="s">
        <v>495</v>
      </c>
      <c r="C1317">
        <v>2012</v>
      </c>
      <c r="D1317" s="1">
        <v>600000</v>
      </c>
      <c r="E1317">
        <v>80000</v>
      </c>
      <c r="F1317" t="s">
        <v>15</v>
      </c>
      <c r="G1317" t="s">
        <v>10</v>
      </c>
      <c r="H1317" t="s">
        <v>11</v>
      </c>
      <c r="I1317" t="s">
        <v>18</v>
      </c>
      <c r="J1317">
        <f t="shared" si="40"/>
        <v>14</v>
      </c>
      <c r="K1317" t="str">
        <f t="shared" si="41"/>
        <v>Mid Range</v>
      </c>
    </row>
    <row r="1318" spans="2:11" x14ac:dyDescent="0.25">
      <c r="B1318" t="s">
        <v>812</v>
      </c>
      <c r="C1318">
        <v>2019</v>
      </c>
      <c r="D1318" s="1">
        <v>650000</v>
      </c>
      <c r="E1318">
        <v>4000</v>
      </c>
      <c r="F1318" t="s">
        <v>9</v>
      </c>
      <c r="G1318" t="s">
        <v>10</v>
      </c>
      <c r="H1318" t="s">
        <v>11</v>
      </c>
      <c r="I1318" t="s">
        <v>12</v>
      </c>
      <c r="J1318">
        <f t="shared" si="40"/>
        <v>7</v>
      </c>
      <c r="K1318" t="str">
        <f t="shared" si="41"/>
        <v>Mid Range</v>
      </c>
    </row>
    <row r="1319" spans="2:11" x14ac:dyDescent="0.25">
      <c r="B1319" t="s">
        <v>813</v>
      </c>
      <c r="C1319">
        <v>2008</v>
      </c>
      <c r="D1319" s="1">
        <v>120000</v>
      </c>
      <c r="E1319">
        <v>40000</v>
      </c>
      <c r="F1319" t="s">
        <v>9</v>
      </c>
      <c r="G1319" t="s">
        <v>10</v>
      </c>
      <c r="H1319" t="s">
        <v>11</v>
      </c>
      <c r="I1319" t="s">
        <v>12</v>
      </c>
      <c r="J1319">
        <f t="shared" si="40"/>
        <v>18</v>
      </c>
      <c r="K1319" t="str">
        <f t="shared" si="41"/>
        <v>Budget</v>
      </c>
    </row>
    <row r="1320" spans="2:11" x14ac:dyDescent="0.25">
      <c r="B1320" t="s">
        <v>331</v>
      </c>
      <c r="C1320">
        <v>2010</v>
      </c>
      <c r="D1320" s="1">
        <v>180000</v>
      </c>
      <c r="E1320">
        <v>120000</v>
      </c>
      <c r="F1320" t="s">
        <v>15</v>
      </c>
      <c r="G1320" t="s">
        <v>10</v>
      </c>
      <c r="H1320" t="s">
        <v>11</v>
      </c>
      <c r="I1320" t="s">
        <v>18</v>
      </c>
      <c r="J1320">
        <f t="shared" si="40"/>
        <v>16</v>
      </c>
      <c r="K1320" t="str">
        <f t="shared" si="41"/>
        <v>Budget</v>
      </c>
    </row>
    <row r="1321" spans="2:11" x14ac:dyDescent="0.25">
      <c r="B1321" t="s">
        <v>404</v>
      </c>
      <c r="C1321">
        <v>2018</v>
      </c>
      <c r="D1321" s="1">
        <v>950000</v>
      </c>
      <c r="E1321">
        <v>41395</v>
      </c>
      <c r="F1321" t="s">
        <v>9</v>
      </c>
      <c r="G1321" t="s">
        <v>10</v>
      </c>
      <c r="H1321" t="s">
        <v>28</v>
      </c>
      <c r="I1321" t="s">
        <v>12</v>
      </c>
      <c r="J1321">
        <f t="shared" si="40"/>
        <v>8</v>
      </c>
      <c r="K1321" t="str">
        <f t="shared" si="41"/>
        <v>Mid Range</v>
      </c>
    </row>
    <row r="1322" spans="2:11" x14ac:dyDescent="0.25">
      <c r="B1322" t="s">
        <v>310</v>
      </c>
      <c r="C1322">
        <v>2012</v>
      </c>
      <c r="D1322" s="1">
        <v>250999</v>
      </c>
      <c r="E1322">
        <v>35000</v>
      </c>
      <c r="F1322" t="s">
        <v>15</v>
      </c>
      <c r="G1322" t="s">
        <v>10</v>
      </c>
      <c r="H1322" t="s">
        <v>11</v>
      </c>
      <c r="I1322" t="s">
        <v>18</v>
      </c>
      <c r="J1322">
        <f t="shared" si="40"/>
        <v>14</v>
      </c>
      <c r="K1322" t="str">
        <f t="shared" si="41"/>
        <v>Budget</v>
      </c>
    </row>
    <row r="1323" spans="2:11" x14ac:dyDescent="0.25">
      <c r="B1323" t="s">
        <v>814</v>
      </c>
      <c r="C1323">
        <v>2009</v>
      </c>
      <c r="D1323" s="1">
        <v>1250000</v>
      </c>
      <c r="E1323">
        <v>47000</v>
      </c>
      <c r="F1323" t="s">
        <v>15</v>
      </c>
      <c r="G1323" t="s">
        <v>27</v>
      </c>
      <c r="H1323" t="s">
        <v>28</v>
      </c>
      <c r="I1323" t="s">
        <v>18</v>
      </c>
      <c r="J1323">
        <f t="shared" si="40"/>
        <v>17</v>
      </c>
      <c r="K1323" t="str">
        <f t="shared" si="41"/>
        <v>Premium</v>
      </c>
    </row>
    <row r="1324" spans="2:11" x14ac:dyDescent="0.25">
      <c r="B1324" t="s">
        <v>161</v>
      </c>
      <c r="C1324">
        <v>2013</v>
      </c>
      <c r="D1324" s="1">
        <v>165000</v>
      </c>
      <c r="E1324">
        <v>50000</v>
      </c>
      <c r="F1324" t="s">
        <v>9</v>
      </c>
      <c r="G1324" t="s">
        <v>10</v>
      </c>
      <c r="H1324" t="s">
        <v>11</v>
      </c>
      <c r="I1324" t="s">
        <v>12</v>
      </c>
      <c r="J1324">
        <f t="shared" si="40"/>
        <v>13</v>
      </c>
      <c r="K1324" t="str">
        <f t="shared" si="41"/>
        <v>Budget</v>
      </c>
    </row>
    <row r="1325" spans="2:11" x14ac:dyDescent="0.25">
      <c r="B1325" t="s">
        <v>815</v>
      </c>
      <c r="C1325">
        <v>2015</v>
      </c>
      <c r="D1325" s="1">
        <v>700000</v>
      </c>
      <c r="E1325">
        <v>48000</v>
      </c>
      <c r="F1325" t="s">
        <v>9</v>
      </c>
      <c r="G1325" t="s">
        <v>27</v>
      </c>
      <c r="H1325" t="s">
        <v>11</v>
      </c>
      <c r="I1325" t="s">
        <v>12</v>
      </c>
      <c r="J1325">
        <f t="shared" si="40"/>
        <v>11</v>
      </c>
      <c r="K1325" t="str">
        <f t="shared" si="41"/>
        <v>Mid Range</v>
      </c>
    </row>
    <row r="1326" spans="2:11" x14ac:dyDescent="0.25">
      <c r="B1326" t="s">
        <v>495</v>
      </c>
      <c r="C1326">
        <v>2015</v>
      </c>
      <c r="D1326" s="1">
        <v>750000</v>
      </c>
      <c r="E1326">
        <v>53000</v>
      </c>
      <c r="F1326" t="s">
        <v>15</v>
      </c>
      <c r="G1326" t="s">
        <v>27</v>
      </c>
      <c r="H1326" t="s">
        <v>11</v>
      </c>
      <c r="I1326" t="s">
        <v>12</v>
      </c>
      <c r="J1326">
        <f t="shared" si="40"/>
        <v>11</v>
      </c>
      <c r="K1326" t="str">
        <f t="shared" si="41"/>
        <v>Mid Range</v>
      </c>
    </row>
    <row r="1327" spans="2:11" x14ac:dyDescent="0.25">
      <c r="B1327" t="s">
        <v>816</v>
      </c>
      <c r="C1327">
        <v>2018</v>
      </c>
      <c r="D1327" s="1">
        <v>290000</v>
      </c>
      <c r="E1327">
        <v>15000</v>
      </c>
      <c r="F1327" t="s">
        <v>9</v>
      </c>
      <c r="G1327" t="s">
        <v>27</v>
      </c>
      <c r="H1327" t="s">
        <v>28</v>
      </c>
      <c r="I1327" t="s">
        <v>12</v>
      </c>
      <c r="J1327">
        <f t="shared" si="40"/>
        <v>8</v>
      </c>
      <c r="K1327" t="str">
        <f t="shared" si="41"/>
        <v>Budget</v>
      </c>
    </row>
    <row r="1328" spans="2:11" x14ac:dyDescent="0.25">
      <c r="B1328" t="s">
        <v>817</v>
      </c>
      <c r="C1328">
        <v>2014</v>
      </c>
      <c r="D1328" s="1">
        <v>45000</v>
      </c>
      <c r="E1328">
        <v>7000</v>
      </c>
      <c r="F1328" t="s">
        <v>9</v>
      </c>
      <c r="G1328" t="s">
        <v>10</v>
      </c>
      <c r="H1328" t="s">
        <v>11</v>
      </c>
      <c r="I1328" t="s">
        <v>18</v>
      </c>
      <c r="J1328">
        <f t="shared" si="40"/>
        <v>12</v>
      </c>
      <c r="K1328" t="str">
        <f t="shared" si="41"/>
        <v>Budget</v>
      </c>
    </row>
    <row r="1329" spans="2:11" x14ac:dyDescent="0.25">
      <c r="B1329" t="s">
        <v>40</v>
      </c>
      <c r="C1329">
        <v>2013</v>
      </c>
      <c r="D1329" s="1">
        <v>675000</v>
      </c>
      <c r="E1329">
        <v>88000</v>
      </c>
      <c r="F1329" t="s">
        <v>15</v>
      </c>
      <c r="G1329" t="s">
        <v>27</v>
      </c>
      <c r="H1329" t="s">
        <v>28</v>
      </c>
      <c r="I1329" t="s">
        <v>12</v>
      </c>
      <c r="J1329">
        <f t="shared" si="40"/>
        <v>13</v>
      </c>
      <c r="K1329" t="str">
        <f t="shared" si="41"/>
        <v>Mid Range</v>
      </c>
    </row>
    <row r="1330" spans="2:11" x14ac:dyDescent="0.25">
      <c r="B1330" t="s">
        <v>623</v>
      </c>
      <c r="C1330">
        <v>2015</v>
      </c>
      <c r="D1330" s="1">
        <v>530000</v>
      </c>
      <c r="E1330">
        <v>55000</v>
      </c>
      <c r="F1330" t="s">
        <v>15</v>
      </c>
      <c r="G1330" t="s">
        <v>27</v>
      </c>
      <c r="H1330" t="s">
        <v>11</v>
      </c>
      <c r="I1330" t="s">
        <v>12</v>
      </c>
      <c r="J1330">
        <f t="shared" si="40"/>
        <v>11</v>
      </c>
      <c r="K1330" t="str">
        <f t="shared" si="41"/>
        <v>Mid Range</v>
      </c>
    </row>
    <row r="1331" spans="2:11" x14ac:dyDescent="0.25">
      <c r="B1331" t="s">
        <v>818</v>
      </c>
      <c r="C1331">
        <v>2014</v>
      </c>
      <c r="D1331" s="1">
        <v>1485000</v>
      </c>
      <c r="E1331">
        <v>48000</v>
      </c>
      <c r="F1331" t="s">
        <v>15</v>
      </c>
      <c r="G1331" t="s">
        <v>27</v>
      </c>
      <c r="H1331" t="s">
        <v>28</v>
      </c>
      <c r="I1331" t="s">
        <v>12</v>
      </c>
      <c r="J1331">
        <f t="shared" si="40"/>
        <v>12</v>
      </c>
      <c r="K1331" t="str">
        <f t="shared" si="41"/>
        <v>Premium</v>
      </c>
    </row>
    <row r="1332" spans="2:11" x14ac:dyDescent="0.25">
      <c r="B1332" t="s">
        <v>819</v>
      </c>
      <c r="C1332">
        <v>2014</v>
      </c>
      <c r="D1332" s="1">
        <v>325000</v>
      </c>
      <c r="E1332">
        <v>71014</v>
      </c>
      <c r="F1332" t="s">
        <v>15</v>
      </c>
      <c r="G1332" t="s">
        <v>27</v>
      </c>
      <c r="H1332" t="s">
        <v>11</v>
      </c>
      <c r="I1332" t="s">
        <v>12</v>
      </c>
      <c r="J1332">
        <f t="shared" si="40"/>
        <v>12</v>
      </c>
      <c r="K1332" t="str">
        <f t="shared" si="41"/>
        <v>Budget</v>
      </c>
    </row>
    <row r="1333" spans="2:11" x14ac:dyDescent="0.25">
      <c r="B1333" t="s">
        <v>820</v>
      </c>
      <c r="C1333">
        <v>2015</v>
      </c>
      <c r="D1333" s="1">
        <v>400000</v>
      </c>
      <c r="E1333">
        <v>60000</v>
      </c>
      <c r="F1333" t="s">
        <v>15</v>
      </c>
      <c r="G1333" t="s">
        <v>27</v>
      </c>
      <c r="H1333" t="s">
        <v>11</v>
      </c>
      <c r="I1333" t="s">
        <v>12</v>
      </c>
      <c r="J1333">
        <f t="shared" si="40"/>
        <v>11</v>
      </c>
      <c r="K1333" t="str">
        <f t="shared" si="41"/>
        <v>Budget</v>
      </c>
    </row>
    <row r="1334" spans="2:11" x14ac:dyDescent="0.25">
      <c r="B1334" t="s">
        <v>821</v>
      </c>
      <c r="C1334">
        <v>2017</v>
      </c>
      <c r="D1334" s="1">
        <v>380000</v>
      </c>
      <c r="E1334">
        <v>71000</v>
      </c>
      <c r="F1334" t="s">
        <v>15</v>
      </c>
      <c r="G1334" t="s">
        <v>27</v>
      </c>
      <c r="H1334" t="s">
        <v>11</v>
      </c>
      <c r="I1334" t="s">
        <v>12</v>
      </c>
      <c r="J1334">
        <f t="shared" si="40"/>
        <v>9</v>
      </c>
      <c r="K1334" t="str">
        <f t="shared" si="41"/>
        <v>Budget</v>
      </c>
    </row>
    <row r="1335" spans="2:11" x14ac:dyDescent="0.25">
      <c r="B1335" t="s">
        <v>822</v>
      </c>
      <c r="C1335">
        <v>2016</v>
      </c>
      <c r="D1335" s="1">
        <v>750000</v>
      </c>
      <c r="E1335">
        <v>45000</v>
      </c>
      <c r="F1335" t="s">
        <v>9</v>
      </c>
      <c r="G1335" t="s">
        <v>27</v>
      </c>
      <c r="H1335" t="s">
        <v>28</v>
      </c>
      <c r="I1335" t="s">
        <v>12</v>
      </c>
      <c r="J1335">
        <f t="shared" si="40"/>
        <v>10</v>
      </c>
      <c r="K1335" t="str">
        <f t="shared" si="41"/>
        <v>Mid Range</v>
      </c>
    </row>
    <row r="1336" spans="2:11" x14ac:dyDescent="0.25">
      <c r="B1336" t="s">
        <v>823</v>
      </c>
      <c r="C1336">
        <v>2017</v>
      </c>
      <c r="D1336" s="1">
        <v>390000</v>
      </c>
      <c r="E1336">
        <v>45000</v>
      </c>
      <c r="F1336" t="s">
        <v>9</v>
      </c>
      <c r="G1336" t="s">
        <v>27</v>
      </c>
      <c r="H1336" t="s">
        <v>11</v>
      </c>
      <c r="I1336" t="s">
        <v>12</v>
      </c>
      <c r="J1336">
        <f t="shared" si="40"/>
        <v>9</v>
      </c>
      <c r="K1336" t="str">
        <f t="shared" si="41"/>
        <v>Budget</v>
      </c>
    </row>
    <row r="1337" spans="2:11" x14ac:dyDescent="0.25">
      <c r="B1337" t="s">
        <v>824</v>
      </c>
      <c r="C1337">
        <v>2019</v>
      </c>
      <c r="D1337" s="1">
        <v>1825000</v>
      </c>
      <c r="E1337">
        <v>14000</v>
      </c>
      <c r="F1337" t="s">
        <v>15</v>
      </c>
      <c r="G1337" t="s">
        <v>27</v>
      </c>
      <c r="H1337" t="s">
        <v>11</v>
      </c>
      <c r="I1337" t="s">
        <v>12</v>
      </c>
      <c r="J1337">
        <f t="shared" si="40"/>
        <v>7</v>
      </c>
      <c r="K1337" t="str">
        <f t="shared" si="41"/>
        <v>Premium</v>
      </c>
    </row>
    <row r="1338" spans="2:11" x14ac:dyDescent="0.25">
      <c r="B1338" t="s">
        <v>825</v>
      </c>
      <c r="C1338">
        <v>2019</v>
      </c>
      <c r="D1338" s="1">
        <v>3256000</v>
      </c>
      <c r="E1338">
        <v>17000</v>
      </c>
      <c r="F1338" t="s">
        <v>15</v>
      </c>
      <c r="G1338" t="s">
        <v>27</v>
      </c>
      <c r="H1338" t="s">
        <v>28</v>
      </c>
      <c r="I1338" t="s">
        <v>12</v>
      </c>
      <c r="J1338">
        <f t="shared" si="40"/>
        <v>7</v>
      </c>
      <c r="K1338" t="str">
        <f t="shared" si="41"/>
        <v>Premium</v>
      </c>
    </row>
    <row r="1339" spans="2:11" x14ac:dyDescent="0.25">
      <c r="B1339" t="s">
        <v>826</v>
      </c>
      <c r="C1339">
        <v>2015</v>
      </c>
      <c r="D1339" s="1">
        <v>370000</v>
      </c>
      <c r="E1339">
        <v>60000</v>
      </c>
      <c r="F1339" t="s">
        <v>15</v>
      </c>
      <c r="G1339" t="s">
        <v>27</v>
      </c>
      <c r="H1339" t="s">
        <v>11</v>
      </c>
      <c r="I1339" t="s">
        <v>12</v>
      </c>
      <c r="J1339">
        <f t="shared" si="40"/>
        <v>11</v>
      </c>
      <c r="K1339" t="str">
        <f t="shared" si="41"/>
        <v>Budget</v>
      </c>
    </row>
    <row r="1340" spans="2:11" x14ac:dyDescent="0.25">
      <c r="B1340" t="s">
        <v>185</v>
      </c>
      <c r="C1340">
        <v>2013</v>
      </c>
      <c r="D1340" s="1">
        <v>210000</v>
      </c>
      <c r="E1340">
        <v>80000</v>
      </c>
      <c r="F1340" t="s">
        <v>15</v>
      </c>
      <c r="G1340" t="s">
        <v>10</v>
      </c>
      <c r="H1340" t="s">
        <v>11</v>
      </c>
      <c r="I1340" t="s">
        <v>18</v>
      </c>
      <c r="J1340">
        <f t="shared" si="40"/>
        <v>13</v>
      </c>
      <c r="K1340" t="str">
        <f t="shared" si="41"/>
        <v>Budget</v>
      </c>
    </row>
    <row r="1341" spans="2:11" x14ac:dyDescent="0.25">
      <c r="B1341" t="s">
        <v>827</v>
      </c>
      <c r="C1341">
        <v>2007</v>
      </c>
      <c r="D1341" s="1">
        <v>175000</v>
      </c>
      <c r="E1341">
        <v>181000</v>
      </c>
      <c r="F1341" t="s">
        <v>15</v>
      </c>
      <c r="G1341" t="s">
        <v>10</v>
      </c>
      <c r="H1341" t="s">
        <v>11</v>
      </c>
      <c r="I1341" t="s">
        <v>46</v>
      </c>
      <c r="J1341">
        <f t="shared" si="40"/>
        <v>19</v>
      </c>
      <c r="K1341" t="str">
        <f t="shared" si="41"/>
        <v>Budget</v>
      </c>
    </row>
    <row r="1342" spans="2:11" x14ac:dyDescent="0.25">
      <c r="B1342" t="s">
        <v>243</v>
      </c>
      <c r="C1342">
        <v>2012</v>
      </c>
      <c r="D1342" s="1">
        <v>575000</v>
      </c>
      <c r="E1342">
        <v>89550</v>
      </c>
      <c r="F1342" t="s">
        <v>15</v>
      </c>
      <c r="G1342" t="s">
        <v>10</v>
      </c>
      <c r="H1342" t="s">
        <v>11</v>
      </c>
      <c r="I1342" t="s">
        <v>18</v>
      </c>
      <c r="J1342">
        <f t="shared" si="40"/>
        <v>14</v>
      </c>
      <c r="K1342" t="str">
        <f t="shared" si="41"/>
        <v>Mid Range</v>
      </c>
    </row>
    <row r="1343" spans="2:11" x14ac:dyDescent="0.25">
      <c r="B1343" t="s">
        <v>108</v>
      </c>
      <c r="C1343">
        <v>2010</v>
      </c>
      <c r="D1343" s="1">
        <v>320000</v>
      </c>
      <c r="E1343">
        <v>90000</v>
      </c>
      <c r="F1343" t="s">
        <v>15</v>
      </c>
      <c r="G1343" t="s">
        <v>10</v>
      </c>
      <c r="H1343" t="s">
        <v>11</v>
      </c>
      <c r="I1343" t="s">
        <v>49</v>
      </c>
      <c r="J1343">
        <f t="shared" si="40"/>
        <v>16</v>
      </c>
      <c r="K1343" t="str">
        <f t="shared" si="41"/>
        <v>Budget</v>
      </c>
    </row>
    <row r="1344" spans="2:11" x14ac:dyDescent="0.25">
      <c r="B1344" t="s">
        <v>369</v>
      </c>
      <c r="C1344">
        <v>2010</v>
      </c>
      <c r="D1344" s="1">
        <v>280000</v>
      </c>
      <c r="E1344">
        <v>149500</v>
      </c>
      <c r="F1344" t="s">
        <v>15</v>
      </c>
      <c r="G1344" t="s">
        <v>10</v>
      </c>
      <c r="H1344" t="s">
        <v>11</v>
      </c>
      <c r="I1344" t="s">
        <v>49</v>
      </c>
      <c r="J1344">
        <f t="shared" si="40"/>
        <v>16</v>
      </c>
      <c r="K1344" t="str">
        <f t="shared" si="41"/>
        <v>Budget</v>
      </c>
    </row>
    <row r="1345" spans="2:11" x14ac:dyDescent="0.25">
      <c r="B1345" t="s">
        <v>91</v>
      </c>
      <c r="C1345">
        <v>2013</v>
      </c>
      <c r="D1345" s="1">
        <v>500000</v>
      </c>
      <c r="E1345">
        <v>190000</v>
      </c>
      <c r="F1345" t="s">
        <v>15</v>
      </c>
      <c r="G1345" t="s">
        <v>10</v>
      </c>
      <c r="H1345" t="s">
        <v>11</v>
      </c>
      <c r="I1345" t="s">
        <v>18</v>
      </c>
      <c r="J1345">
        <f t="shared" si="40"/>
        <v>13</v>
      </c>
      <c r="K1345" t="str">
        <f t="shared" si="41"/>
        <v>Mid Range</v>
      </c>
    </row>
    <row r="1346" spans="2:11" x14ac:dyDescent="0.25">
      <c r="B1346" t="s">
        <v>828</v>
      </c>
      <c r="C1346">
        <v>2013</v>
      </c>
      <c r="D1346" s="1">
        <v>380000</v>
      </c>
      <c r="E1346">
        <v>83000</v>
      </c>
      <c r="F1346" t="s">
        <v>15</v>
      </c>
      <c r="G1346" t="s">
        <v>27</v>
      </c>
      <c r="H1346" t="s">
        <v>11</v>
      </c>
      <c r="I1346" t="s">
        <v>12</v>
      </c>
      <c r="J1346">
        <f t="shared" si="40"/>
        <v>13</v>
      </c>
      <c r="K1346" t="str">
        <f t="shared" si="41"/>
        <v>Budget</v>
      </c>
    </row>
    <row r="1347" spans="2:11" x14ac:dyDescent="0.25">
      <c r="B1347" t="s">
        <v>140</v>
      </c>
      <c r="C1347">
        <v>2005</v>
      </c>
      <c r="D1347" s="1">
        <v>120000</v>
      </c>
      <c r="E1347">
        <v>20000</v>
      </c>
      <c r="F1347" t="s">
        <v>9</v>
      </c>
      <c r="G1347" t="s">
        <v>10</v>
      </c>
      <c r="H1347" t="s">
        <v>11</v>
      </c>
      <c r="I1347" t="s">
        <v>18</v>
      </c>
      <c r="J1347">
        <f t="shared" si="40"/>
        <v>21</v>
      </c>
      <c r="K1347" t="str">
        <f t="shared" si="41"/>
        <v>Budget</v>
      </c>
    </row>
    <row r="1348" spans="2:11" x14ac:dyDescent="0.25">
      <c r="B1348" t="s">
        <v>60</v>
      </c>
      <c r="C1348">
        <v>2018</v>
      </c>
      <c r="D1348" s="1">
        <v>395000</v>
      </c>
      <c r="E1348">
        <v>20000</v>
      </c>
      <c r="F1348" t="s">
        <v>9</v>
      </c>
      <c r="G1348" t="s">
        <v>10</v>
      </c>
      <c r="H1348" t="s">
        <v>11</v>
      </c>
      <c r="I1348" t="s">
        <v>12</v>
      </c>
      <c r="J1348">
        <f t="shared" si="40"/>
        <v>8</v>
      </c>
      <c r="K1348" t="str">
        <f t="shared" si="41"/>
        <v>Budget</v>
      </c>
    </row>
    <row r="1349" spans="2:11" x14ac:dyDescent="0.25">
      <c r="B1349" t="s">
        <v>829</v>
      </c>
      <c r="C1349">
        <v>2010</v>
      </c>
      <c r="D1349" s="1">
        <v>360000</v>
      </c>
      <c r="E1349">
        <v>160000</v>
      </c>
      <c r="F1349" t="s">
        <v>15</v>
      </c>
      <c r="G1349" t="s">
        <v>10</v>
      </c>
      <c r="H1349" t="s">
        <v>11</v>
      </c>
      <c r="I1349" t="s">
        <v>12</v>
      </c>
      <c r="J1349">
        <f t="shared" si="40"/>
        <v>16</v>
      </c>
      <c r="K1349" t="str">
        <f t="shared" si="41"/>
        <v>Budget</v>
      </c>
    </row>
    <row r="1350" spans="2:11" x14ac:dyDescent="0.25">
      <c r="B1350" t="s">
        <v>623</v>
      </c>
      <c r="C1350">
        <v>2015</v>
      </c>
      <c r="D1350" s="1">
        <v>451000</v>
      </c>
      <c r="E1350">
        <v>100000</v>
      </c>
      <c r="F1350" t="s">
        <v>15</v>
      </c>
      <c r="G1350" t="s">
        <v>10</v>
      </c>
      <c r="H1350" t="s">
        <v>11</v>
      </c>
      <c r="I1350" t="s">
        <v>12</v>
      </c>
      <c r="J1350">
        <f t="shared" ref="J1350:J1413" si="42">2026 - C1350</f>
        <v>11</v>
      </c>
      <c r="K1350" t="str">
        <f t="shared" ref="K1350:K1413" si="43">IF(D1350&lt;500000,"Budget",IF(D1350&lt;=1000000,"Mid Range","Premium"))</f>
        <v>Budget</v>
      </c>
    </row>
    <row r="1351" spans="2:11" x14ac:dyDescent="0.25">
      <c r="B1351" t="s">
        <v>135</v>
      </c>
      <c r="C1351">
        <v>2010</v>
      </c>
      <c r="D1351" s="1">
        <v>175000</v>
      </c>
      <c r="E1351">
        <v>45000</v>
      </c>
      <c r="F1351" t="s">
        <v>9</v>
      </c>
      <c r="G1351" t="s">
        <v>10</v>
      </c>
      <c r="H1351" t="s">
        <v>11</v>
      </c>
      <c r="I1351" t="s">
        <v>18</v>
      </c>
      <c r="J1351">
        <f t="shared" si="42"/>
        <v>16</v>
      </c>
      <c r="K1351" t="str">
        <f t="shared" si="43"/>
        <v>Budget</v>
      </c>
    </row>
    <row r="1352" spans="2:11" x14ac:dyDescent="0.25">
      <c r="B1352" t="s">
        <v>135</v>
      </c>
      <c r="C1352">
        <v>2009</v>
      </c>
      <c r="D1352" s="1">
        <v>170000</v>
      </c>
      <c r="E1352">
        <v>44800</v>
      </c>
      <c r="F1352" t="s">
        <v>9</v>
      </c>
      <c r="G1352" t="s">
        <v>10</v>
      </c>
      <c r="H1352" t="s">
        <v>11</v>
      </c>
      <c r="I1352" t="s">
        <v>18</v>
      </c>
      <c r="J1352">
        <f t="shared" si="42"/>
        <v>17</v>
      </c>
      <c r="K1352" t="str">
        <f t="shared" si="43"/>
        <v>Budget</v>
      </c>
    </row>
    <row r="1353" spans="2:11" x14ac:dyDescent="0.25">
      <c r="B1353" t="s">
        <v>147</v>
      </c>
      <c r="C1353">
        <v>2006</v>
      </c>
      <c r="D1353" s="1">
        <v>100000</v>
      </c>
      <c r="E1353">
        <v>40000</v>
      </c>
      <c r="F1353" t="s">
        <v>9</v>
      </c>
      <c r="G1353" t="s">
        <v>10</v>
      </c>
      <c r="H1353" t="s">
        <v>11</v>
      </c>
      <c r="I1353" t="s">
        <v>18</v>
      </c>
      <c r="J1353">
        <f t="shared" si="42"/>
        <v>20</v>
      </c>
      <c r="K1353" t="str">
        <f t="shared" si="43"/>
        <v>Budget</v>
      </c>
    </row>
    <row r="1354" spans="2:11" x14ac:dyDescent="0.25">
      <c r="B1354" t="s">
        <v>224</v>
      </c>
      <c r="C1354">
        <v>2014</v>
      </c>
      <c r="D1354" s="1">
        <v>150000</v>
      </c>
      <c r="E1354">
        <v>120000</v>
      </c>
      <c r="F1354" t="s">
        <v>9</v>
      </c>
      <c r="G1354" t="s">
        <v>10</v>
      </c>
      <c r="H1354" t="s">
        <v>11</v>
      </c>
      <c r="I1354" t="s">
        <v>49</v>
      </c>
      <c r="J1354">
        <f t="shared" si="42"/>
        <v>12</v>
      </c>
      <c r="K1354" t="str">
        <f t="shared" si="43"/>
        <v>Budget</v>
      </c>
    </row>
    <row r="1355" spans="2:11" x14ac:dyDescent="0.25">
      <c r="B1355" t="s">
        <v>363</v>
      </c>
      <c r="C1355">
        <v>2011</v>
      </c>
      <c r="D1355" s="1">
        <v>149000</v>
      </c>
      <c r="E1355">
        <v>10000</v>
      </c>
      <c r="F1355" t="s">
        <v>15</v>
      </c>
      <c r="G1355" t="s">
        <v>10</v>
      </c>
      <c r="H1355" t="s">
        <v>11</v>
      </c>
      <c r="I1355" t="s">
        <v>18</v>
      </c>
      <c r="J1355">
        <f t="shared" si="42"/>
        <v>15</v>
      </c>
      <c r="K1355" t="str">
        <f t="shared" si="43"/>
        <v>Budget</v>
      </c>
    </row>
    <row r="1356" spans="2:11" x14ac:dyDescent="0.25">
      <c r="B1356" t="s">
        <v>711</v>
      </c>
      <c r="C1356">
        <v>2011</v>
      </c>
      <c r="D1356" s="1">
        <v>160000</v>
      </c>
      <c r="E1356">
        <v>80000</v>
      </c>
      <c r="F1356" t="s">
        <v>15</v>
      </c>
      <c r="G1356" t="s">
        <v>10</v>
      </c>
      <c r="H1356" t="s">
        <v>11</v>
      </c>
      <c r="I1356" t="s">
        <v>18</v>
      </c>
      <c r="J1356">
        <f t="shared" si="42"/>
        <v>15</v>
      </c>
      <c r="K1356" t="str">
        <f t="shared" si="43"/>
        <v>Budget</v>
      </c>
    </row>
    <row r="1357" spans="2:11" x14ac:dyDescent="0.25">
      <c r="B1357" t="s">
        <v>495</v>
      </c>
      <c r="C1357">
        <v>2014</v>
      </c>
      <c r="D1357" s="1">
        <v>800000</v>
      </c>
      <c r="E1357">
        <v>156000</v>
      </c>
      <c r="F1357" t="s">
        <v>15</v>
      </c>
      <c r="G1357" t="s">
        <v>10</v>
      </c>
      <c r="H1357" t="s">
        <v>11</v>
      </c>
      <c r="I1357" t="s">
        <v>12</v>
      </c>
      <c r="J1357">
        <f t="shared" si="42"/>
        <v>12</v>
      </c>
      <c r="K1357" t="str">
        <f t="shared" si="43"/>
        <v>Mid Range</v>
      </c>
    </row>
    <row r="1358" spans="2:11" x14ac:dyDescent="0.25">
      <c r="B1358" t="s">
        <v>830</v>
      </c>
      <c r="C1358">
        <v>2010</v>
      </c>
      <c r="D1358" s="1">
        <v>819999</v>
      </c>
      <c r="E1358">
        <v>120000</v>
      </c>
      <c r="F1358" t="s">
        <v>15</v>
      </c>
      <c r="G1358" t="s">
        <v>10</v>
      </c>
      <c r="H1358" t="s">
        <v>11</v>
      </c>
      <c r="I1358" t="s">
        <v>18</v>
      </c>
      <c r="J1358">
        <f t="shared" si="42"/>
        <v>16</v>
      </c>
      <c r="K1358" t="str">
        <f t="shared" si="43"/>
        <v>Mid Range</v>
      </c>
    </row>
    <row r="1359" spans="2:11" x14ac:dyDescent="0.25">
      <c r="B1359" t="s">
        <v>284</v>
      </c>
      <c r="C1359">
        <v>2007</v>
      </c>
      <c r="D1359" s="1">
        <v>163000</v>
      </c>
      <c r="E1359">
        <v>100000</v>
      </c>
      <c r="F1359" t="s">
        <v>9</v>
      </c>
      <c r="G1359" t="s">
        <v>10</v>
      </c>
      <c r="H1359" t="s">
        <v>11</v>
      </c>
      <c r="I1359" t="s">
        <v>18</v>
      </c>
      <c r="J1359">
        <f t="shared" si="42"/>
        <v>19</v>
      </c>
      <c r="K1359" t="str">
        <f t="shared" si="43"/>
        <v>Budget</v>
      </c>
    </row>
    <row r="1360" spans="2:11" x14ac:dyDescent="0.25">
      <c r="B1360" t="s">
        <v>831</v>
      </c>
      <c r="C1360">
        <v>2001</v>
      </c>
      <c r="D1360" s="1">
        <v>350000</v>
      </c>
      <c r="E1360">
        <v>100000</v>
      </c>
      <c r="F1360" t="s">
        <v>15</v>
      </c>
      <c r="G1360" t="s">
        <v>10</v>
      </c>
      <c r="H1360" t="s">
        <v>11</v>
      </c>
      <c r="I1360" t="s">
        <v>18</v>
      </c>
      <c r="J1360">
        <f t="shared" si="42"/>
        <v>25</v>
      </c>
      <c r="K1360" t="str">
        <f t="shared" si="43"/>
        <v>Budget</v>
      </c>
    </row>
    <row r="1361" spans="2:11" x14ac:dyDescent="0.25">
      <c r="B1361" t="s">
        <v>504</v>
      </c>
      <c r="C1361">
        <v>2006</v>
      </c>
      <c r="D1361" s="1">
        <v>75000</v>
      </c>
      <c r="E1361">
        <v>100000</v>
      </c>
      <c r="F1361" t="s">
        <v>9</v>
      </c>
      <c r="G1361" t="s">
        <v>10</v>
      </c>
      <c r="H1361" t="s">
        <v>11</v>
      </c>
      <c r="I1361" t="s">
        <v>18</v>
      </c>
      <c r="J1361">
        <f t="shared" si="42"/>
        <v>20</v>
      </c>
      <c r="K1361" t="str">
        <f t="shared" si="43"/>
        <v>Budget</v>
      </c>
    </row>
    <row r="1362" spans="2:11" x14ac:dyDescent="0.25">
      <c r="B1362" t="s">
        <v>58</v>
      </c>
      <c r="C1362">
        <v>2012</v>
      </c>
      <c r="D1362" s="1">
        <v>180000</v>
      </c>
      <c r="E1362">
        <v>60000</v>
      </c>
      <c r="F1362" t="s">
        <v>9</v>
      </c>
      <c r="G1362" t="s">
        <v>10</v>
      </c>
      <c r="H1362" t="s">
        <v>11</v>
      </c>
      <c r="I1362" t="s">
        <v>18</v>
      </c>
      <c r="J1362">
        <f t="shared" si="42"/>
        <v>14</v>
      </c>
      <c r="K1362" t="str">
        <f t="shared" si="43"/>
        <v>Budget</v>
      </c>
    </row>
    <row r="1363" spans="2:11" x14ac:dyDescent="0.25">
      <c r="B1363" t="s">
        <v>832</v>
      </c>
      <c r="C1363">
        <v>2017</v>
      </c>
      <c r="D1363" s="1">
        <v>675000</v>
      </c>
      <c r="E1363">
        <v>30000</v>
      </c>
      <c r="F1363" t="s">
        <v>15</v>
      </c>
      <c r="G1363" t="s">
        <v>10</v>
      </c>
      <c r="H1363" t="s">
        <v>11</v>
      </c>
      <c r="I1363" t="s">
        <v>12</v>
      </c>
      <c r="J1363">
        <f t="shared" si="42"/>
        <v>9</v>
      </c>
      <c r="K1363" t="str">
        <f t="shared" si="43"/>
        <v>Mid Range</v>
      </c>
    </row>
    <row r="1364" spans="2:11" x14ac:dyDescent="0.25">
      <c r="B1364" t="s">
        <v>354</v>
      </c>
      <c r="C1364">
        <v>2013</v>
      </c>
      <c r="D1364" s="1">
        <v>400000</v>
      </c>
      <c r="E1364">
        <v>170000</v>
      </c>
      <c r="F1364" t="s">
        <v>15</v>
      </c>
      <c r="G1364" t="s">
        <v>10</v>
      </c>
      <c r="H1364" t="s">
        <v>11</v>
      </c>
      <c r="I1364" t="s">
        <v>12</v>
      </c>
      <c r="J1364">
        <f t="shared" si="42"/>
        <v>13</v>
      </c>
      <c r="K1364" t="str">
        <f t="shared" si="43"/>
        <v>Budget</v>
      </c>
    </row>
    <row r="1365" spans="2:11" x14ac:dyDescent="0.25">
      <c r="B1365" t="s">
        <v>478</v>
      </c>
      <c r="C1365">
        <v>2013</v>
      </c>
      <c r="D1365" s="1">
        <v>434999</v>
      </c>
      <c r="E1365">
        <v>100000</v>
      </c>
      <c r="F1365" t="s">
        <v>15</v>
      </c>
      <c r="G1365" t="s">
        <v>10</v>
      </c>
      <c r="H1365" t="s">
        <v>11</v>
      </c>
      <c r="I1365" t="s">
        <v>18</v>
      </c>
      <c r="J1365">
        <f t="shared" si="42"/>
        <v>13</v>
      </c>
      <c r="K1365" t="str">
        <f t="shared" si="43"/>
        <v>Budget</v>
      </c>
    </row>
    <row r="1366" spans="2:11" x14ac:dyDescent="0.25">
      <c r="B1366" t="s">
        <v>833</v>
      </c>
      <c r="C1366">
        <v>2006</v>
      </c>
      <c r="D1366" s="1">
        <v>100000</v>
      </c>
      <c r="E1366">
        <v>110000</v>
      </c>
      <c r="F1366" t="s">
        <v>9</v>
      </c>
      <c r="G1366" t="s">
        <v>10</v>
      </c>
      <c r="H1366" t="s">
        <v>11</v>
      </c>
      <c r="I1366" t="s">
        <v>18</v>
      </c>
      <c r="J1366">
        <f t="shared" si="42"/>
        <v>20</v>
      </c>
      <c r="K1366" t="str">
        <f t="shared" si="43"/>
        <v>Budget</v>
      </c>
    </row>
    <row r="1367" spans="2:11" x14ac:dyDescent="0.25">
      <c r="B1367" t="s">
        <v>834</v>
      </c>
      <c r="C1367">
        <v>2015</v>
      </c>
      <c r="D1367" s="1">
        <v>419000</v>
      </c>
      <c r="E1367">
        <v>170000</v>
      </c>
      <c r="F1367" t="s">
        <v>15</v>
      </c>
      <c r="G1367" t="s">
        <v>10</v>
      </c>
      <c r="H1367" t="s">
        <v>11</v>
      </c>
      <c r="I1367" t="s">
        <v>18</v>
      </c>
      <c r="J1367">
        <f t="shared" si="42"/>
        <v>11</v>
      </c>
      <c r="K1367" t="str">
        <f t="shared" si="43"/>
        <v>Budget</v>
      </c>
    </row>
    <row r="1368" spans="2:11" x14ac:dyDescent="0.25">
      <c r="B1368" t="s">
        <v>504</v>
      </c>
      <c r="C1368">
        <v>2009</v>
      </c>
      <c r="D1368" s="1">
        <v>200000</v>
      </c>
      <c r="E1368">
        <v>100000</v>
      </c>
      <c r="F1368" t="s">
        <v>9</v>
      </c>
      <c r="G1368" t="s">
        <v>10</v>
      </c>
      <c r="H1368" t="s">
        <v>11</v>
      </c>
      <c r="I1368" t="s">
        <v>12</v>
      </c>
      <c r="J1368">
        <f t="shared" si="42"/>
        <v>17</v>
      </c>
      <c r="K1368" t="str">
        <f t="shared" si="43"/>
        <v>Budget</v>
      </c>
    </row>
    <row r="1369" spans="2:11" x14ac:dyDescent="0.25">
      <c r="B1369" t="s">
        <v>826</v>
      </c>
      <c r="C1369">
        <v>2014</v>
      </c>
      <c r="D1369" s="1">
        <v>400000</v>
      </c>
      <c r="E1369">
        <v>35000</v>
      </c>
      <c r="F1369" t="s">
        <v>15</v>
      </c>
      <c r="G1369" t="s">
        <v>10</v>
      </c>
      <c r="H1369" t="s">
        <v>11</v>
      </c>
      <c r="I1369" t="s">
        <v>12</v>
      </c>
      <c r="J1369">
        <f t="shared" si="42"/>
        <v>12</v>
      </c>
      <c r="K1369" t="str">
        <f t="shared" si="43"/>
        <v>Budget</v>
      </c>
    </row>
    <row r="1370" spans="2:11" x14ac:dyDescent="0.25">
      <c r="B1370" t="s">
        <v>835</v>
      </c>
      <c r="C1370">
        <v>2018</v>
      </c>
      <c r="D1370" s="1">
        <v>790000</v>
      </c>
      <c r="E1370">
        <v>40000</v>
      </c>
      <c r="F1370" t="s">
        <v>15</v>
      </c>
      <c r="G1370" t="s">
        <v>10</v>
      </c>
      <c r="H1370" t="s">
        <v>11</v>
      </c>
      <c r="I1370" t="s">
        <v>18</v>
      </c>
      <c r="J1370">
        <f t="shared" si="42"/>
        <v>8</v>
      </c>
      <c r="K1370" t="str">
        <f t="shared" si="43"/>
        <v>Mid Range</v>
      </c>
    </row>
    <row r="1371" spans="2:11" x14ac:dyDescent="0.25">
      <c r="B1371" t="s">
        <v>683</v>
      </c>
      <c r="C1371">
        <v>2015</v>
      </c>
      <c r="D1371" s="1">
        <v>500000</v>
      </c>
      <c r="E1371">
        <v>90000</v>
      </c>
      <c r="F1371" t="s">
        <v>15</v>
      </c>
      <c r="G1371" t="s">
        <v>10</v>
      </c>
      <c r="H1371" t="s">
        <v>11</v>
      </c>
      <c r="I1371" t="s">
        <v>18</v>
      </c>
      <c r="J1371">
        <f t="shared" si="42"/>
        <v>11</v>
      </c>
      <c r="K1371" t="str">
        <f t="shared" si="43"/>
        <v>Mid Range</v>
      </c>
    </row>
    <row r="1372" spans="2:11" x14ac:dyDescent="0.25">
      <c r="B1372" t="s">
        <v>836</v>
      </c>
      <c r="C1372">
        <v>2012</v>
      </c>
      <c r="D1372" s="1">
        <v>275000</v>
      </c>
      <c r="E1372">
        <v>120000</v>
      </c>
      <c r="F1372" t="s">
        <v>15</v>
      </c>
      <c r="G1372" t="s">
        <v>10</v>
      </c>
      <c r="H1372" t="s">
        <v>11</v>
      </c>
      <c r="I1372" t="s">
        <v>18</v>
      </c>
      <c r="J1372">
        <f t="shared" si="42"/>
        <v>14</v>
      </c>
      <c r="K1372" t="str">
        <f t="shared" si="43"/>
        <v>Budget</v>
      </c>
    </row>
    <row r="1373" spans="2:11" x14ac:dyDescent="0.25">
      <c r="B1373" t="s">
        <v>837</v>
      </c>
      <c r="C1373">
        <v>2012</v>
      </c>
      <c r="D1373" s="1">
        <v>450000</v>
      </c>
      <c r="E1373">
        <v>120000</v>
      </c>
      <c r="F1373" t="s">
        <v>15</v>
      </c>
      <c r="G1373" t="s">
        <v>10</v>
      </c>
      <c r="H1373" t="s">
        <v>11</v>
      </c>
      <c r="I1373" t="s">
        <v>18</v>
      </c>
      <c r="J1373">
        <f t="shared" si="42"/>
        <v>14</v>
      </c>
      <c r="K1373" t="str">
        <f t="shared" si="43"/>
        <v>Budget</v>
      </c>
    </row>
    <row r="1374" spans="2:11" x14ac:dyDescent="0.25">
      <c r="B1374" t="s">
        <v>257</v>
      </c>
      <c r="C1374">
        <v>2016</v>
      </c>
      <c r="D1374" s="1">
        <v>360000</v>
      </c>
      <c r="E1374">
        <v>33000</v>
      </c>
      <c r="F1374" t="s">
        <v>9</v>
      </c>
      <c r="G1374" t="s">
        <v>27</v>
      </c>
      <c r="H1374" t="s">
        <v>11</v>
      </c>
      <c r="I1374" t="s">
        <v>12</v>
      </c>
      <c r="J1374">
        <f t="shared" si="42"/>
        <v>10</v>
      </c>
      <c r="K1374" t="str">
        <f t="shared" si="43"/>
        <v>Budget</v>
      </c>
    </row>
    <row r="1375" spans="2:11" x14ac:dyDescent="0.25">
      <c r="B1375" t="s">
        <v>211</v>
      </c>
      <c r="C1375">
        <v>2010</v>
      </c>
      <c r="D1375" s="1">
        <v>210000</v>
      </c>
      <c r="E1375">
        <v>25000</v>
      </c>
      <c r="F1375" t="s">
        <v>9</v>
      </c>
      <c r="G1375" t="s">
        <v>10</v>
      </c>
      <c r="H1375" t="s">
        <v>11</v>
      </c>
      <c r="I1375" t="s">
        <v>12</v>
      </c>
      <c r="J1375">
        <f t="shared" si="42"/>
        <v>16</v>
      </c>
      <c r="K1375" t="str">
        <f t="shared" si="43"/>
        <v>Budget</v>
      </c>
    </row>
    <row r="1376" spans="2:11" x14ac:dyDescent="0.25">
      <c r="B1376" t="s">
        <v>454</v>
      </c>
      <c r="C1376">
        <v>2014</v>
      </c>
      <c r="D1376" s="1">
        <v>220000</v>
      </c>
      <c r="E1376">
        <v>66000</v>
      </c>
      <c r="F1376" t="s">
        <v>9</v>
      </c>
      <c r="G1376" t="s">
        <v>27</v>
      </c>
      <c r="H1376" t="s">
        <v>11</v>
      </c>
      <c r="I1376" t="s">
        <v>12</v>
      </c>
      <c r="J1376">
        <f t="shared" si="42"/>
        <v>12</v>
      </c>
      <c r="K1376" t="str">
        <f t="shared" si="43"/>
        <v>Budget</v>
      </c>
    </row>
    <row r="1377" spans="2:11" x14ac:dyDescent="0.25">
      <c r="B1377" t="s">
        <v>838</v>
      </c>
      <c r="C1377">
        <v>2009</v>
      </c>
      <c r="D1377" s="1">
        <v>250000</v>
      </c>
      <c r="E1377">
        <v>48000</v>
      </c>
      <c r="F1377" t="s">
        <v>9</v>
      </c>
      <c r="G1377" t="s">
        <v>10</v>
      </c>
      <c r="H1377" t="s">
        <v>11</v>
      </c>
      <c r="I1377" t="s">
        <v>12</v>
      </c>
      <c r="J1377">
        <f t="shared" si="42"/>
        <v>17</v>
      </c>
      <c r="K1377" t="str">
        <f t="shared" si="43"/>
        <v>Budget</v>
      </c>
    </row>
    <row r="1378" spans="2:11" x14ac:dyDescent="0.25">
      <c r="B1378" t="s">
        <v>530</v>
      </c>
      <c r="C1378">
        <v>2016</v>
      </c>
      <c r="D1378" s="1">
        <v>990000</v>
      </c>
      <c r="E1378">
        <v>146000</v>
      </c>
      <c r="F1378" t="s">
        <v>15</v>
      </c>
      <c r="G1378" t="s">
        <v>27</v>
      </c>
      <c r="H1378" t="s">
        <v>11</v>
      </c>
      <c r="I1378" t="s">
        <v>12</v>
      </c>
      <c r="J1378">
        <f t="shared" si="42"/>
        <v>10</v>
      </c>
      <c r="K1378" t="str">
        <f t="shared" si="43"/>
        <v>Mid Range</v>
      </c>
    </row>
    <row r="1379" spans="2:11" x14ac:dyDescent="0.25">
      <c r="B1379" t="s">
        <v>839</v>
      </c>
      <c r="C1379">
        <v>2013</v>
      </c>
      <c r="D1379" s="1">
        <v>220000</v>
      </c>
      <c r="E1379">
        <v>100000</v>
      </c>
      <c r="F1379" t="s">
        <v>15</v>
      </c>
      <c r="G1379" t="s">
        <v>10</v>
      </c>
      <c r="H1379" t="s">
        <v>11</v>
      </c>
      <c r="I1379" t="s">
        <v>46</v>
      </c>
      <c r="J1379">
        <f t="shared" si="42"/>
        <v>13</v>
      </c>
      <c r="K1379" t="str">
        <f t="shared" si="43"/>
        <v>Budget</v>
      </c>
    </row>
    <row r="1380" spans="2:11" x14ac:dyDescent="0.25">
      <c r="B1380" t="s">
        <v>795</v>
      </c>
      <c r="C1380">
        <v>2012</v>
      </c>
      <c r="D1380" s="1">
        <v>1800000</v>
      </c>
      <c r="E1380">
        <v>50000</v>
      </c>
      <c r="F1380" t="s">
        <v>15</v>
      </c>
      <c r="G1380" t="s">
        <v>10</v>
      </c>
      <c r="H1380" t="s">
        <v>28</v>
      </c>
      <c r="I1380" t="s">
        <v>18</v>
      </c>
      <c r="J1380">
        <f t="shared" si="42"/>
        <v>14</v>
      </c>
      <c r="K1380" t="str">
        <f t="shared" si="43"/>
        <v>Premium</v>
      </c>
    </row>
    <row r="1381" spans="2:11" x14ac:dyDescent="0.25">
      <c r="B1381" t="s">
        <v>415</v>
      </c>
      <c r="C1381">
        <v>2014</v>
      </c>
      <c r="D1381" s="1">
        <v>530000</v>
      </c>
      <c r="E1381">
        <v>50000</v>
      </c>
      <c r="F1381" t="s">
        <v>9</v>
      </c>
      <c r="G1381" t="s">
        <v>10</v>
      </c>
      <c r="H1381" t="s">
        <v>11</v>
      </c>
      <c r="I1381" t="s">
        <v>12</v>
      </c>
      <c r="J1381">
        <f t="shared" si="42"/>
        <v>12</v>
      </c>
      <c r="K1381" t="str">
        <f t="shared" si="43"/>
        <v>Mid Range</v>
      </c>
    </row>
    <row r="1382" spans="2:11" x14ac:dyDescent="0.25">
      <c r="B1382" t="s">
        <v>280</v>
      </c>
      <c r="C1382">
        <v>2016</v>
      </c>
      <c r="D1382" s="1">
        <v>575000</v>
      </c>
      <c r="E1382">
        <v>50000</v>
      </c>
      <c r="F1382" t="s">
        <v>15</v>
      </c>
      <c r="G1382" t="s">
        <v>10</v>
      </c>
      <c r="H1382" t="s">
        <v>11</v>
      </c>
      <c r="I1382" t="s">
        <v>12</v>
      </c>
      <c r="J1382">
        <f t="shared" si="42"/>
        <v>10</v>
      </c>
      <c r="K1382" t="str">
        <f t="shared" si="43"/>
        <v>Mid Range</v>
      </c>
    </row>
    <row r="1383" spans="2:11" x14ac:dyDescent="0.25">
      <c r="B1383" t="s">
        <v>182</v>
      </c>
      <c r="C1383">
        <v>2012</v>
      </c>
      <c r="D1383" s="1">
        <v>400000</v>
      </c>
      <c r="E1383">
        <v>99000</v>
      </c>
      <c r="F1383" t="s">
        <v>15</v>
      </c>
      <c r="G1383" t="s">
        <v>27</v>
      </c>
      <c r="H1383" t="s">
        <v>11</v>
      </c>
      <c r="I1383" t="s">
        <v>12</v>
      </c>
      <c r="J1383">
        <f t="shared" si="42"/>
        <v>14</v>
      </c>
      <c r="K1383" t="str">
        <f t="shared" si="43"/>
        <v>Budget</v>
      </c>
    </row>
    <row r="1384" spans="2:11" x14ac:dyDescent="0.25">
      <c r="B1384" t="s">
        <v>840</v>
      </c>
      <c r="C1384">
        <v>2016</v>
      </c>
      <c r="D1384" s="1">
        <v>680000</v>
      </c>
      <c r="E1384">
        <v>50000</v>
      </c>
      <c r="F1384" t="s">
        <v>15</v>
      </c>
      <c r="G1384" t="s">
        <v>10</v>
      </c>
      <c r="H1384" t="s">
        <v>11</v>
      </c>
      <c r="I1384" t="s">
        <v>12</v>
      </c>
      <c r="J1384">
        <f t="shared" si="42"/>
        <v>10</v>
      </c>
      <c r="K1384" t="str">
        <f t="shared" si="43"/>
        <v>Mid Range</v>
      </c>
    </row>
    <row r="1385" spans="2:11" x14ac:dyDescent="0.25">
      <c r="B1385" t="s">
        <v>841</v>
      </c>
      <c r="C1385">
        <v>2014</v>
      </c>
      <c r="D1385" s="1">
        <v>1000000</v>
      </c>
      <c r="E1385">
        <v>80000</v>
      </c>
      <c r="F1385" t="s">
        <v>15</v>
      </c>
      <c r="G1385" t="s">
        <v>10</v>
      </c>
      <c r="H1385" t="s">
        <v>28</v>
      </c>
      <c r="I1385" t="s">
        <v>12</v>
      </c>
      <c r="J1385">
        <f t="shared" si="42"/>
        <v>12</v>
      </c>
      <c r="K1385" t="str">
        <f t="shared" si="43"/>
        <v>Mid Range</v>
      </c>
    </row>
    <row r="1386" spans="2:11" x14ac:dyDescent="0.25">
      <c r="B1386" t="s">
        <v>249</v>
      </c>
      <c r="C1386">
        <v>2016</v>
      </c>
      <c r="D1386" s="1">
        <v>260000</v>
      </c>
      <c r="E1386">
        <v>45000</v>
      </c>
      <c r="F1386" t="s">
        <v>9</v>
      </c>
      <c r="G1386" t="s">
        <v>10</v>
      </c>
      <c r="H1386" t="s">
        <v>11</v>
      </c>
      <c r="I1386" t="s">
        <v>18</v>
      </c>
      <c r="J1386">
        <f t="shared" si="42"/>
        <v>10</v>
      </c>
      <c r="K1386" t="str">
        <f t="shared" si="43"/>
        <v>Budget</v>
      </c>
    </row>
    <row r="1387" spans="2:11" x14ac:dyDescent="0.25">
      <c r="B1387" t="s">
        <v>842</v>
      </c>
      <c r="C1387">
        <v>2010</v>
      </c>
      <c r="D1387" s="1">
        <v>150000</v>
      </c>
      <c r="E1387">
        <v>50000</v>
      </c>
      <c r="F1387" t="s">
        <v>9</v>
      </c>
      <c r="G1387" t="s">
        <v>10</v>
      </c>
      <c r="H1387" t="s">
        <v>11</v>
      </c>
      <c r="I1387" t="s">
        <v>18</v>
      </c>
      <c r="J1387">
        <f t="shared" si="42"/>
        <v>16</v>
      </c>
      <c r="K1387" t="str">
        <f t="shared" si="43"/>
        <v>Budget</v>
      </c>
    </row>
    <row r="1388" spans="2:11" x14ac:dyDescent="0.25">
      <c r="B1388" t="s">
        <v>211</v>
      </c>
      <c r="C1388">
        <v>2008</v>
      </c>
      <c r="D1388" s="1">
        <v>180000</v>
      </c>
      <c r="E1388">
        <v>70000</v>
      </c>
      <c r="F1388" t="s">
        <v>9</v>
      </c>
      <c r="G1388" t="s">
        <v>10</v>
      </c>
      <c r="H1388" t="s">
        <v>11</v>
      </c>
      <c r="I1388" t="s">
        <v>49</v>
      </c>
      <c r="J1388">
        <f t="shared" si="42"/>
        <v>18</v>
      </c>
      <c r="K1388" t="str">
        <f t="shared" si="43"/>
        <v>Budget</v>
      </c>
    </row>
    <row r="1389" spans="2:11" x14ac:dyDescent="0.25">
      <c r="B1389" t="s">
        <v>843</v>
      </c>
      <c r="C1389">
        <v>2014</v>
      </c>
      <c r="D1389" s="1">
        <v>346000</v>
      </c>
      <c r="E1389">
        <v>37516</v>
      </c>
      <c r="F1389" t="s">
        <v>15</v>
      </c>
      <c r="G1389" t="s">
        <v>10</v>
      </c>
      <c r="H1389" t="s">
        <v>11</v>
      </c>
      <c r="I1389" t="s">
        <v>12</v>
      </c>
      <c r="J1389">
        <f t="shared" si="42"/>
        <v>12</v>
      </c>
      <c r="K1389" t="str">
        <f t="shared" si="43"/>
        <v>Budget</v>
      </c>
    </row>
    <row r="1390" spans="2:11" x14ac:dyDescent="0.25">
      <c r="B1390" t="s">
        <v>844</v>
      </c>
      <c r="C1390">
        <v>2015</v>
      </c>
      <c r="D1390" s="1">
        <v>450000</v>
      </c>
      <c r="E1390">
        <v>20000</v>
      </c>
      <c r="F1390" t="s">
        <v>15</v>
      </c>
      <c r="G1390" t="s">
        <v>10</v>
      </c>
      <c r="H1390" t="s">
        <v>11</v>
      </c>
      <c r="I1390" t="s">
        <v>12</v>
      </c>
      <c r="J1390">
        <f t="shared" si="42"/>
        <v>11</v>
      </c>
      <c r="K1390" t="str">
        <f t="shared" si="43"/>
        <v>Budget</v>
      </c>
    </row>
    <row r="1391" spans="2:11" x14ac:dyDescent="0.25">
      <c r="B1391" t="s">
        <v>540</v>
      </c>
      <c r="C1391">
        <v>2019</v>
      </c>
      <c r="D1391" s="1">
        <v>500000</v>
      </c>
      <c r="E1391">
        <v>5000</v>
      </c>
      <c r="F1391" t="s">
        <v>9</v>
      </c>
      <c r="G1391" t="s">
        <v>10</v>
      </c>
      <c r="H1391" t="s">
        <v>11</v>
      </c>
      <c r="I1391" t="s">
        <v>12</v>
      </c>
      <c r="J1391">
        <f t="shared" si="42"/>
        <v>7</v>
      </c>
      <c r="K1391" t="str">
        <f t="shared" si="43"/>
        <v>Mid Range</v>
      </c>
    </row>
    <row r="1392" spans="2:11" x14ac:dyDescent="0.25">
      <c r="B1392" t="s">
        <v>222</v>
      </c>
      <c r="C1392">
        <v>2019</v>
      </c>
      <c r="D1392" s="1">
        <v>700000</v>
      </c>
      <c r="E1392">
        <v>8000</v>
      </c>
      <c r="F1392" t="s">
        <v>15</v>
      </c>
      <c r="G1392" t="s">
        <v>10</v>
      </c>
      <c r="H1392" t="s">
        <v>11</v>
      </c>
      <c r="I1392" t="s">
        <v>12</v>
      </c>
      <c r="J1392">
        <f t="shared" si="42"/>
        <v>7</v>
      </c>
      <c r="K1392" t="str">
        <f t="shared" si="43"/>
        <v>Mid Range</v>
      </c>
    </row>
    <row r="1393" spans="2:11" x14ac:dyDescent="0.25">
      <c r="B1393" t="s">
        <v>249</v>
      </c>
      <c r="C1393">
        <v>2019</v>
      </c>
      <c r="D1393" s="1">
        <v>280000</v>
      </c>
      <c r="E1393">
        <v>25880</v>
      </c>
      <c r="F1393" t="s">
        <v>9</v>
      </c>
      <c r="G1393" t="s">
        <v>10</v>
      </c>
      <c r="H1393" t="s">
        <v>11</v>
      </c>
      <c r="I1393" t="s">
        <v>12</v>
      </c>
      <c r="J1393">
        <f t="shared" si="42"/>
        <v>7</v>
      </c>
      <c r="K1393" t="str">
        <f t="shared" si="43"/>
        <v>Budget</v>
      </c>
    </row>
    <row r="1394" spans="2:11" x14ac:dyDescent="0.25">
      <c r="B1394" t="s">
        <v>845</v>
      </c>
      <c r="C1394">
        <v>2019</v>
      </c>
      <c r="D1394" s="1">
        <v>475000</v>
      </c>
      <c r="E1394">
        <v>10000</v>
      </c>
      <c r="F1394" t="s">
        <v>9</v>
      </c>
      <c r="G1394" t="s">
        <v>10</v>
      </c>
      <c r="H1394" t="s">
        <v>28</v>
      </c>
      <c r="I1394" t="s">
        <v>12</v>
      </c>
      <c r="J1394">
        <f t="shared" si="42"/>
        <v>7</v>
      </c>
      <c r="K1394" t="str">
        <f t="shared" si="43"/>
        <v>Budget</v>
      </c>
    </row>
    <row r="1395" spans="2:11" x14ac:dyDescent="0.25">
      <c r="B1395" t="s">
        <v>181</v>
      </c>
      <c r="C1395">
        <v>2009</v>
      </c>
      <c r="D1395" s="1">
        <v>300000</v>
      </c>
      <c r="E1395">
        <v>50000</v>
      </c>
      <c r="F1395" t="s">
        <v>15</v>
      </c>
      <c r="G1395" t="s">
        <v>10</v>
      </c>
      <c r="H1395" t="s">
        <v>11</v>
      </c>
      <c r="I1395" t="s">
        <v>12</v>
      </c>
      <c r="J1395">
        <f t="shared" si="42"/>
        <v>17</v>
      </c>
      <c r="K1395" t="str">
        <f t="shared" si="43"/>
        <v>Budget</v>
      </c>
    </row>
    <row r="1396" spans="2:11" x14ac:dyDescent="0.25">
      <c r="B1396" t="s">
        <v>454</v>
      </c>
      <c r="C1396">
        <v>2014</v>
      </c>
      <c r="D1396" s="1">
        <v>200999</v>
      </c>
      <c r="E1396">
        <v>40000</v>
      </c>
      <c r="F1396" t="s">
        <v>9</v>
      </c>
      <c r="G1396" t="s">
        <v>10</v>
      </c>
      <c r="H1396" t="s">
        <v>11</v>
      </c>
      <c r="I1396" t="s">
        <v>12</v>
      </c>
      <c r="J1396">
        <f t="shared" si="42"/>
        <v>12</v>
      </c>
      <c r="K1396" t="str">
        <f t="shared" si="43"/>
        <v>Budget</v>
      </c>
    </row>
    <row r="1397" spans="2:11" x14ac:dyDescent="0.25">
      <c r="B1397" t="s">
        <v>829</v>
      </c>
      <c r="C1397">
        <v>2009</v>
      </c>
      <c r="D1397" s="1">
        <v>200000</v>
      </c>
      <c r="E1397">
        <v>100000</v>
      </c>
      <c r="F1397" t="s">
        <v>15</v>
      </c>
      <c r="G1397" t="s">
        <v>10</v>
      </c>
      <c r="H1397" t="s">
        <v>11</v>
      </c>
      <c r="I1397" t="s">
        <v>49</v>
      </c>
      <c r="J1397">
        <f t="shared" si="42"/>
        <v>17</v>
      </c>
      <c r="K1397" t="str">
        <f t="shared" si="43"/>
        <v>Budget</v>
      </c>
    </row>
    <row r="1398" spans="2:11" x14ac:dyDescent="0.25">
      <c r="B1398" t="s">
        <v>448</v>
      </c>
      <c r="C1398">
        <v>2009</v>
      </c>
      <c r="D1398" s="1">
        <v>210000</v>
      </c>
      <c r="E1398">
        <v>80000</v>
      </c>
      <c r="F1398" t="s">
        <v>9</v>
      </c>
      <c r="G1398" t="s">
        <v>10</v>
      </c>
      <c r="H1398" t="s">
        <v>11</v>
      </c>
      <c r="I1398" t="s">
        <v>18</v>
      </c>
      <c r="J1398">
        <f t="shared" si="42"/>
        <v>17</v>
      </c>
      <c r="K1398" t="str">
        <f t="shared" si="43"/>
        <v>Budget</v>
      </c>
    </row>
    <row r="1399" spans="2:11" x14ac:dyDescent="0.25">
      <c r="B1399" t="s">
        <v>846</v>
      </c>
      <c r="C1399">
        <v>2012</v>
      </c>
      <c r="D1399" s="1">
        <v>160000</v>
      </c>
      <c r="E1399">
        <v>110000</v>
      </c>
      <c r="F1399" t="s">
        <v>15</v>
      </c>
      <c r="G1399" t="s">
        <v>10</v>
      </c>
      <c r="H1399" t="s">
        <v>11</v>
      </c>
      <c r="I1399" t="s">
        <v>12</v>
      </c>
      <c r="J1399">
        <f t="shared" si="42"/>
        <v>14</v>
      </c>
      <c r="K1399" t="str">
        <f t="shared" si="43"/>
        <v>Budget</v>
      </c>
    </row>
    <row r="1400" spans="2:11" x14ac:dyDescent="0.25">
      <c r="B1400" t="s">
        <v>847</v>
      </c>
      <c r="C1400">
        <v>2009</v>
      </c>
      <c r="D1400" s="1">
        <v>175000</v>
      </c>
      <c r="E1400">
        <v>136000</v>
      </c>
      <c r="F1400" t="s">
        <v>15</v>
      </c>
      <c r="G1400" t="s">
        <v>10</v>
      </c>
      <c r="H1400" t="s">
        <v>11</v>
      </c>
      <c r="I1400" t="s">
        <v>18</v>
      </c>
      <c r="J1400">
        <f t="shared" si="42"/>
        <v>17</v>
      </c>
      <c r="K1400" t="str">
        <f t="shared" si="43"/>
        <v>Budget</v>
      </c>
    </row>
    <row r="1401" spans="2:11" x14ac:dyDescent="0.25">
      <c r="B1401" t="s">
        <v>848</v>
      </c>
      <c r="C1401">
        <v>2012</v>
      </c>
      <c r="D1401" s="1">
        <v>320000</v>
      </c>
      <c r="E1401">
        <v>80000</v>
      </c>
      <c r="F1401" t="s">
        <v>15</v>
      </c>
      <c r="G1401" t="s">
        <v>10</v>
      </c>
      <c r="H1401" t="s">
        <v>11</v>
      </c>
      <c r="I1401" t="s">
        <v>12</v>
      </c>
      <c r="J1401">
        <f t="shared" si="42"/>
        <v>14</v>
      </c>
      <c r="K1401" t="str">
        <f t="shared" si="43"/>
        <v>Budget</v>
      </c>
    </row>
    <row r="1402" spans="2:11" x14ac:dyDescent="0.25">
      <c r="B1402" t="s">
        <v>58</v>
      </c>
      <c r="C1402">
        <v>2009</v>
      </c>
      <c r="D1402" s="1">
        <v>110000</v>
      </c>
      <c r="E1402">
        <v>50000</v>
      </c>
      <c r="F1402" t="s">
        <v>9</v>
      </c>
      <c r="G1402" t="s">
        <v>10</v>
      </c>
      <c r="H1402" t="s">
        <v>11</v>
      </c>
      <c r="I1402" t="s">
        <v>18</v>
      </c>
      <c r="J1402">
        <f t="shared" si="42"/>
        <v>17</v>
      </c>
      <c r="K1402" t="str">
        <f t="shared" si="43"/>
        <v>Budget</v>
      </c>
    </row>
    <row r="1403" spans="2:11" x14ac:dyDescent="0.25">
      <c r="B1403" t="s">
        <v>13</v>
      </c>
      <c r="C1403">
        <v>2008</v>
      </c>
      <c r="D1403" s="1">
        <v>300000</v>
      </c>
      <c r="E1403">
        <v>30000</v>
      </c>
      <c r="F1403" t="s">
        <v>9</v>
      </c>
      <c r="G1403" t="s">
        <v>10</v>
      </c>
      <c r="H1403" t="s">
        <v>11</v>
      </c>
      <c r="I1403" t="s">
        <v>12</v>
      </c>
      <c r="J1403">
        <f t="shared" si="42"/>
        <v>18</v>
      </c>
      <c r="K1403" t="str">
        <f t="shared" si="43"/>
        <v>Budget</v>
      </c>
    </row>
    <row r="1404" spans="2:11" x14ac:dyDescent="0.25">
      <c r="B1404" t="s">
        <v>36</v>
      </c>
      <c r="C1404">
        <v>2012</v>
      </c>
      <c r="D1404" s="1">
        <v>700000</v>
      </c>
      <c r="E1404">
        <v>10000</v>
      </c>
      <c r="F1404" t="s">
        <v>9</v>
      </c>
      <c r="G1404" t="s">
        <v>10</v>
      </c>
      <c r="H1404" t="s">
        <v>11</v>
      </c>
      <c r="I1404" t="s">
        <v>12</v>
      </c>
      <c r="J1404">
        <f t="shared" si="42"/>
        <v>14</v>
      </c>
      <c r="K1404" t="str">
        <f t="shared" si="43"/>
        <v>Mid Range</v>
      </c>
    </row>
    <row r="1405" spans="2:11" x14ac:dyDescent="0.25">
      <c r="B1405" t="s">
        <v>849</v>
      </c>
      <c r="C1405">
        <v>2009</v>
      </c>
      <c r="D1405" s="1">
        <v>135000</v>
      </c>
      <c r="E1405">
        <v>90000</v>
      </c>
      <c r="F1405" t="s">
        <v>15</v>
      </c>
      <c r="G1405" t="s">
        <v>10</v>
      </c>
      <c r="H1405" t="s">
        <v>11</v>
      </c>
      <c r="I1405" t="s">
        <v>46</v>
      </c>
      <c r="J1405">
        <f t="shared" si="42"/>
        <v>17</v>
      </c>
      <c r="K1405" t="str">
        <f t="shared" si="43"/>
        <v>Budget</v>
      </c>
    </row>
    <row r="1406" spans="2:11" x14ac:dyDescent="0.25">
      <c r="B1406" t="s">
        <v>850</v>
      </c>
      <c r="C1406">
        <v>2015</v>
      </c>
      <c r="D1406" s="1">
        <v>500000</v>
      </c>
      <c r="E1406">
        <v>110000</v>
      </c>
      <c r="F1406" t="s">
        <v>15</v>
      </c>
      <c r="G1406" t="s">
        <v>10</v>
      </c>
      <c r="H1406" t="s">
        <v>11</v>
      </c>
      <c r="I1406" t="s">
        <v>12</v>
      </c>
      <c r="J1406">
        <f t="shared" si="42"/>
        <v>11</v>
      </c>
      <c r="K1406" t="str">
        <f t="shared" si="43"/>
        <v>Mid Range</v>
      </c>
    </row>
    <row r="1407" spans="2:11" x14ac:dyDescent="0.25">
      <c r="B1407" t="s">
        <v>851</v>
      </c>
      <c r="C1407">
        <v>2012</v>
      </c>
      <c r="D1407" s="1">
        <v>550000</v>
      </c>
      <c r="E1407">
        <v>120000</v>
      </c>
      <c r="F1407" t="s">
        <v>15</v>
      </c>
      <c r="G1407" t="s">
        <v>10</v>
      </c>
      <c r="H1407" t="s">
        <v>11</v>
      </c>
      <c r="I1407" t="s">
        <v>18</v>
      </c>
      <c r="J1407">
        <f t="shared" si="42"/>
        <v>14</v>
      </c>
      <c r="K1407" t="str">
        <f t="shared" si="43"/>
        <v>Mid Range</v>
      </c>
    </row>
    <row r="1408" spans="2:11" x14ac:dyDescent="0.25">
      <c r="B1408" t="s">
        <v>852</v>
      </c>
      <c r="C1408">
        <v>2014</v>
      </c>
      <c r="D1408" s="1">
        <v>1050000</v>
      </c>
      <c r="E1408">
        <v>90000</v>
      </c>
      <c r="F1408" t="s">
        <v>15</v>
      </c>
      <c r="G1408" t="s">
        <v>10</v>
      </c>
      <c r="H1408" t="s">
        <v>11</v>
      </c>
      <c r="I1408" t="s">
        <v>49</v>
      </c>
      <c r="J1408">
        <f t="shared" si="42"/>
        <v>12</v>
      </c>
      <c r="K1408" t="str">
        <f t="shared" si="43"/>
        <v>Premium</v>
      </c>
    </row>
    <row r="1409" spans="2:11" x14ac:dyDescent="0.25">
      <c r="B1409" t="s">
        <v>415</v>
      </c>
      <c r="C1409">
        <v>2016</v>
      </c>
      <c r="D1409" s="1">
        <v>500000</v>
      </c>
      <c r="E1409">
        <v>20000</v>
      </c>
      <c r="F1409" t="s">
        <v>9</v>
      </c>
      <c r="G1409" t="s">
        <v>10</v>
      </c>
      <c r="H1409" t="s">
        <v>11</v>
      </c>
      <c r="I1409" t="s">
        <v>12</v>
      </c>
      <c r="J1409">
        <f t="shared" si="42"/>
        <v>10</v>
      </c>
      <c r="K1409" t="str">
        <f t="shared" si="43"/>
        <v>Mid Range</v>
      </c>
    </row>
    <row r="1410" spans="2:11" x14ac:dyDescent="0.25">
      <c r="B1410" t="s">
        <v>295</v>
      </c>
      <c r="C1410">
        <v>2011</v>
      </c>
      <c r="D1410" s="1">
        <v>180000</v>
      </c>
      <c r="E1410">
        <v>90000</v>
      </c>
      <c r="F1410" t="s">
        <v>15</v>
      </c>
      <c r="G1410" t="s">
        <v>10</v>
      </c>
      <c r="H1410" t="s">
        <v>11</v>
      </c>
      <c r="I1410" t="s">
        <v>18</v>
      </c>
      <c r="J1410">
        <f t="shared" si="42"/>
        <v>15</v>
      </c>
      <c r="K1410" t="str">
        <f t="shared" si="43"/>
        <v>Budget</v>
      </c>
    </row>
    <row r="1411" spans="2:11" x14ac:dyDescent="0.25">
      <c r="B1411" t="s">
        <v>56</v>
      </c>
      <c r="C1411">
        <v>2010</v>
      </c>
      <c r="D1411" s="1">
        <v>170000</v>
      </c>
      <c r="E1411">
        <v>50000</v>
      </c>
      <c r="F1411" t="s">
        <v>9</v>
      </c>
      <c r="G1411" t="s">
        <v>10</v>
      </c>
      <c r="H1411" t="s">
        <v>11</v>
      </c>
      <c r="I1411" t="s">
        <v>18</v>
      </c>
      <c r="J1411">
        <f t="shared" si="42"/>
        <v>16</v>
      </c>
      <c r="K1411" t="str">
        <f t="shared" si="43"/>
        <v>Budget</v>
      </c>
    </row>
    <row r="1412" spans="2:11" x14ac:dyDescent="0.25">
      <c r="B1412" t="s">
        <v>853</v>
      </c>
      <c r="C1412">
        <v>2019</v>
      </c>
      <c r="D1412" s="1">
        <v>484999</v>
      </c>
      <c r="E1412">
        <v>9000</v>
      </c>
      <c r="F1412" t="s">
        <v>9</v>
      </c>
      <c r="G1412" t="s">
        <v>10</v>
      </c>
      <c r="H1412" t="s">
        <v>11</v>
      </c>
      <c r="I1412" t="s">
        <v>12</v>
      </c>
      <c r="J1412">
        <f t="shared" si="42"/>
        <v>7</v>
      </c>
      <c r="K1412" t="str">
        <f t="shared" si="43"/>
        <v>Budget</v>
      </c>
    </row>
    <row r="1413" spans="2:11" x14ac:dyDescent="0.25">
      <c r="B1413" t="s">
        <v>269</v>
      </c>
      <c r="C1413">
        <v>2011</v>
      </c>
      <c r="D1413" s="1">
        <v>150000</v>
      </c>
      <c r="E1413">
        <v>70000</v>
      </c>
      <c r="F1413" t="s">
        <v>9</v>
      </c>
      <c r="G1413" t="s">
        <v>10</v>
      </c>
      <c r="H1413" t="s">
        <v>11</v>
      </c>
      <c r="I1413" t="s">
        <v>18</v>
      </c>
      <c r="J1413">
        <f t="shared" si="42"/>
        <v>15</v>
      </c>
      <c r="K1413" t="str">
        <f t="shared" si="43"/>
        <v>Budget</v>
      </c>
    </row>
    <row r="1414" spans="2:11" x14ac:dyDescent="0.25">
      <c r="B1414" t="s">
        <v>372</v>
      </c>
      <c r="C1414">
        <v>2018</v>
      </c>
      <c r="D1414" s="1">
        <v>380000</v>
      </c>
      <c r="E1414">
        <v>25000</v>
      </c>
      <c r="F1414" t="s">
        <v>9</v>
      </c>
      <c r="G1414" t="s">
        <v>10</v>
      </c>
      <c r="H1414" t="s">
        <v>11</v>
      </c>
      <c r="I1414" t="s">
        <v>12</v>
      </c>
      <c r="J1414">
        <f t="shared" ref="J1414:J1477" si="44">2026 - C1414</f>
        <v>8</v>
      </c>
      <c r="K1414" t="str">
        <f t="shared" ref="K1414:K1477" si="45">IF(D1414&lt;500000,"Budget",IF(D1414&lt;=1000000,"Mid Range","Premium"))</f>
        <v>Budget</v>
      </c>
    </row>
    <row r="1415" spans="2:11" x14ac:dyDescent="0.25">
      <c r="B1415" t="s">
        <v>854</v>
      </c>
      <c r="C1415">
        <v>2019</v>
      </c>
      <c r="D1415" s="1">
        <v>480000</v>
      </c>
      <c r="E1415">
        <v>10000</v>
      </c>
      <c r="F1415" t="s">
        <v>9</v>
      </c>
      <c r="G1415" t="s">
        <v>10</v>
      </c>
      <c r="H1415" t="s">
        <v>11</v>
      </c>
      <c r="I1415" t="s">
        <v>12</v>
      </c>
      <c r="J1415">
        <f t="shared" si="44"/>
        <v>7</v>
      </c>
      <c r="K1415" t="str">
        <f t="shared" si="45"/>
        <v>Budget</v>
      </c>
    </row>
    <row r="1416" spans="2:11" x14ac:dyDescent="0.25">
      <c r="B1416" t="s">
        <v>478</v>
      </c>
      <c r="C1416">
        <v>2011</v>
      </c>
      <c r="D1416" s="1">
        <v>290000</v>
      </c>
      <c r="E1416">
        <v>60000</v>
      </c>
      <c r="F1416" t="s">
        <v>15</v>
      </c>
      <c r="G1416" t="s">
        <v>10</v>
      </c>
      <c r="H1416" t="s">
        <v>11</v>
      </c>
      <c r="I1416" t="s">
        <v>18</v>
      </c>
      <c r="J1416">
        <f t="shared" si="44"/>
        <v>15</v>
      </c>
      <c r="K1416" t="str">
        <f t="shared" si="45"/>
        <v>Budget</v>
      </c>
    </row>
    <row r="1417" spans="2:11" x14ac:dyDescent="0.25">
      <c r="B1417" t="s">
        <v>855</v>
      </c>
      <c r="C1417">
        <v>2013</v>
      </c>
      <c r="D1417" s="1">
        <v>350000</v>
      </c>
      <c r="E1417">
        <v>70000</v>
      </c>
      <c r="F1417" t="s">
        <v>9</v>
      </c>
      <c r="G1417" t="s">
        <v>10</v>
      </c>
      <c r="H1417" t="s">
        <v>11</v>
      </c>
      <c r="I1417" t="s">
        <v>12</v>
      </c>
      <c r="J1417">
        <f t="shared" si="44"/>
        <v>13</v>
      </c>
      <c r="K1417" t="str">
        <f t="shared" si="45"/>
        <v>Budget</v>
      </c>
    </row>
    <row r="1418" spans="2:11" x14ac:dyDescent="0.25">
      <c r="B1418" t="s">
        <v>249</v>
      </c>
      <c r="C1418">
        <v>2014</v>
      </c>
      <c r="D1418" s="1">
        <v>110000</v>
      </c>
      <c r="E1418">
        <v>25000</v>
      </c>
      <c r="F1418" t="s">
        <v>9</v>
      </c>
      <c r="G1418" t="s">
        <v>10</v>
      </c>
      <c r="H1418" t="s">
        <v>11</v>
      </c>
      <c r="I1418" t="s">
        <v>12</v>
      </c>
      <c r="J1418">
        <f t="shared" si="44"/>
        <v>12</v>
      </c>
      <c r="K1418" t="str">
        <f t="shared" si="45"/>
        <v>Budget</v>
      </c>
    </row>
    <row r="1419" spans="2:11" x14ac:dyDescent="0.25">
      <c r="B1419" t="s">
        <v>609</v>
      </c>
      <c r="C1419">
        <v>2003</v>
      </c>
      <c r="D1419" s="1">
        <v>70000</v>
      </c>
      <c r="E1419">
        <v>80000</v>
      </c>
      <c r="F1419" t="s">
        <v>9</v>
      </c>
      <c r="G1419" t="s">
        <v>10</v>
      </c>
      <c r="H1419" t="s">
        <v>11</v>
      </c>
      <c r="I1419" t="s">
        <v>49</v>
      </c>
      <c r="J1419">
        <f t="shared" si="44"/>
        <v>23</v>
      </c>
      <c r="K1419" t="str">
        <f t="shared" si="45"/>
        <v>Budget</v>
      </c>
    </row>
    <row r="1420" spans="2:11" x14ac:dyDescent="0.25">
      <c r="B1420" t="s">
        <v>477</v>
      </c>
      <c r="C1420">
        <v>2011</v>
      </c>
      <c r="D1420" s="1">
        <v>300000</v>
      </c>
      <c r="E1420">
        <v>70000</v>
      </c>
      <c r="F1420" t="s">
        <v>9</v>
      </c>
      <c r="G1420" t="s">
        <v>10</v>
      </c>
      <c r="H1420" t="s">
        <v>28</v>
      </c>
      <c r="I1420" t="s">
        <v>49</v>
      </c>
      <c r="J1420">
        <f t="shared" si="44"/>
        <v>15</v>
      </c>
      <c r="K1420" t="str">
        <f t="shared" si="45"/>
        <v>Budget</v>
      </c>
    </row>
    <row r="1421" spans="2:11" x14ac:dyDescent="0.25">
      <c r="B1421" t="s">
        <v>856</v>
      </c>
      <c r="C1421">
        <v>2017</v>
      </c>
      <c r="D1421" s="1">
        <v>180000</v>
      </c>
      <c r="E1421">
        <v>60000</v>
      </c>
      <c r="F1421" t="s">
        <v>9</v>
      </c>
      <c r="G1421" t="s">
        <v>10</v>
      </c>
      <c r="H1421" t="s">
        <v>11</v>
      </c>
      <c r="I1421" t="s">
        <v>12</v>
      </c>
      <c r="J1421">
        <f t="shared" si="44"/>
        <v>9</v>
      </c>
      <c r="K1421" t="str">
        <f t="shared" si="45"/>
        <v>Budget</v>
      </c>
    </row>
    <row r="1422" spans="2:11" x14ac:dyDescent="0.25">
      <c r="B1422" t="s">
        <v>534</v>
      </c>
      <c r="C1422">
        <v>2020</v>
      </c>
      <c r="D1422" s="1">
        <v>300000</v>
      </c>
      <c r="E1422">
        <v>20000</v>
      </c>
      <c r="F1422" t="s">
        <v>9</v>
      </c>
      <c r="G1422" t="s">
        <v>10</v>
      </c>
      <c r="H1422" t="s">
        <v>11</v>
      </c>
      <c r="I1422" t="s">
        <v>12</v>
      </c>
      <c r="J1422">
        <f t="shared" si="44"/>
        <v>6</v>
      </c>
      <c r="K1422" t="str">
        <f t="shared" si="45"/>
        <v>Budget</v>
      </c>
    </row>
    <row r="1423" spans="2:11" x14ac:dyDescent="0.25">
      <c r="B1423" t="s">
        <v>121</v>
      </c>
      <c r="C1423">
        <v>2017</v>
      </c>
      <c r="D1423" s="1">
        <v>509000</v>
      </c>
      <c r="E1423">
        <v>60000</v>
      </c>
      <c r="F1423" t="s">
        <v>9</v>
      </c>
      <c r="G1423" t="s">
        <v>10</v>
      </c>
      <c r="H1423" t="s">
        <v>11</v>
      </c>
      <c r="I1423" t="s">
        <v>12</v>
      </c>
      <c r="J1423">
        <f t="shared" si="44"/>
        <v>9</v>
      </c>
      <c r="K1423" t="str">
        <f t="shared" si="45"/>
        <v>Mid Range</v>
      </c>
    </row>
    <row r="1424" spans="2:11" x14ac:dyDescent="0.25">
      <c r="B1424" t="s">
        <v>857</v>
      </c>
      <c r="C1424">
        <v>2016</v>
      </c>
      <c r="D1424" s="1">
        <v>650000</v>
      </c>
      <c r="E1424">
        <v>80000</v>
      </c>
      <c r="F1424" t="s">
        <v>15</v>
      </c>
      <c r="G1424" t="s">
        <v>10</v>
      </c>
      <c r="H1424" t="s">
        <v>11</v>
      </c>
      <c r="I1424" t="s">
        <v>12</v>
      </c>
      <c r="J1424">
        <f t="shared" si="44"/>
        <v>10</v>
      </c>
      <c r="K1424" t="str">
        <f t="shared" si="45"/>
        <v>Mid Range</v>
      </c>
    </row>
    <row r="1425" spans="2:11" x14ac:dyDescent="0.25">
      <c r="B1425" t="s">
        <v>162</v>
      </c>
      <c r="C1425">
        <v>2015</v>
      </c>
      <c r="D1425" s="1">
        <v>450000</v>
      </c>
      <c r="E1425">
        <v>70000</v>
      </c>
      <c r="F1425" t="s">
        <v>15</v>
      </c>
      <c r="G1425" t="s">
        <v>10</v>
      </c>
      <c r="H1425" t="s">
        <v>11</v>
      </c>
      <c r="I1425" t="s">
        <v>49</v>
      </c>
      <c r="J1425">
        <f t="shared" si="44"/>
        <v>11</v>
      </c>
      <c r="K1425" t="str">
        <f t="shared" si="45"/>
        <v>Budget</v>
      </c>
    </row>
    <row r="1426" spans="2:11" x14ac:dyDescent="0.25">
      <c r="B1426" t="s">
        <v>858</v>
      </c>
      <c r="C1426">
        <v>1999</v>
      </c>
      <c r="D1426" s="1">
        <v>170000</v>
      </c>
      <c r="E1426">
        <v>2020</v>
      </c>
      <c r="F1426" t="s">
        <v>15</v>
      </c>
      <c r="G1426" t="s">
        <v>10</v>
      </c>
      <c r="H1426" t="s">
        <v>11</v>
      </c>
      <c r="I1426" t="s">
        <v>18</v>
      </c>
      <c r="J1426">
        <f t="shared" si="44"/>
        <v>27</v>
      </c>
      <c r="K1426" t="str">
        <f t="shared" si="45"/>
        <v>Budget</v>
      </c>
    </row>
    <row r="1427" spans="2:11" x14ac:dyDescent="0.25">
      <c r="B1427" t="s">
        <v>859</v>
      </c>
      <c r="C1427">
        <v>2007</v>
      </c>
      <c r="D1427" s="1">
        <v>210000</v>
      </c>
      <c r="E1427">
        <v>100000</v>
      </c>
      <c r="F1427" t="s">
        <v>15</v>
      </c>
      <c r="G1427" t="s">
        <v>10</v>
      </c>
      <c r="H1427" t="s">
        <v>11</v>
      </c>
      <c r="I1427" t="s">
        <v>18</v>
      </c>
      <c r="J1427">
        <f t="shared" si="44"/>
        <v>19</v>
      </c>
      <c r="K1427" t="str">
        <f t="shared" si="45"/>
        <v>Budget</v>
      </c>
    </row>
    <row r="1428" spans="2:11" x14ac:dyDescent="0.25">
      <c r="B1428" t="s">
        <v>144</v>
      </c>
      <c r="C1428">
        <v>2013</v>
      </c>
      <c r="D1428" s="1">
        <v>360000</v>
      </c>
      <c r="E1428">
        <v>80000</v>
      </c>
      <c r="F1428" t="s">
        <v>15</v>
      </c>
      <c r="G1428" t="s">
        <v>10</v>
      </c>
      <c r="H1428" t="s">
        <v>11</v>
      </c>
      <c r="I1428" t="s">
        <v>18</v>
      </c>
      <c r="J1428">
        <f t="shared" si="44"/>
        <v>13</v>
      </c>
      <c r="K1428" t="str">
        <f t="shared" si="45"/>
        <v>Budget</v>
      </c>
    </row>
    <row r="1429" spans="2:11" x14ac:dyDescent="0.25">
      <c r="B1429" t="s">
        <v>860</v>
      </c>
      <c r="C1429">
        <v>2011</v>
      </c>
      <c r="D1429" s="1">
        <v>495000</v>
      </c>
      <c r="E1429">
        <v>120000</v>
      </c>
      <c r="F1429" t="s">
        <v>15</v>
      </c>
      <c r="G1429" t="s">
        <v>10</v>
      </c>
      <c r="H1429" t="s">
        <v>11</v>
      </c>
      <c r="I1429" t="s">
        <v>18</v>
      </c>
      <c r="J1429">
        <f t="shared" si="44"/>
        <v>15</v>
      </c>
      <c r="K1429" t="str">
        <f t="shared" si="45"/>
        <v>Budget</v>
      </c>
    </row>
    <row r="1430" spans="2:11" x14ac:dyDescent="0.25">
      <c r="B1430" t="s">
        <v>172</v>
      </c>
      <c r="C1430">
        <v>2006</v>
      </c>
      <c r="D1430" s="1">
        <v>105000</v>
      </c>
      <c r="E1430">
        <v>100000</v>
      </c>
      <c r="F1430" t="s">
        <v>9</v>
      </c>
      <c r="G1430" t="s">
        <v>10</v>
      </c>
      <c r="H1430" t="s">
        <v>11</v>
      </c>
      <c r="I1430" t="s">
        <v>49</v>
      </c>
      <c r="J1430">
        <f t="shared" si="44"/>
        <v>20</v>
      </c>
      <c r="K1430" t="str">
        <f t="shared" si="45"/>
        <v>Budget</v>
      </c>
    </row>
    <row r="1431" spans="2:11" x14ac:dyDescent="0.25">
      <c r="B1431" t="s">
        <v>489</v>
      </c>
      <c r="C1431">
        <v>2010</v>
      </c>
      <c r="D1431" s="1">
        <v>270000</v>
      </c>
      <c r="E1431">
        <v>60000</v>
      </c>
      <c r="F1431" t="s">
        <v>9</v>
      </c>
      <c r="G1431" t="s">
        <v>10</v>
      </c>
      <c r="H1431" t="s">
        <v>11</v>
      </c>
      <c r="I1431" t="s">
        <v>49</v>
      </c>
      <c r="J1431">
        <f t="shared" si="44"/>
        <v>16</v>
      </c>
      <c r="K1431" t="str">
        <f t="shared" si="45"/>
        <v>Budget</v>
      </c>
    </row>
    <row r="1432" spans="2:11" x14ac:dyDescent="0.25">
      <c r="B1432" t="s">
        <v>861</v>
      </c>
      <c r="C1432">
        <v>2010</v>
      </c>
      <c r="D1432" s="1">
        <v>130000</v>
      </c>
      <c r="E1432">
        <v>110000</v>
      </c>
      <c r="F1432" t="s">
        <v>9</v>
      </c>
      <c r="G1432" t="s">
        <v>10</v>
      </c>
      <c r="H1432" t="s">
        <v>11</v>
      </c>
      <c r="I1432" t="s">
        <v>12</v>
      </c>
      <c r="J1432">
        <f t="shared" si="44"/>
        <v>16</v>
      </c>
      <c r="K1432" t="str">
        <f t="shared" si="45"/>
        <v>Budget</v>
      </c>
    </row>
    <row r="1433" spans="2:11" x14ac:dyDescent="0.25">
      <c r="B1433" t="s">
        <v>391</v>
      </c>
      <c r="C1433">
        <v>2014</v>
      </c>
      <c r="D1433" s="1">
        <v>700000</v>
      </c>
      <c r="E1433">
        <v>90000</v>
      </c>
      <c r="F1433" t="s">
        <v>15</v>
      </c>
      <c r="G1433" t="s">
        <v>10</v>
      </c>
      <c r="H1433" t="s">
        <v>11</v>
      </c>
      <c r="I1433" t="s">
        <v>18</v>
      </c>
      <c r="J1433">
        <f t="shared" si="44"/>
        <v>12</v>
      </c>
      <c r="K1433" t="str">
        <f t="shared" si="45"/>
        <v>Mid Range</v>
      </c>
    </row>
    <row r="1434" spans="2:11" x14ac:dyDescent="0.25">
      <c r="B1434" t="s">
        <v>130</v>
      </c>
      <c r="C1434">
        <v>2012</v>
      </c>
      <c r="D1434" s="1">
        <v>400000</v>
      </c>
      <c r="E1434">
        <v>40000</v>
      </c>
      <c r="F1434" t="s">
        <v>15</v>
      </c>
      <c r="G1434" t="s">
        <v>10</v>
      </c>
      <c r="H1434" t="s">
        <v>11</v>
      </c>
      <c r="I1434" t="s">
        <v>12</v>
      </c>
      <c r="J1434">
        <f t="shared" si="44"/>
        <v>14</v>
      </c>
      <c r="K1434" t="str">
        <f t="shared" si="45"/>
        <v>Budget</v>
      </c>
    </row>
    <row r="1435" spans="2:11" x14ac:dyDescent="0.25">
      <c r="B1435" t="s">
        <v>862</v>
      </c>
      <c r="C1435">
        <v>2009</v>
      </c>
      <c r="D1435" s="1">
        <v>250000</v>
      </c>
      <c r="E1435">
        <v>60000</v>
      </c>
      <c r="F1435" t="s">
        <v>9</v>
      </c>
      <c r="G1435" t="s">
        <v>10</v>
      </c>
      <c r="H1435" t="s">
        <v>11</v>
      </c>
      <c r="I1435" t="s">
        <v>18</v>
      </c>
      <c r="J1435">
        <f t="shared" si="44"/>
        <v>17</v>
      </c>
      <c r="K1435" t="str">
        <f t="shared" si="45"/>
        <v>Budget</v>
      </c>
    </row>
    <row r="1436" spans="2:11" x14ac:dyDescent="0.25">
      <c r="B1436" t="s">
        <v>17</v>
      </c>
      <c r="C1436">
        <v>2013</v>
      </c>
      <c r="D1436" s="1">
        <v>325000</v>
      </c>
      <c r="E1436">
        <v>94000</v>
      </c>
      <c r="F1436" t="s">
        <v>15</v>
      </c>
      <c r="G1436" t="s">
        <v>10</v>
      </c>
      <c r="H1436" t="s">
        <v>11</v>
      </c>
      <c r="I1436" t="s">
        <v>18</v>
      </c>
      <c r="J1436">
        <f t="shared" si="44"/>
        <v>13</v>
      </c>
      <c r="K1436" t="str">
        <f t="shared" si="45"/>
        <v>Budget</v>
      </c>
    </row>
    <row r="1437" spans="2:11" x14ac:dyDescent="0.25">
      <c r="B1437" t="s">
        <v>58</v>
      </c>
      <c r="C1437">
        <v>2008</v>
      </c>
      <c r="D1437" s="1">
        <v>69000</v>
      </c>
      <c r="E1437">
        <v>100000</v>
      </c>
      <c r="F1437" t="s">
        <v>9</v>
      </c>
      <c r="G1437" t="s">
        <v>10</v>
      </c>
      <c r="H1437" t="s">
        <v>11</v>
      </c>
      <c r="I1437" t="s">
        <v>12</v>
      </c>
      <c r="J1437">
        <f t="shared" si="44"/>
        <v>18</v>
      </c>
      <c r="K1437" t="str">
        <f t="shared" si="45"/>
        <v>Budget</v>
      </c>
    </row>
    <row r="1438" spans="2:11" x14ac:dyDescent="0.25">
      <c r="B1438" t="s">
        <v>207</v>
      </c>
      <c r="C1438">
        <v>2018</v>
      </c>
      <c r="D1438" s="1">
        <v>1380000</v>
      </c>
      <c r="E1438">
        <v>25000</v>
      </c>
      <c r="F1438" t="s">
        <v>15</v>
      </c>
      <c r="G1438" t="s">
        <v>10</v>
      </c>
      <c r="H1438" t="s">
        <v>11</v>
      </c>
      <c r="I1438" t="s">
        <v>12</v>
      </c>
      <c r="J1438">
        <f t="shared" si="44"/>
        <v>8</v>
      </c>
      <c r="K1438" t="str">
        <f t="shared" si="45"/>
        <v>Premium</v>
      </c>
    </row>
    <row r="1439" spans="2:11" x14ac:dyDescent="0.25">
      <c r="B1439" t="s">
        <v>796</v>
      </c>
      <c r="C1439">
        <v>2007</v>
      </c>
      <c r="D1439" s="1">
        <v>90000</v>
      </c>
      <c r="E1439">
        <v>90000</v>
      </c>
      <c r="F1439" t="s">
        <v>9</v>
      </c>
      <c r="G1439" t="s">
        <v>10</v>
      </c>
      <c r="H1439" t="s">
        <v>11</v>
      </c>
      <c r="I1439" t="s">
        <v>12</v>
      </c>
      <c r="J1439">
        <f t="shared" si="44"/>
        <v>19</v>
      </c>
      <c r="K1439" t="str">
        <f t="shared" si="45"/>
        <v>Budget</v>
      </c>
    </row>
    <row r="1440" spans="2:11" x14ac:dyDescent="0.25">
      <c r="B1440" t="s">
        <v>863</v>
      </c>
      <c r="C1440">
        <v>2016</v>
      </c>
      <c r="D1440" s="1">
        <v>1000000</v>
      </c>
      <c r="E1440">
        <v>40000</v>
      </c>
      <c r="F1440" t="s">
        <v>15</v>
      </c>
      <c r="G1440" t="s">
        <v>10</v>
      </c>
      <c r="H1440" t="s">
        <v>11</v>
      </c>
      <c r="I1440" t="s">
        <v>12</v>
      </c>
      <c r="J1440">
        <f t="shared" si="44"/>
        <v>10</v>
      </c>
      <c r="K1440" t="str">
        <f t="shared" si="45"/>
        <v>Mid Range</v>
      </c>
    </row>
    <row r="1441" spans="2:11" x14ac:dyDescent="0.25">
      <c r="B1441" t="s">
        <v>561</v>
      </c>
      <c r="C1441">
        <v>2010</v>
      </c>
      <c r="D1441" s="1">
        <v>145000</v>
      </c>
      <c r="E1441">
        <v>90000</v>
      </c>
      <c r="F1441" t="s">
        <v>24</v>
      </c>
      <c r="G1441" t="s">
        <v>10</v>
      </c>
      <c r="H1441" t="s">
        <v>11</v>
      </c>
      <c r="I1441" t="s">
        <v>18</v>
      </c>
      <c r="J1441">
        <f t="shared" si="44"/>
        <v>16</v>
      </c>
      <c r="K1441" t="str">
        <f t="shared" si="45"/>
        <v>Budget</v>
      </c>
    </row>
    <row r="1442" spans="2:11" x14ac:dyDescent="0.25">
      <c r="B1442" t="s">
        <v>864</v>
      </c>
      <c r="C1442">
        <v>2020</v>
      </c>
      <c r="D1442" s="1">
        <v>250000</v>
      </c>
      <c r="E1442">
        <v>1100</v>
      </c>
      <c r="F1442" t="s">
        <v>9</v>
      </c>
      <c r="G1442" t="s">
        <v>10</v>
      </c>
      <c r="H1442" t="s">
        <v>11</v>
      </c>
      <c r="I1442" t="s">
        <v>46</v>
      </c>
      <c r="J1442">
        <f t="shared" si="44"/>
        <v>6</v>
      </c>
      <c r="K1442" t="str">
        <f t="shared" si="45"/>
        <v>Budget</v>
      </c>
    </row>
    <row r="1443" spans="2:11" x14ac:dyDescent="0.25">
      <c r="B1443" t="s">
        <v>354</v>
      </c>
      <c r="C1443">
        <v>2011</v>
      </c>
      <c r="D1443" s="1">
        <v>256000</v>
      </c>
      <c r="E1443">
        <v>70000</v>
      </c>
      <c r="F1443" t="s">
        <v>15</v>
      </c>
      <c r="G1443" t="s">
        <v>10</v>
      </c>
      <c r="H1443" t="s">
        <v>11</v>
      </c>
      <c r="I1443" t="s">
        <v>49</v>
      </c>
      <c r="J1443">
        <f t="shared" si="44"/>
        <v>15</v>
      </c>
      <c r="K1443" t="str">
        <f t="shared" si="45"/>
        <v>Budget</v>
      </c>
    </row>
    <row r="1444" spans="2:11" x14ac:dyDescent="0.25">
      <c r="B1444" t="s">
        <v>67</v>
      </c>
      <c r="C1444">
        <v>2005</v>
      </c>
      <c r="D1444" s="1">
        <v>70000</v>
      </c>
      <c r="E1444">
        <v>120000</v>
      </c>
      <c r="F1444" t="s">
        <v>15</v>
      </c>
      <c r="G1444" t="s">
        <v>10</v>
      </c>
      <c r="H1444" t="s">
        <v>11</v>
      </c>
      <c r="I1444" t="s">
        <v>12</v>
      </c>
      <c r="J1444">
        <f t="shared" si="44"/>
        <v>21</v>
      </c>
      <c r="K1444" t="str">
        <f t="shared" si="45"/>
        <v>Budget</v>
      </c>
    </row>
    <row r="1445" spans="2:11" x14ac:dyDescent="0.25">
      <c r="B1445" t="s">
        <v>865</v>
      </c>
      <c r="C1445">
        <v>2000</v>
      </c>
      <c r="D1445" s="1">
        <v>50000</v>
      </c>
      <c r="E1445">
        <v>88500</v>
      </c>
      <c r="F1445" t="s">
        <v>9</v>
      </c>
      <c r="G1445" t="s">
        <v>10</v>
      </c>
      <c r="H1445" t="s">
        <v>11</v>
      </c>
      <c r="I1445" t="s">
        <v>46</v>
      </c>
      <c r="J1445">
        <f t="shared" si="44"/>
        <v>26</v>
      </c>
      <c r="K1445" t="str">
        <f t="shared" si="45"/>
        <v>Budget</v>
      </c>
    </row>
    <row r="1446" spans="2:11" x14ac:dyDescent="0.25">
      <c r="B1446" t="s">
        <v>110</v>
      </c>
      <c r="C1446">
        <v>2016</v>
      </c>
      <c r="D1446" s="1">
        <v>240000</v>
      </c>
      <c r="E1446">
        <v>70000</v>
      </c>
      <c r="F1446" t="s">
        <v>9</v>
      </c>
      <c r="G1446" t="s">
        <v>10</v>
      </c>
      <c r="H1446" t="s">
        <v>11</v>
      </c>
      <c r="I1446" t="s">
        <v>18</v>
      </c>
      <c r="J1446">
        <f t="shared" si="44"/>
        <v>10</v>
      </c>
      <c r="K1446" t="str">
        <f t="shared" si="45"/>
        <v>Budget</v>
      </c>
    </row>
    <row r="1447" spans="2:11" x14ac:dyDescent="0.25">
      <c r="B1447" t="s">
        <v>866</v>
      </c>
      <c r="C1447">
        <v>2010</v>
      </c>
      <c r="D1447" s="1">
        <v>97000</v>
      </c>
      <c r="E1447">
        <v>128000</v>
      </c>
      <c r="F1447" t="s">
        <v>9</v>
      </c>
      <c r="G1447" t="s">
        <v>10</v>
      </c>
      <c r="H1447" t="s">
        <v>11</v>
      </c>
      <c r="I1447" t="s">
        <v>12</v>
      </c>
      <c r="J1447">
        <f t="shared" si="44"/>
        <v>16</v>
      </c>
      <c r="K1447" t="str">
        <f t="shared" si="45"/>
        <v>Budget</v>
      </c>
    </row>
    <row r="1448" spans="2:11" x14ac:dyDescent="0.25">
      <c r="B1448" t="s">
        <v>159</v>
      </c>
      <c r="C1448">
        <v>2012</v>
      </c>
      <c r="D1448" s="1">
        <v>130000</v>
      </c>
      <c r="E1448">
        <v>120000</v>
      </c>
      <c r="F1448" t="s">
        <v>15</v>
      </c>
      <c r="G1448" t="s">
        <v>10</v>
      </c>
      <c r="H1448" t="s">
        <v>11</v>
      </c>
      <c r="I1448" t="s">
        <v>12</v>
      </c>
      <c r="J1448">
        <f t="shared" si="44"/>
        <v>14</v>
      </c>
      <c r="K1448" t="str">
        <f t="shared" si="45"/>
        <v>Budget</v>
      </c>
    </row>
    <row r="1449" spans="2:11" x14ac:dyDescent="0.25">
      <c r="B1449" t="s">
        <v>76</v>
      </c>
      <c r="C1449">
        <v>2009</v>
      </c>
      <c r="D1449" s="1">
        <v>199000</v>
      </c>
      <c r="E1449">
        <v>52536</v>
      </c>
      <c r="F1449" t="s">
        <v>9</v>
      </c>
      <c r="G1449" t="s">
        <v>10</v>
      </c>
      <c r="H1449" t="s">
        <v>11</v>
      </c>
      <c r="I1449" t="s">
        <v>12</v>
      </c>
      <c r="J1449">
        <f t="shared" si="44"/>
        <v>17</v>
      </c>
      <c r="K1449" t="str">
        <f t="shared" si="45"/>
        <v>Budget</v>
      </c>
    </row>
    <row r="1450" spans="2:11" x14ac:dyDescent="0.25">
      <c r="B1450" t="s">
        <v>867</v>
      </c>
      <c r="C1450">
        <v>2006</v>
      </c>
      <c r="D1450" s="1">
        <v>125000</v>
      </c>
      <c r="E1450">
        <v>70000</v>
      </c>
      <c r="F1450" t="s">
        <v>9</v>
      </c>
      <c r="G1450" t="s">
        <v>10</v>
      </c>
      <c r="H1450" t="s">
        <v>28</v>
      </c>
      <c r="I1450" t="s">
        <v>12</v>
      </c>
      <c r="J1450">
        <f t="shared" si="44"/>
        <v>20</v>
      </c>
      <c r="K1450" t="str">
        <f t="shared" si="45"/>
        <v>Budget</v>
      </c>
    </row>
    <row r="1451" spans="2:11" x14ac:dyDescent="0.25">
      <c r="B1451" t="s">
        <v>292</v>
      </c>
      <c r="C1451">
        <v>2015</v>
      </c>
      <c r="D1451" s="1">
        <v>420000</v>
      </c>
      <c r="E1451">
        <v>60000</v>
      </c>
      <c r="F1451" t="s">
        <v>15</v>
      </c>
      <c r="G1451" t="s">
        <v>10</v>
      </c>
      <c r="H1451" t="s">
        <v>11</v>
      </c>
      <c r="I1451" t="s">
        <v>12</v>
      </c>
      <c r="J1451">
        <f t="shared" si="44"/>
        <v>11</v>
      </c>
      <c r="K1451" t="str">
        <f t="shared" si="45"/>
        <v>Budget</v>
      </c>
    </row>
    <row r="1452" spans="2:11" x14ac:dyDescent="0.25">
      <c r="B1452" t="s">
        <v>868</v>
      </c>
      <c r="C1452">
        <v>2016</v>
      </c>
      <c r="D1452" s="1">
        <v>525000</v>
      </c>
      <c r="E1452">
        <v>110000</v>
      </c>
      <c r="F1452" t="s">
        <v>15</v>
      </c>
      <c r="G1452" t="s">
        <v>10</v>
      </c>
      <c r="H1452" t="s">
        <v>11</v>
      </c>
      <c r="I1452" t="s">
        <v>12</v>
      </c>
      <c r="J1452">
        <f t="shared" si="44"/>
        <v>10</v>
      </c>
      <c r="K1452" t="str">
        <f t="shared" si="45"/>
        <v>Mid Range</v>
      </c>
    </row>
    <row r="1453" spans="2:11" x14ac:dyDescent="0.25">
      <c r="B1453" t="s">
        <v>56</v>
      </c>
      <c r="C1453">
        <v>2008</v>
      </c>
      <c r="D1453" s="1">
        <v>125000</v>
      </c>
      <c r="E1453">
        <v>85000</v>
      </c>
      <c r="F1453" t="s">
        <v>9</v>
      </c>
      <c r="G1453" t="s">
        <v>10</v>
      </c>
      <c r="H1453" t="s">
        <v>11</v>
      </c>
      <c r="I1453" t="s">
        <v>12</v>
      </c>
      <c r="J1453">
        <f t="shared" si="44"/>
        <v>18</v>
      </c>
      <c r="K1453" t="str">
        <f t="shared" si="45"/>
        <v>Budget</v>
      </c>
    </row>
    <row r="1454" spans="2:11" x14ac:dyDescent="0.25">
      <c r="B1454" t="s">
        <v>869</v>
      </c>
      <c r="C1454">
        <v>2010</v>
      </c>
      <c r="D1454" s="1">
        <v>325000</v>
      </c>
      <c r="E1454">
        <v>135000</v>
      </c>
      <c r="F1454" t="s">
        <v>15</v>
      </c>
      <c r="G1454" t="s">
        <v>10</v>
      </c>
      <c r="H1454" t="s">
        <v>11</v>
      </c>
      <c r="I1454" t="s">
        <v>12</v>
      </c>
      <c r="J1454">
        <f t="shared" si="44"/>
        <v>16</v>
      </c>
      <c r="K1454" t="str">
        <f t="shared" si="45"/>
        <v>Budget</v>
      </c>
    </row>
    <row r="1455" spans="2:11" x14ac:dyDescent="0.25">
      <c r="B1455" t="s">
        <v>870</v>
      </c>
      <c r="C1455">
        <v>2012</v>
      </c>
      <c r="D1455" s="1">
        <v>330000</v>
      </c>
      <c r="E1455">
        <v>86000</v>
      </c>
      <c r="F1455" t="s">
        <v>15</v>
      </c>
      <c r="G1455" t="s">
        <v>10</v>
      </c>
      <c r="H1455" t="s">
        <v>11</v>
      </c>
      <c r="I1455" t="s">
        <v>46</v>
      </c>
      <c r="J1455">
        <f t="shared" si="44"/>
        <v>14</v>
      </c>
      <c r="K1455" t="str">
        <f t="shared" si="45"/>
        <v>Budget</v>
      </c>
    </row>
    <row r="1456" spans="2:11" x14ac:dyDescent="0.25">
      <c r="B1456" t="s">
        <v>500</v>
      </c>
      <c r="C1456">
        <v>2010</v>
      </c>
      <c r="D1456" s="1">
        <v>110000</v>
      </c>
      <c r="E1456">
        <v>50000</v>
      </c>
      <c r="F1456" t="s">
        <v>9</v>
      </c>
      <c r="G1456" t="s">
        <v>10</v>
      </c>
      <c r="H1456" t="s">
        <v>11</v>
      </c>
      <c r="I1456" t="s">
        <v>12</v>
      </c>
      <c r="J1456">
        <f t="shared" si="44"/>
        <v>16</v>
      </c>
      <c r="K1456" t="str">
        <f t="shared" si="45"/>
        <v>Budget</v>
      </c>
    </row>
    <row r="1457" spans="2:11" x14ac:dyDescent="0.25">
      <c r="B1457" t="s">
        <v>871</v>
      </c>
      <c r="C1457">
        <v>2019</v>
      </c>
      <c r="D1457" s="1">
        <v>450000</v>
      </c>
      <c r="E1457">
        <v>1950</v>
      </c>
      <c r="F1457" t="s">
        <v>9</v>
      </c>
      <c r="G1457" t="s">
        <v>10</v>
      </c>
      <c r="H1457" t="s">
        <v>11</v>
      </c>
      <c r="I1457" t="s">
        <v>12</v>
      </c>
      <c r="J1457">
        <f t="shared" si="44"/>
        <v>7</v>
      </c>
      <c r="K1457" t="str">
        <f t="shared" si="45"/>
        <v>Budget</v>
      </c>
    </row>
    <row r="1458" spans="2:11" x14ac:dyDescent="0.25">
      <c r="B1458" t="s">
        <v>76</v>
      </c>
      <c r="C1458">
        <v>2005</v>
      </c>
      <c r="D1458" s="1">
        <v>85000</v>
      </c>
      <c r="E1458">
        <v>118400</v>
      </c>
      <c r="F1458" t="s">
        <v>9</v>
      </c>
      <c r="G1458" t="s">
        <v>10</v>
      </c>
      <c r="H1458" t="s">
        <v>11</v>
      </c>
      <c r="I1458" t="s">
        <v>12</v>
      </c>
      <c r="J1458">
        <f t="shared" si="44"/>
        <v>21</v>
      </c>
      <c r="K1458" t="str">
        <f t="shared" si="45"/>
        <v>Budget</v>
      </c>
    </row>
    <row r="1459" spans="2:11" x14ac:dyDescent="0.25">
      <c r="B1459" t="s">
        <v>872</v>
      </c>
      <c r="C1459">
        <v>2007</v>
      </c>
      <c r="D1459" s="1">
        <v>229999</v>
      </c>
      <c r="E1459">
        <v>70000</v>
      </c>
      <c r="F1459" t="s">
        <v>9</v>
      </c>
      <c r="G1459" t="s">
        <v>10</v>
      </c>
      <c r="H1459" t="s">
        <v>11</v>
      </c>
      <c r="I1459" t="s">
        <v>18</v>
      </c>
      <c r="J1459">
        <f t="shared" si="44"/>
        <v>19</v>
      </c>
      <c r="K1459" t="str">
        <f t="shared" si="45"/>
        <v>Budget</v>
      </c>
    </row>
    <row r="1460" spans="2:11" x14ac:dyDescent="0.25">
      <c r="B1460" t="s">
        <v>426</v>
      </c>
      <c r="C1460">
        <v>2012</v>
      </c>
      <c r="D1460" s="1">
        <v>250000</v>
      </c>
      <c r="E1460">
        <v>60000</v>
      </c>
      <c r="F1460" t="s">
        <v>9</v>
      </c>
      <c r="G1460" t="s">
        <v>10</v>
      </c>
      <c r="H1460" t="s">
        <v>11</v>
      </c>
      <c r="I1460" t="s">
        <v>18</v>
      </c>
      <c r="J1460">
        <f t="shared" si="44"/>
        <v>14</v>
      </c>
      <c r="K1460" t="str">
        <f t="shared" si="45"/>
        <v>Budget</v>
      </c>
    </row>
    <row r="1461" spans="2:11" x14ac:dyDescent="0.25">
      <c r="B1461" t="s">
        <v>325</v>
      </c>
      <c r="C1461">
        <v>2015</v>
      </c>
      <c r="D1461" s="1">
        <v>650000</v>
      </c>
      <c r="E1461">
        <v>68000</v>
      </c>
      <c r="F1461" t="s">
        <v>15</v>
      </c>
      <c r="G1461" t="s">
        <v>10</v>
      </c>
      <c r="H1461" t="s">
        <v>11</v>
      </c>
      <c r="I1461" t="s">
        <v>12</v>
      </c>
      <c r="J1461">
        <f t="shared" si="44"/>
        <v>11</v>
      </c>
      <c r="K1461" t="str">
        <f t="shared" si="45"/>
        <v>Mid Range</v>
      </c>
    </row>
    <row r="1462" spans="2:11" x14ac:dyDescent="0.25">
      <c r="B1462" t="s">
        <v>873</v>
      </c>
      <c r="C1462">
        <v>2017</v>
      </c>
      <c r="D1462" s="1">
        <v>650000</v>
      </c>
      <c r="E1462">
        <v>6480</v>
      </c>
      <c r="F1462" t="s">
        <v>9</v>
      </c>
      <c r="G1462" t="s">
        <v>407</v>
      </c>
      <c r="H1462" t="s">
        <v>11</v>
      </c>
      <c r="I1462" t="s">
        <v>12</v>
      </c>
      <c r="J1462">
        <f t="shared" si="44"/>
        <v>9</v>
      </c>
      <c r="K1462" t="str">
        <f t="shared" si="45"/>
        <v>Mid Range</v>
      </c>
    </row>
    <row r="1463" spans="2:11" x14ac:dyDescent="0.25">
      <c r="B1463" t="s">
        <v>146</v>
      </c>
      <c r="C1463">
        <v>2017</v>
      </c>
      <c r="D1463" s="1">
        <v>750000</v>
      </c>
      <c r="E1463">
        <v>32077</v>
      </c>
      <c r="F1463" t="s">
        <v>15</v>
      </c>
      <c r="G1463" t="s">
        <v>407</v>
      </c>
      <c r="H1463" t="s">
        <v>11</v>
      </c>
      <c r="I1463" t="s">
        <v>12</v>
      </c>
      <c r="J1463">
        <f t="shared" si="44"/>
        <v>9</v>
      </c>
      <c r="K1463" t="str">
        <f t="shared" si="45"/>
        <v>Mid Range</v>
      </c>
    </row>
    <row r="1464" spans="2:11" x14ac:dyDescent="0.25">
      <c r="B1464" t="s">
        <v>874</v>
      </c>
      <c r="C1464">
        <v>2018</v>
      </c>
      <c r="D1464" s="1">
        <v>850000</v>
      </c>
      <c r="E1464">
        <v>19107</v>
      </c>
      <c r="F1464" t="s">
        <v>9</v>
      </c>
      <c r="G1464" t="s">
        <v>407</v>
      </c>
      <c r="H1464" t="s">
        <v>11</v>
      </c>
      <c r="I1464" t="s">
        <v>12</v>
      </c>
      <c r="J1464">
        <f t="shared" si="44"/>
        <v>8</v>
      </c>
      <c r="K1464" t="str">
        <f t="shared" si="45"/>
        <v>Mid Range</v>
      </c>
    </row>
    <row r="1465" spans="2:11" x14ac:dyDescent="0.25">
      <c r="B1465" t="s">
        <v>189</v>
      </c>
      <c r="C1465">
        <v>2017</v>
      </c>
      <c r="D1465" s="1">
        <v>315000</v>
      </c>
      <c r="E1465">
        <v>18469</v>
      </c>
      <c r="F1465" t="s">
        <v>9</v>
      </c>
      <c r="G1465" t="s">
        <v>407</v>
      </c>
      <c r="H1465" t="s">
        <v>11</v>
      </c>
      <c r="I1465" t="s">
        <v>12</v>
      </c>
      <c r="J1465">
        <f t="shared" si="44"/>
        <v>9</v>
      </c>
      <c r="K1465" t="str">
        <f t="shared" si="45"/>
        <v>Budget</v>
      </c>
    </row>
    <row r="1466" spans="2:11" x14ac:dyDescent="0.25">
      <c r="B1466" t="s">
        <v>875</v>
      </c>
      <c r="C1466">
        <v>2015</v>
      </c>
      <c r="D1466" s="1">
        <v>415000</v>
      </c>
      <c r="E1466">
        <v>28217</v>
      </c>
      <c r="F1466" t="s">
        <v>9</v>
      </c>
      <c r="G1466" t="s">
        <v>407</v>
      </c>
      <c r="H1466" t="s">
        <v>11</v>
      </c>
      <c r="I1466" t="s">
        <v>12</v>
      </c>
      <c r="J1466">
        <f t="shared" si="44"/>
        <v>11</v>
      </c>
      <c r="K1466" t="str">
        <f t="shared" si="45"/>
        <v>Budget</v>
      </c>
    </row>
    <row r="1467" spans="2:11" x14ac:dyDescent="0.25">
      <c r="B1467" t="s">
        <v>876</v>
      </c>
      <c r="C1467">
        <v>2016</v>
      </c>
      <c r="D1467" s="1">
        <v>640000</v>
      </c>
      <c r="E1467">
        <v>72787</v>
      </c>
      <c r="F1467" t="s">
        <v>15</v>
      </c>
      <c r="G1467" t="s">
        <v>407</v>
      </c>
      <c r="H1467" t="s">
        <v>11</v>
      </c>
      <c r="I1467" t="s">
        <v>12</v>
      </c>
      <c r="J1467">
        <f t="shared" si="44"/>
        <v>10</v>
      </c>
      <c r="K1467" t="str">
        <f t="shared" si="45"/>
        <v>Mid Range</v>
      </c>
    </row>
    <row r="1468" spans="2:11" x14ac:dyDescent="0.25">
      <c r="B1468" t="s">
        <v>877</v>
      </c>
      <c r="C1468">
        <v>2017</v>
      </c>
      <c r="D1468" s="1">
        <v>780000</v>
      </c>
      <c r="E1468">
        <v>31063</v>
      </c>
      <c r="F1468" t="s">
        <v>9</v>
      </c>
      <c r="G1468" t="s">
        <v>407</v>
      </c>
      <c r="H1468" t="s">
        <v>11</v>
      </c>
      <c r="I1468" t="s">
        <v>12</v>
      </c>
      <c r="J1468">
        <f t="shared" si="44"/>
        <v>9</v>
      </c>
      <c r="K1468" t="str">
        <f t="shared" si="45"/>
        <v>Mid Range</v>
      </c>
    </row>
    <row r="1469" spans="2:11" x14ac:dyDescent="0.25">
      <c r="B1469" t="s">
        <v>425</v>
      </c>
      <c r="C1469">
        <v>2017</v>
      </c>
      <c r="D1469" s="1">
        <v>2595000</v>
      </c>
      <c r="E1469">
        <v>79641</v>
      </c>
      <c r="F1469" t="s">
        <v>15</v>
      </c>
      <c r="G1469" t="s">
        <v>407</v>
      </c>
      <c r="H1469" t="s">
        <v>28</v>
      </c>
      <c r="I1469" t="s">
        <v>12</v>
      </c>
      <c r="J1469">
        <f t="shared" si="44"/>
        <v>9</v>
      </c>
      <c r="K1469" t="str">
        <f t="shared" si="45"/>
        <v>Premium</v>
      </c>
    </row>
    <row r="1470" spans="2:11" x14ac:dyDescent="0.25">
      <c r="B1470" t="s">
        <v>126</v>
      </c>
      <c r="C1470">
        <v>2015</v>
      </c>
      <c r="D1470" s="1">
        <v>850000</v>
      </c>
      <c r="E1470">
        <v>58692</v>
      </c>
      <c r="F1470" t="s">
        <v>15</v>
      </c>
      <c r="G1470" t="s">
        <v>407</v>
      </c>
      <c r="H1470" t="s">
        <v>11</v>
      </c>
      <c r="I1470" t="s">
        <v>12</v>
      </c>
      <c r="J1470">
        <f t="shared" si="44"/>
        <v>11</v>
      </c>
      <c r="K1470" t="str">
        <f t="shared" si="45"/>
        <v>Mid Range</v>
      </c>
    </row>
    <row r="1471" spans="2:11" x14ac:dyDescent="0.25">
      <c r="B1471" t="s">
        <v>126</v>
      </c>
      <c r="C1471">
        <v>2015</v>
      </c>
      <c r="D1471" s="1">
        <v>900000</v>
      </c>
      <c r="E1471">
        <v>54784</v>
      </c>
      <c r="F1471" t="s">
        <v>15</v>
      </c>
      <c r="G1471" t="s">
        <v>407</v>
      </c>
      <c r="H1471" t="s">
        <v>11</v>
      </c>
      <c r="I1471" t="s">
        <v>12</v>
      </c>
      <c r="J1471">
        <f t="shared" si="44"/>
        <v>11</v>
      </c>
      <c r="K1471" t="str">
        <f t="shared" si="45"/>
        <v>Mid Range</v>
      </c>
    </row>
    <row r="1472" spans="2:11" x14ac:dyDescent="0.25">
      <c r="B1472" t="s">
        <v>878</v>
      </c>
      <c r="C1472">
        <v>2016</v>
      </c>
      <c r="D1472" s="1">
        <v>1150000</v>
      </c>
      <c r="E1472">
        <v>64156</v>
      </c>
      <c r="F1472" t="s">
        <v>9</v>
      </c>
      <c r="G1472" t="s">
        <v>407</v>
      </c>
      <c r="H1472" t="s">
        <v>11</v>
      </c>
      <c r="I1472" t="s">
        <v>12</v>
      </c>
      <c r="J1472">
        <f t="shared" si="44"/>
        <v>10</v>
      </c>
      <c r="K1472" t="str">
        <f t="shared" si="45"/>
        <v>Premium</v>
      </c>
    </row>
    <row r="1473" spans="2:11" x14ac:dyDescent="0.25">
      <c r="B1473" t="s">
        <v>879</v>
      </c>
      <c r="C1473">
        <v>2007</v>
      </c>
      <c r="D1473" s="1">
        <v>75000</v>
      </c>
      <c r="E1473">
        <v>54000</v>
      </c>
      <c r="F1473" t="s">
        <v>9</v>
      </c>
      <c r="G1473" t="s">
        <v>10</v>
      </c>
      <c r="H1473" t="s">
        <v>11</v>
      </c>
      <c r="I1473" t="s">
        <v>12</v>
      </c>
      <c r="J1473">
        <f t="shared" si="44"/>
        <v>19</v>
      </c>
      <c r="K1473" t="str">
        <f t="shared" si="45"/>
        <v>Budget</v>
      </c>
    </row>
    <row r="1474" spans="2:11" x14ac:dyDescent="0.25">
      <c r="B1474" t="s">
        <v>880</v>
      </c>
      <c r="C1474">
        <v>2012</v>
      </c>
      <c r="D1474" s="1">
        <v>215000</v>
      </c>
      <c r="E1474">
        <v>97000</v>
      </c>
      <c r="F1474" t="s">
        <v>15</v>
      </c>
      <c r="G1474" t="s">
        <v>10</v>
      </c>
      <c r="H1474" t="s">
        <v>11</v>
      </c>
      <c r="I1474" t="s">
        <v>12</v>
      </c>
      <c r="J1474">
        <f t="shared" si="44"/>
        <v>14</v>
      </c>
      <c r="K1474" t="str">
        <f t="shared" si="45"/>
        <v>Budget</v>
      </c>
    </row>
    <row r="1475" spans="2:11" x14ac:dyDescent="0.25">
      <c r="B1475" t="s">
        <v>881</v>
      </c>
      <c r="C1475">
        <v>2009</v>
      </c>
      <c r="D1475" s="1">
        <v>130000</v>
      </c>
      <c r="E1475">
        <v>120000</v>
      </c>
      <c r="F1475" t="s">
        <v>9</v>
      </c>
      <c r="G1475" t="s">
        <v>10</v>
      </c>
      <c r="H1475" t="s">
        <v>28</v>
      </c>
      <c r="I1475" t="s">
        <v>18</v>
      </c>
      <c r="J1475">
        <f t="shared" si="44"/>
        <v>17</v>
      </c>
      <c r="K1475" t="str">
        <f t="shared" si="45"/>
        <v>Budget</v>
      </c>
    </row>
    <row r="1476" spans="2:11" x14ac:dyDescent="0.25">
      <c r="B1476" t="s">
        <v>845</v>
      </c>
      <c r="C1476">
        <v>2019</v>
      </c>
      <c r="D1476" s="1">
        <v>400000</v>
      </c>
      <c r="E1476">
        <v>16000</v>
      </c>
      <c r="F1476" t="s">
        <v>9</v>
      </c>
      <c r="G1476" t="s">
        <v>10</v>
      </c>
      <c r="H1476" t="s">
        <v>28</v>
      </c>
      <c r="I1476" t="s">
        <v>12</v>
      </c>
      <c r="J1476">
        <f t="shared" si="44"/>
        <v>7</v>
      </c>
      <c r="K1476" t="str">
        <f t="shared" si="45"/>
        <v>Budget</v>
      </c>
    </row>
    <row r="1477" spans="2:11" x14ac:dyDescent="0.25">
      <c r="B1477" t="s">
        <v>882</v>
      </c>
      <c r="C1477">
        <v>2019</v>
      </c>
      <c r="D1477" s="1">
        <v>550000</v>
      </c>
      <c r="E1477">
        <v>60000</v>
      </c>
      <c r="F1477" t="s">
        <v>9</v>
      </c>
      <c r="G1477" t="s">
        <v>10</v>
      </c>
      <c r="H1477" t="s">
        <v>28</v>
      </c>
      <c r="I1477" t="s">
        <v>12</v>
      </c>
      <c r="J1477">
        <f t="shared" si="44"/>
        <v>7</v>
      </c>
      <c r="K1477" t="str">
        <f t="shared" si="45"/>
        <v>Mid Range</v>
      </c>
    </row>
    <row r="1478" spans="2:11" x14ac:dyDescent="0.25">
      <c r="B1478" t="s">
        <v>161</v>
      </c>
      <c r="C1478">
        <v>2016</v>
      </c>
      <c r="D1478" s="1">
        <v>245000</v>
      </c>
      <c r="E1478">
        <v>52000</v>
      </c>
      <c r="F1478" t="s">
        <v>9</v>
      </c>
      <c r="G1478" t="s">
        <v>27</v>
      </c>
      <c r="H1478" t="s">
        <v>11</v>
      </c>
      <c r="I1478" t="s">
        <v>12</v>
      </c>
      <c r="J1478">
        <f t="shared" ref="J1478:J1541" si="46">2026 - C1478</f>
        <v>10</v>
      </c>
      <c r="K1478" t="str">
        <f t="shared" ref="K1478:K1541" si="47">IF(D1478&lt;500000,"Budget",IF(D1478&lt;=1000000,"Mid Range","Premium"))</f>
        <v>Budget</v>
      </c>
    </row>
    <row r="1479" spans="2:11" x14ac:dyDescent="0.25">
      <c r="B1479" t="s">
        <v>162</v>
      </c>
      <c r="C1479">
        <v>2010</v>
      </c>
      <c r="D1479" s="1">
        <v>320000</v>
      </c>
      <c r="E1479">
        <v>110000</v>
      </c>
      <c r="F1479" t="s">
        <v>15</v>
      </c>
      <c r="G1479" t="s">
        <v>10</v>
      </c>
      <c r="H1479" t="s">
        <v>11</v>
      </c>
      <c r="I1479" t="s">
        <v>46</v>
      </c>
      <c r="J1479">
        <f t="shared" si="46"/>
        <v>16</v>
      </c>
      <c r="K1479" t="str">
        <f t="shared" si="47"/>
        <v>Budget</v>
      </c>
    </row>
    <row r="1480" spans="2:11" x14ac:dyDescent="0.25">
      <c r="B1480" t="s">
        <v>883</v>
      </c>
      <c r="C1480">
        <v>2016</v>
      </c>
      <c r="D1480" s="1">
        <v>730000</v>
      </c>
      <c r="E1480">
        <v>60000</v>
      </c>
      <c r="F1480" t="s">
        <v>15</v>
      </c>
      <c r="G1480" t="s">
        <v>10</v>
      </c>
      <c r="H1480" t="s">
        <v>28</v>
      </c>
      <c r="I1480" t="s">
        <v>18</v>
      </c>
      <c r="J1480">
        <f t="shared" si="46"/>
        <v>10</v>
      </c>
      <c r="K1480" t="str">
        <f t="shared" si="47"/>
        <v>Mid Range</v>
      </c>
    </row>
    <row r="1481" spans="2:11" x14ac:dyDescent="0.25">
      <c r="B1481" t="s">
        <v>884</v>
      </c>
      <c r="C1481">
        <v>2005</v>
      </c>
      <c r="D1481" s="1">
        <v>120000</v>
      </c>
      <c r="E1481">
        <v>100000</v>
      </c>
      <c r="F1481" t="s">
        <v>9</v>
      </c>
      <c r="G1481" t="s">
        <v>10</v>
      </c>
      <c r="H1481" t="s">
        <v>11</v>
      </c>
      <c r="I1481" t="s">
        <v>49</v>
      </c>
      <c r="J1481">
        <f t="shared" si="46"/>
        <v>21</v>
      </c>
      <c r="K1481" t="str">
        <f t="shared" si="47"/>
        <v>Budget</v>
      </c>
    </row>
    <row r="1482" spans="2:11" x14ac:dyDescent="0.25">
      <c r="B1482" t="s">
        <v>885</v>
      </c>
      <c r="C1482">
        <v>2017</v>
      </c>
      <c r="D1482" s="1">
        <v>950000</v>
      </c>
      <c r="E1482">
        <v>35000</v>
      </c>
      <c r="F1482" t="s">
        <v>9</v>
      </c>
      <c r="G1482" t="s">
        <v>10</v>
      </c>
      <c r="H1482" t="s">
        <v>11</v>
      </c>
      <c r="I1482" t="s">
        <v>12</v>
      </c>
      <c r="J1482">
        <f t="shared" si="46"/>
        <v>9</v>
      </c>
      <c r="K1482" t="str">
        <f t="shared" si="47"/>
        <v>Mid Range</v>
      </c>
    </row>
    <row r="1483" spans="2:11" x14ac:dyDescent="0.25">
      <c r="B1483" t="s">
        <v>54</v>
      </c>
      <c r="C1483">
        <v>2017</v>
      </c>
      <c r="D1483" s="1">
        <v>350000</v>
      </c>
      <c r="E1483">
        <v>48000</v>
      </c>
      <c r="F1483" t="s">
        <v>9</v>
      </c>
      <c r="G1483" t="s">
        <v>10</v>
      </c>
      <c r="H1483" t="s">
        <v>11</v>
      </c>
      <c r="I1483" t="s">
        <v>49</v>
      </c>
      <c r="J1483">
        <f t="shared" si="46"/>
        <v>9</v>
      </c>
      <c r="K1483" t="str">
        <f t="shared" si="47"/>
        <v>Budget</v>
      </c>
    </row>
    <row r="1484" spans="2:11" x14ac:dyDescent="0.25">
      <c r="B1484" t="s">
        <v>886</v>
      </c>
      <c r="C1484">
        <v>2005</v>
      </c>
      <c r="D1484" s="1">
        <v>100000</v>
      </c>
      <c r="E1484">
        <v>20000</v>
      </c>
      <c r="F1484" t="s">
        <v>9</v>
      </c>
      <c r="G1484" t="s">
        <v>10</v>
      </c>
      <c r="H1484" t="s">
        <v>11</v>
      </c>
      <c r="I1484" t="s">
        <v>18</v>
      </c>
      <c r="J1484">
        <f t="shared" si="46"/>
        <v>21</v>
      </c>
      <c r="K1484" t="str">
        <f t="shared" si="47"/>
        <v>Budget</v>
      </c>
    </row>
    <row r="1485" spans="2:11" x14ac:dyDescent="0.25">
      <c r="B1485" t="s">
        <v>54</v>
      </c>
      <c r="C1485">
        <v>2017</v>
      </c>
      <c r="D1485" s="1">
        <v>350000</v>
      </c>
      <c r="E1485">
        <v>30000</v>
      </c>
      <c r="F1485" t="s">
        <v>9</v>
      </c>
      <c r="G1485" t="s">
        <v>10</v>
      </c>
      <c r="H1485" t="s">
        <v>11</v>
      </c>
      <c r="I1485" t="s">
        <v>12</v>
      </c>
      <c r="J1485">
        <f t="shared" si="46"/>
        <v>9</v>
      </c>
      <c r="K1485" t="str">
        <f t="shared" si="47"/>
        <v>Budget</v>
      </c>
    </row>
    <row r="1486" spans="2:11" x14ac:dyDescent="0.25">
      <c r="B1486" t="s">
        <v>680</v>
      </c>
      <c r="C1486">
        <v>2005</v>
      </c>
      <c r="D1486" s="1">
        <v>80000</v>
      </c>
      <c r="E1486">
        <v>40000</v>
      </c>
      <c r="F1486" t="s">
        <v>9</v>
      </c>
      <c r="G1486" t="s">
        <v>10</v>
      </c>
      <c r="H1486" t="s">
        <v>11</v>
      </c>
      <c r="I1486" t="s">
        <v>18</v>
      </c>
      <c r="J1486">
        <f t="shared" si="46"/>
        <v>21</v>
      </c>
      <c r="K1486" t="str">
        <f t="shared" si="47"/>
        <v>Budget</v>
      </c>
    </row>
    <row r="1487" spans="2:11" x14ac:dyDescent="0.25">
      <c r="B1487" t="s">
        <v>887</v>
      </c>
      <c r="C1487">
        <v>2013</v>
      </c>
      <c r="D1487" s="1">
        <v>370000</v>
      </c>
      <c r="E1487">
        <v>60000</v>
      </c>
      <c r="F1487" t="s">
        <v>9</v>
      </c>
      <c r="G1487" t="s">
        <v>10</v>
      </c>
      <c r="H1487" t="s">
        <v>11</v>
      </c>
      <c r="I1487" t="s">
        <v>12</v>
      </c>
      <c r="J1487">
        <f t="shared" si="46"/>
        <v>13</v>
      </c>
      <c r="K1487" t="str">
        <f t="shared" si="47"/>
        <v>Budget</v>
      </c>
    </row>
    <row r="1488" spans="2:11" x14ac:dyDescent="0.25">
      <c r="B1488" t="s">
        <v>339</v>
      </c>
      <c r="C1488">
        <v>2012</v>
      </c>
      <c r="D1488" s="1">
        <v>160000</v>
      </c>
      <c r="E1488">
        <v>70000</v>
      </c>
      <c r="F1488" t="s">
        <v>9</v>
      </c>
      <c r="G1488" t="s">
        <v>10</v>
      </c>
      <c r="H1488" t="s">
        <v>11</v>
      </c>
      <c r="I1488" t="s">
        <v>18</v>
      </c>
      <c r="J1488">
        <f t="shared" si="46"/>
        <v>14</v>
      </c>
      <c r="K1488" t="str">
        <f t="shared" si="47"/>
        <v>Budget</v>
      </c>
    </row>
    <row r="1489" spans="2:11" x14ac:dyDescent="0.25">
      <c r="B1489" t="s">
        <v>888</v>
      </c>
      <c r="C1489">
        <v>2009</v>
      </c>
      <c r="D1489" s="1">
        <v>130000</v>
      </c>
      <c r="E1489">
        <v>120000</v>
      </c>
      <c r="F1489" t="s">
        <v>15</v>
      </c>
      <c r="G1489" t="s">
        <v>10</v>
      </c>
      <c r="H1489" t="s">
        <v>11</v>
      </c>
      <c r="I1489" t="s">
        <v>12</v>
      </c>
      <c r="J1489">
        <f t="shared" si="46"/>
        <v>17</v>
      </c>
      <c r="K1489" t="str">
        <f t="shared" si="47"/>
        <v>Budget</v>
      </c>
    </row>
    <row r="1490" spans="2:11" x14ac:dyDescent="0.25">
      <c r="B1490" t="s">
        <v>889</v>
      </c>
      <c r="C1490">
        <v>2016</v>
      </c>
      <c r="D1490" s="1">
        <v>250000</v>
      </c>
      <c r="E1490">
        <v>30000</v>
      </c>
      <c r="F1490" t="s">
        <v>9</v>
      </c>
      <c r="G1490" t="s">
        <v>10</v>
      </c>
      <c r="H1490" t="s">
        <v>11</v>
      </c>
      <c r="I1490" t="s">
        <v>12</v>
      </c>
      <c r="J1490">
        <f t="shared" si="46"/>
        <v>10</v>
      </c>
      <c r="K1490" t="str">
        <f t="shared" si="47"/>
        <v>Budget</v>
      </c>
    </row>
    <row r="1491" spans="2:11" x14ac:dyDescent="0.25">
      <c r="B1491" t="s">
        <v>848</v>
      </c>
      <c r="C1491">
        <v>2012</v>
      </c>
      <c r="D1491" s="1">
        <v>270000</v>
      </c>
      <c r="E1491">
        <v>80000</v>
      </c>
      <c r="F1491" t="s">
        <v>15</v>
      </c>
      <c r="G1491" t="s">
        <v>10</v>
      </c>
      <c r="H1491" t="s">
        <v>11</v>
      </c>
      <c r="I1491" t="s">
        <v>18</v>
      </c>
      <c r="J1491">
        <f t="shared" si="46"/>
        <v>14</v>
      </c>
      <c r="K1491" t="str">
        <f t="shared" si="47"/>
        <v>Budget</v>
      </c>
    </row>
    <row r="1492" spans="2:11" x14ac:dyDescent="0.25">
      <c r="B1492" t="s">
        <v>101</v>
      </c>
      <c r="C1492">
        <v>2019</v>
      </c>
      <c r="D1492" s="1">
        <v>2600000</v>
      </c>
      <c r="E1492">
        <v>9500</v>
      </c>
      <c r="F1492" t="s">
        <v>15</v>
      </c>
      <c r="G1492" t="s">
        <v>10</v>
      </c>
      <c r="H1492" t="s">
        <v>28</v>
      </c>
      <c r="I1492" t="s">
        <v>12</v>
      </c>
      <c r="J1492">
        <f t="shared" si="46"/>
        <v>7</v>
      </c>
      <c r="K1492" t="str">
        <f t="shared" si="47"/>
        <v>Premium</v>
      </c>
    </row>
    <row r="1493" spans="2:11" x14ac:dyDescent="0.25">
      <c r="B1493" t="s">
        <v>136</v>
      </c>
      <c r="C1493">
        <v>2013</v>
      </c>
      <c r="D1493" s="1">
        <v>160000</v>
      </c>
      <c r="E1493">
        <v>80000</v>
      </c>
      <c r="F1493" t="s">
        <v>9</v>
      </c>
      <c r="G1493" t="s">
        <v>10</v>
      </c>
      <c r="H1493" t="s">
        <v>11</v>
      </c>
      <c r="I1493" t="s">
        <v>12</v>
      </c>
      <c r="J1493">
        <f t="shared" si="46"/>
        <v>13</v>
      </c>
      <c r="K1493" t="str">
        <f t="shared" si="47"/>
        <v>Budget</v>
      </c>
    </row>
    <row r="1494" spans="2:11" x14ac:dyDescent="0.25">
      <c r="B1494" t="s">
        <v>68</v>
      </c>
      <c r="C1494">
        <v>2016</v>
      </c>
      <c r="D1494" s="1">
        <v>229999</v>
      </c>
      <c r="E1494">
        <v>80000</v>
      </c>
      <c r="F1494" t="s">
        <v>9</v>
      </c>
      <c r="G1494" t="s">
        <v>10</v>
      </c>
      <c r="H1494" t="s">
        <v>11</v>
      </c>
      <c r="I1494" t="s">
        <v>12</v>
      </c>
      <c r="J1494">
        <f t="shared" si="46"/>
        <v>10</v>
      </c>
      <c r="K1494" t="str">
        <f t="shared" si="47"/>
        <v>Budget</v>
      </c>
    </row>
    <row r="1495" spans="2:11" x14ac:dyDescent="0.25">
      <c r="B1495" t="s">
        <v>890</v>
      </c>
      <c r="C1495">
        <v>2017</v>
      </c>
      <c r="D1495" s="1">
        <v>750000</v>
      </c>
      <c r="E1495">
        <v>29000</v>
      </c>
      <c r="F1495" t="s">
        <v>15</v>
      </c>
      <c r="G1495" t="s">
        <v>10</v>
      </c>
      <c r="H1495" t="s">
        <v>11</v>
      </c>
      <c r="I1495" t="s">
        <v>12</v>
      </c>
      <c r="J1495">
        <f t="shared" si="46"/>
        <v>9</v>
      </c>
      <c r="K1495" t="str">
        <f t="shared" si="47"/>
        <v>Mid Range</v>
      </c>
    </row>
    <row r="1496" spans="2:11" x14ac:dyDescent="0.25">
      <c r="B1496" t="s">
        <v>434</v>
      </c>
      <c r="C1496">
        <v>2011</v>
      </c>
      <c r="D1496" s="1">
        <v>195000</v>
      </c>
      <c r="E1496">
        <v>120000</v>
      </c>
      <c r="F1496" t="s">
        <v>15</v>
      </c>
      <c r="G1496" t="s">
        <v>10</v>
      </c>
      <c r="H1496" t="s">
        <v>11</v>
      </c>
      <c r="I1496" t="s">
        <v>12</v>
      </c>
      <c r="J1496">
        <f t="shared" si="46"/>
        <v>15</v>
      </c>
      <c r="K1496" t="str">
        <f t="shared" si="47"/>
        <v>Budget</v>
      </c>
    </row>
    <row r="1497" spans="2:11" x14ac:dyDescent="0.25">
      <c r="B1497" t="s">
        <v>891</v>
      </c>
      <c r="C1497">
        <v>2016</v>
      </c>
      <c r="D1497" s="1">
        <v>270000</v>
      </c>
      <c r="E1497">
        <v>22000</v>
      </c>
      <c r="F1497" t="s">
        <v>9</v>
      </c>
      <c r="G1497" t="s">
        <v>10</v>
      </c>
      <c r="H1497" t="s">
        <v>11</v>
      </c>
      <c r="I1497" t="s">
        <v>12</v>
      </c>
      <c r="J1497">
        <f t="shared" si="46"/>
        <v>10</v>
      </c>
      <c r="K1497" t="str">
        <f t="shared" si="47"/>
        <v>Budget</v>
      </c>
    </row>
    <row r="1498" spans="2:11" x14ac:dyDescent="0.25">
      <c r="B1498" t="s">
        <v>892</v>
      </c>
      <c r="C1498">
        <v>2012</v>
      </c>
      <c r="D1498" s="1">
        <v>300000</v>
      </c>
      <c r="E1498">
        <v>50000</v>
      </c>
      <c r="F1498" t="s">
        <v>9</v>
      </c>
      <c r="G1498" t="s">
        <v>10</v>
      </c>
      <c r="H1498" t="s">
        <v>11</v>
      </c>
      <c r="I1498" t="s">
        <v>12</v>
      </c>
      <c r="J1498">
        <f t="shared" si="46"/>
        <v>14</v>
      </c>
      <c r="K1498" t="str">
        <f t="shared" si="47"/>
        <v>Budget</v>
      </c>
    </row>
    <row r="1499" spans="2:11" x14ac:dyDescent="0.25">
      <c r="B1499" t="s">
        <v>185</v>
      </c>
      <c r="C1499">
        <v>2012</v>
      </c>
      <c r="D1499" s="1">
        <v>200000</v>
      </c>
      <c r="E1499">
        <v>50000</v>
      </c>
      <c r="F1499" t="s">
        <v>15</v>
      </c>
      <c r="G1499" t="s">
        <v>10</v>
      </c>
      <c r="H1499" t="s">
        <v>11</v>
      </c>
      <c r="I1499" t="s">
        <v>12</v>
      </c>
      <c r="J1499">
        <f t="shared" si="46"/>
        <v>14</v>
      </c>
      <c r="K1499" t="str">
        <f t="shared" si="47"/>
        <v>Budget</v>
      </c>
    </row>
    <row r="1500" spans="2:11" x14ac:dyDescent="0.25">
      <c r="B1500" t="s">
        <v>767</v>
      </c>
      <c r="C1500">
        <v>2007</v>
      </c>
      <c r="D1500" s="1">
        <v>120000</v>
      </c>
      <c r="E1500">
        <v>81366</v>
      </c>
      <c r="F1500" t="s">
        <v>9</v>
      </c>
      <c r="G1500" t="s">
        <v>10</v>
      </c>
      <c r="H1500" t="s">
        <v>11</v>
      </c>
      <c r="I1500" t="s">
        <v>12</v>
      </c>
      <c r="J1500">
        <f t="shared" si="46"/>
        <v>19</v>
      </c>
      <c r="K1500" t="str">
        <f t="shared" si="47"/>
        <v>Budget</v>
      </c>
    </row>
    <row r="1501" spans="2:11" x14ac:dyDescent="0.25">
      <c r="B1501" t="s">
        <v>183</v>
      </c>
      <c r="C1501">
        <v>2006</v>
      </c>
      <c r="D1501" s="1">
        <v>95000</v>
      </c>
      <c r="E1501">
        <v>110000</v>
      </c>
      <c r="F1501" t="s">
        <v>9</v>
      </c>
      <c r="G1501" t="s">
        <v>10</v>
      </c>
      <c r="H1501" t="s">
        <v>11</v>
      </c>
      <c r="I1501" t="s">
        <v>12</v>
      </c>
      <c r="J1501">
        <f t="shared" si="46"/>
        <v>20</v>
      </c>
      <c r="K1501" t="str">
        <f t="shared" si="47"/>
        <v>Budget</v>
      </c>
    </row>
    <row r="1502" spans="2:11" x14ac:dyDescent="0.25">
      <c r="B1502" t="s">
        <v>314</v>
      </c>
      <c r="C1502">
        <v>2006</v>
      </c>
      <c r="D1502" s="1">
        <v>229999</v>
      </c>
      <c r="E1502">
        <v>300000</v>
      </c>
      <c r="F1502" t="s">
        <v>15</v>
      </c>
      <c r="G1502" t="s">
        <v>10</v>
      </c>
      <c r="H1502" t="s">
        <v>11</v>
      </c>
      <c r="I1502" t="s">
        <v>12</v>
      </c>
      <c r="J1502">
        <f t="shared" si="46"/>
        <v>20</v>
      </c>
      <c r="K1502" t="str">
        <f t="shared" si="47"/>
        <v>Budget</v>
      </c>
    </row>
    <row r="1503" spans="2:11" x14ac:dyDescent="0.25">
      <c r="B1503" t="s">
        <v>893</v>
      </c>
      <c r="C1503">
        <v>2012</v>
      </c>
      <c r="D1503" s="1">
        <v>300000</v>
      </c>
      <c r="E1503">
        <v>90000</v>
      </c>
      <c r="F1503" t="s">
        <v>15</v>
      </c>
      <c r="G1503" t="s">
        <v>10</v>
      </c>
      <c r="H1503" t="s">
        <v>11</v>
      </c>
      <c r="I1503" t="s">
        <v>12</v>
      </c>
      <c r="J1503">
        <f t="shared" si="46"/>
        <v>14</v>
      </c>
      <c r="K1503" t="str">
        <f t="shared" si="47"/>
        <v>Budget</v>
      </c>
    </row>
    <row r="1504" spans="2:11" x14ac:dyDescent="0.25">
      <c r="B1504" t="s">
        <v>110</v>
      </c>
      <c r="C1504">
        <v>2016</v>
      </c>
      <c r="D1504" s="1">
        <v>200000</v>
      </c>
      <c r="E1504">
        <v>53000</v>
      </c>
      <c r="F1504" t="s">
        <v>9</v>
      </c>
      <c r="G1504" t="s">
        <v>10</v>
      </c>
      <c r="H1504" t="s">
        <v>11</v>
      </c>
      <c r="I1504" t="s">
        <v>18</v>
      </c>
      <c r="J1504">
        <f t="shared" si="46"/>
        <v>10</v>
      </c>
      <c r="K1504" t="str">
        <f t="shared" si="47"/>
        <v>Budget</v>
      </c>
    </row>
    <row r="1505" spans="2:11" x14ac:dyDescent="0.25">
      <c r="B1505" t="s">
        <v>249</v>
      </c>
      <c r="C1505">
        <v>2017</v>
      </c>
      <c r="D1505" s="1">
        <v>250000</v>
      </c>
      <c r="E1505">
        <v>30000</v>
      </c>
      <c r="F1505" t="s">
        <v>9</v>
      </c>
      <c r="G1505" t="s">
        <v>10</v>
      </c>
      <c r="H1505" t="s">
        <v>11</v>
      </c>
      <c r="I1505" t="s">
        <v>12</v>
      </c>
      <c r="J1505">
        <f t="shared" si="46"/>
        <v>9</v>
      </c>
      <c r="K1505" t="str">
        <f t="shared" si="47"/>
        <v>Budget</v>
      </c>
    </row>
    <row r="1506" spans="2:11" x14ac:dyDescent="0.25">
      <c r="B1506" t="s">
        <v>250</v>
      </c>
      <c r="C1506">
        <v>2012</v>
      </c>
      <c r="D1506" s="1">
        <v>368000</v>
      </c>
      <c r="E1506">
        <v>90000</v>
      </c>
      <c r="F1506" t="s">
        <v>9</v>
      </c>
      <c r="G1506" t="s">
        <v>10</v>
      </c>
      <c r="H1506" t="s">
        <v>11</v>
      </c>
      <c r="I1506" t="s">
        <v>18</v>
      </c>
      <c r="J1506">
        <f t="shared" si="46"/>
        <v>14</v>
      </c>
      <c r="K1506" t="str">
        <f t="shared" si="47"/>
        <v>Budget</v>
      </c>
    </row>
    <row r="1507" spans="2:11" x14ac:dyDescent="0.25">
      <c r="B1507" t="s">
        <v>569</v>
      </c>
      <c r="C1507">
        <v>2014</v>
      </c>
      <c r="D1507" s="1">
        <v>650000</v>
      </c>
      <c r="E1507">
        <v>244000</v>
      </c>
      <c r="F1507" t="s">
        <v>15</v>
      </c>
      <c r="G1507" t="s">
        <v>10</v>
      </c>
      <c r="H1507" t="s">
        <v>11</v>
      </c>
      <c r="I1507" t="s">
        <v>12</v>
      </c>
      <c r="J1507">
        <f t="shared" si="46"/>
        <v>12</v>
      </c>
      <c r="K1507" t="str">
        <f t="shared" si="47"/>
        <v>Mid Range</v>
      </c>
    </row>
    <row r="1508" spans="2:11" x14ac:dyDescent="0.25">
      <c r="B1508" t="s">
        <v>65</v>
      </c>
      <c r="C1508">
        <v>1997</v>
      </c>
      <c r="D1508" s="1">
        <v>150000</v>
      </c>
      <c r="E1508">
        <v>120000</v>
      </c>
      <c r="F1508" t="s">
        <v>15</v>
      </c>
      <c r="G1508" t="s">
        <v>10</v>
      </c>
      <c r="H1508" t="s">
        <v>11</v>
      </c>
      <c r="I1508" t="s">
        <v>49</v>
      </c>
      <c r="J1508">
        <f t="shared" si="46"/>
        <v>29</v>
      </c>
      <c r="K1508" t="str">
        <f t="shared" si="47"/>
        <v>Budget</v>
      </c>
    </row>
    <row r="1509" spans="2:11" x14ac:dyDescent="0.25">
      <c r="B1509" t="s">
        <v>894</v>
      </c>
      <c r="C1509">
        <v>2012</v>
      </c>
      <c r="D1509" s="1">
        <v>180000</v>
      </c>
      <c r="E1509">
        <v>60000</v>
      </c>
      <c r="F1509" t="s">
        <v>152</v>
      </c>
      <c r="G1509" t="s">
        <v>10</v>
      </c>
      <c r="H1509" t="s">
        <v>11</v>
      </c>
      <c r="I1509" t="s">
        <v>12</v>
      </c>
      <c r="J1509">
        <f t="shared" si="46"/>
        <v>14</v>
      </c>
      <c r="K1509" t="str">
        <f t="shared" si="47"/>
        <v>Budget</v>
      </c>
    </row>
    <row r="1510" spans="2:11" x14ac:dyDescent="0.25">
      <c r="B1510" t="s">
        <v>267</v>
      </c>
      <c r="C1510">
        <v>2017</v>
      </c>
      <c r="D1510" s="1">
        <v>525000</v>
      </c>
      <c r="E1510">
        <v>15000</v>
      </c>
      <c r="F1510" t="s">
        <v>9</v>
      </c>
      <c r="G1510" t="s">
        <v>10</v>
      </c>
      <c r="H1510" t="s">
        <v>11</v>
      </c>
      <c r="I1510" t="s">
        <v>12</v>
      </c>
      <c r="J1510">
        <f t="shared" si="46"/>
        <v>9</v>
      </c>
      <c r="K1510" t="str">
        <f t="shared" si="47"/>
        <v>Mid Range</v>
      </c>
    </row>
    <row r="1511" spans="2:11" x14ac:dyDescent="0.25">
      <c r="B1511" t="s">
        <v>340</v>
      </c>
      <c r="C1511">
        <v>2005</v>
      </c>
      <c r="D1511" s="1">
        <v>350000</v>
      </c>
      <c r="E1511">
        <v>150000</v>
      </c>
      <c r="F1511" t="s">
        <v>15</v>
      </c>
      <c r="G1511" t="s">
        <v>10</v>
      </c>
      <c r="H1511" t="s">
        <v>11</v>
      </c>
      <c r="I1511" t="s">
        <v>18</v>
      </c>
      <c r="J1511">
        <f t="shared" si="46"/>
        <v>21</v>
      </c>
      <c r="K1511" t="str">
        <f t="shared" si="47"/>
        <v>Budget</v>
      </c>
    </row>
    <row r="1512" spans="2:11" x14ac:dyDescent="0.25">
      <c r="B1512" t="s">
        <v>895</v>
      </c>
      <c r="C1512">
        <v>2018</v>
      </c>
      <c r="D1512" s="1">
        <v>850000</v>
      </c>
      <c r="E1512">
        <v>30000</v>
      </c>
      <c r="F1512" t="s">
        <v>15</v>
      </c>
      <c r="G1512" t="s">
        <v>10</v>
      </c>
      <c r="H1512" t="s">
        <v>11</v>
      </c>
      <c r="I1512" t="s">
        <v>18</v>
      </c>
      <c r="J1512">
        <f t="shared" si="46"/>
        <v>8</v>
      </c>
      <c r="K1512" t="str">
        <f t="shared" si="47"/>
        <v>Mid Range</v>
      </c>
    </row>
    <row r="1513" spans="2:11" x14ac:dyDescent="0.25">
      <c r="B1513" t="s">
        <v>896</v>
      </c>
      <c r="C1513">
        <v>2011</v>
      </c>
      <c r="D1513" s="1">
        <v>350000</v>
      </c>
      <c r="E1513">
        <v>312000</v>
      </c>
      <c r="F1513" t="s">
        <v>15</v>
      </c>
      <c r="G1513" t="s">
        <v>10</v>
      </c>
      <c r="H1513" t="s">
        <v>11</v>
      </c>
      <c r="I1513" t="s">
        <v>49</v>
      </c>
      <c r="J1513">
        <f t="shared" si="46"/>
        <v>15</v>
      </c>
      <c r="K1513" t="str">
        <f t="shared" si="47"/>
        <v>Budget</v>
      </c>
    </row>
    <row r="1514" spans="2:11" x14ac:dyDescent="0.25">
      <c r="B1514" t="s">
        <v>76</v>
      </c>
      <c r="C1514">
        <v>2005</v>
      </c>
      <c r="D1514" s="1">
        <v>160000</v>
      </c>
      <c r="E1514">
        <v>67000</v>
      </c>
      <c r="F1514" t="s">
        <v>9</v>
      </c>
      <c r="G1514" t="s">
        <v>10</v>
      </c>
      <c r="H1514" t="s">
        <v>11</v>
      </c>
      <c r="I1514" t="s">
        <v>12</v>
      </c>
      <c r="J1514">
        <f t="shared" si="46"/>
        <v>21</v>
      </c>
      <c r="K1514" t="str">
        <f t="shared" si="47"/>
        <v>Budget</v>
      </c>
    </row>
    <row r="1515" spans="2:11" x14ac:dyDescent="0.25">
      <c r="B1515" t="s">
        <v>897</v>
      </c>
      <c r="C1515">
        <v>2017</v>
      </c>
      <c r="D1515" s="1">
        <v>500000</v>
      </c>
      <c r="E1515">
        <v>40000</v>
      </c>
      <c r="F1515" t="s">
        <v>15</v>
      </c>
      <c r="G1515" t="s">
        <v>10</v>
      </c>
      <c r="H1515" t="s">
        <v>11</v>
      </c>
      <c r="I1515" t="s">
        <v>12</v>
      </c>
      <c r="J1515">
        <f t="shared" si="46"/>
        <v>9</v>
      </c>
      <c r="K1515" t="str">
        <f t="shared" si="47"/>
        <v>Mid Range</v>
      </c>
    </row>
    <row r="1516" spans="2:11" x14ac:dyDescent="0.25">
      <c r="B1516" t="s">
        <v>56</v>
      </c>
      <c r="C1516">
        <v>2008</v>
      </c>
      <c r="D1516" s="1">
        <v>130000</v>
      </c>
      <c r="E1516">
        <v>100000</v>
      </c>
      <c r="F1516" t="s">
        <v>9</v>
      </c>
      <c r="G1516" t="s">
        <v>10</v>
      </c>
      <c r="H1516" t="s">
        <v>11</v>
      </c>
      <c r="I1516" t="s">
        <v>12</v>
      </c>
      <c r="J1516">
        <f t="shared" si="46"/>
        <v>18</v>
      </c>
      <c r="K1516" t="str">
        <f t="shared" si="47"/>
        <v>Budget</v>
      </c>
    </row>
    <row r="1517" spans="2:11" x14ac:dyDescent="0.25">
      <c r="B1517" t="s">
        <v>219</v>
      </c>
      <c r="C1517">
        <v>2015</v>
      </c>
      <c r="D1517" s="1">
        <v>350000</v>
      </c>
      <c r="E1517">
        <v>100000</v>
      </c>
      <c r="F1517" t="s">
        <v>15</v>
      </c>
      <c r="G1517" t="s">
        <v>10</v>
      </c>
      <c r="H1517" t="s">
        <v>11</v>
      </c>
      <c r="I1517" t="s">
        <v>18</v>
      </c>
      <c r="J1517">
        <f t="shared" si="46"/>
        <v>11</v>
      </c>
      <c r="K1517" t="str">
        <f t="shared" si="47"/>
        <v>Budget</v>
      </c>
    </row>
    <row r="1518" spans="2:11" x14ac:dyDescent="0.25">
      <c r="B1518" t="s">
        <v>153</v>
      </c>
      <c r="C1518">
        <v>2005</v>
      </c>
      <c r="D1518" s="1">
        <v>70000</v>
      </c>
      <c r="E1518">
        <v>80000</v>
      </c>
      <c r="F1518" t="s">
        <v>9</v>
      </c>
      <c r="G1518" t="s">
        <v>10</v>
      </c>
      <c r="H1518" t="s">
        <v>11</v>
      </c>
      <c r="I1518" t="s">
        <v>12</v>
      </c>
      <c r="J1518">
        <f t="shared" si="46"/>
        <v>21</v>
      </c>
      <c r="K1518" t="str">
        <f t="shared" si="47"/>
        <v>Budget</v>
      </c>
    </row>
    <row r="1519" spans="2:11" x14ac:dyDescent="0.25">
      <c r="B1519" t="s">
        <v>42</v>
      </c>
      <c r="C1519">
        <v>2014</v>
      </c>
      <c r="D1519" s="1">
        <v>750000</v>
      </c>
      <c r="E1519">
        <v>145000</v>
      </c>
      <c r="F1519" t="s">
        <v>15</v>
      </c>
      <c r="G1519" t="s">
        <v>10</v>
      </c>
      <c r="H1519" t="s">
        <v>11</v>
      </c>
      <c r="I1519" t="s">
        <v>18</v>
      </c>
      <c r="J1519">
        <f t="shared" si="46"/>
        <v>12</v>
      </c>
      <c r="K1519" t="str">
        <f t="shared" si="47"/>
        <v>Mid Range</v>
      </c>
    </row>
    <row r="1520" spans="2:11" x14ac:dyDescent="0.25">
      <c r="B1520" t="s">
        <v>17</v>
      </c>
      <c r="C1520">
        <v>2013</v>
      </c>
      <c r="D1520" s="1">
        <v>450000</v>
      </c>
      <c r="E1520">
        <v>53000</v>
      </c>
      <c r="F1520" t="s">
        <v>15</v>
      </c>
      <c r="G1520" t="s">
        <v>10</v>
      </c>
      <c r="H1520" t="s">
        <v>11</v>
      </c>
      <c r="I1520" t="s">
        <v>12</v>
      </c>
      <c r="J1520">
        <f t="shared" si="46"/>
        <v>13</v>
      </c>
      <c r="K1520" t="str">
        <f t="shared" si="47"/>
        <v>Budget</v>
      </c>
    </row>
    <row r="1521" spans="2:11" x14ac:dyDescent="0.25">
      <c r="B1521" t="s">
        <v>514</v>
      </c>
      <c r="C1521">
        <v>2015</v>
      </c>
      <c r="D1521" s="1">
        <v>430000</v>
      </c>
      <c r="E1521">
        <v>73000</v>
      </c>
      <c r="F1521" t="s">
        <v>15</v>
      </c>
      <c r="G1521" t="s">
        <v>10</v>
      </c>
      <c r="H1521" t="s">
        <v>11</v>
      </c>
      <c r="I1521" t="s">
        <v>49</v>
      </c>
      <c r="J1521">
        <f t="shared" si="46"/>
        <v>11</v>
      </c>
      <c r="K1521" t="str">
        <f t="shared" si="47"/>
        <v>Budget</v>
      </c>
    </row>
    <row r="1522" spans="2:11" x14ac:dyDescent="0.25">
      <c r="B1522" t="s">
        <v>898</v>
      </c>
      <c r="C1522">
        <v>2011</v>
      </c>
      <c r="D1522" s="1">
        <v>260000</v>
      </c>
      <c r="E1522">
        <v>90000</v>
      </c>
      <c r="F1522" t="s">
        <v>15</v>
      </c>
      <c r="G1522" t="s">
        <v>10</v>
      </c>
      <c r="H1522" t="s">
        <v>11</v>
      </c>
      <c r="I1522" t="s">
        <v>49</v>
      </c>
      <c r="J1522">
        <f t="shared" si="46"/>
        <v>15</v>
      </c>
      <c r="K1522" t="str">
        <f t="shared" si="47"/>
        <v>Budget</v>
      </c>
    </row>
    <row r="1523" spans="2:11" x14ac:dyDescent="0.25">
      <c r="B1523" t="s">
        <v>354</v>
      </c>
      <c r="C1523">
        <v>2013</v>
      </c>
      <c r="D1523" s="1">
        <v>370000</v>
      </c>
      <c r="E1523">
        <v>80000</v>
      </c>
      <c r="F1523" t="s">
        <v>15</v>
      </c>
      <c r="G1523" t="s">
        <v>10</v>
      </c>
      <c r="H1523" t="s">
        <v>11</v>
      </c>
      <c r="I1523" t="s">
        <v>49</v>
      </c>
      <c r="J1523">
        <f t="shared" si="46"/>
        <v>13</v>
      </c>
      <c r="K1523" t="str">
        <f t="shared" si="47"/>
        <v>Budget</v>
      </c>
    </row>
    <row r="1524" spans="2:11" x14ac:dyDescent="0.25">
      <c r="B1524" t="s">
        <v>899</v>
      </c>
      <c r="C1524">
        <v>2011</v>
      </c>
      <c r="D1524" s="1">
        <v>229999</v>
      </c>
      <c r="E1524">
        <v>100000</v>
      </c>
      <c r="F1524" t="s">
        <v>24</v>
      </c>
      <c r="G1524" t="s">
        <v>10</v>
      </c>
      <c r="H1524" t="s">
        <v>11</v>
      </c>
      <c r="I1524" t="s">
        <v>12</v>
      </c>
      <c r="J1524">
        <f t="shared" si="46"/>
        <v>15</v>
      </c>
      <c r="K1524" t="str">
        <f t="shared" si="47"/>
        <v>Budget</v>
      </c>
    </row>
    <row r="1525" spans="2:11" x14ac:dyDescent="0.25">
      <c r="B1525" t="s">
        <v>725</v>
      </c>
      <c r="C1525">
        <v>2011</v>
      </c>
      <c r="D1525" s="1">
        <v>140000</v>
      </c>
      <c r="E1525">
        <v>90000</v>
      </c>
      <c r="F1525" t="s">
        <v>15</v>
      </c>
      <c r="G1525" t="s">
        <v>10</v>
      </c>
      <c r="H1525" t="s">
        <v>11</v>
      </c>
      <c r="I1525" t="s">
        <v>49</v>
      </c>
      <c r="J1525">
        <f t="shared" si="46"/>
        <v>15</v>
      </c>
      <c r="K1525" t="str">
        <f t="shared" si="47"/>
        <v>Budget</v>
      </c>
    </row>
    <row r="1526" spans="2:11" x14ac:dyDescent="0.25">
      <c r="B1526" t="s">
        <v>42</v>
      </c>
      <c r="C1526">
        <v>2013</v>
      </c>
      <c r="D1526" s="1">
        <v>700000</v>
      </c>
      <c r="E1526">
        <v>200000</v>
      </c>
      <c r="F1526" t="s">
        <v>15</v>
      </c>
      <c r="G1526" t="s">
        <v>10</v>
      </c>
      <c r="H1526" t="s">
        <v>11</v>
      </c>
      <c r="I1526" t="s">
        <v>12</v>
      </c>
      <c r="J1526">
        <f t="shared" si="46"/>
        <v>13</v>
      </c>
      <c r="K1526" t="str">
        <f t="shared" si="47"/>
        <v>Mid Range</v>
      </c>
    </row>
    <row r="1527" spans="2:11" x14ac:dyDescent="0.25">
      <c r="B1527" t="s">
        <v>900</v>
      </c>
      <c r="C1527">
        <v>2020</v>
      </c>
      <c r="D1527" s="1">
        <v>545000</v>
      </c>
      <c r="E1527">
        <v>7300</v>
      </c>
      <c r="F1527" t="s">
        <v>9</v>
      </c>
      <c r="G1527" t="s">
        <v>10</v>
      </c>
      <c r="H1527" t="s">
        <v>11</v>
      </c>
      <c r="I1527" t="s">
        <v>12</v>
      </c>
      <c r="J1527">
        <f t="shared" si="46"/>
        <v>6</v>
      </c>
      <c r="K1527" t="str">
        <f t="shared" si="47"/>
        <v>Mid Range</v>
      </c>
    </row>
    <row r="1528" spans="2:11" x14ac:dyDescent="0.25">
      <c r="B1528" t="s">
        <v>16</v>
      </c>
      <c r="C1528">
        <v>2017</v>
      </c>
      <c r="D1528" s="1">
        <v>200000</v>
      </c>
      <c r="E1528">
        <v>30000</v>
      </c>
      <c r="F1528" t="s">
        <v>9</v>
      </c>
      <c r="G1528" t="s">
        <v>10</v>
      </c>
      <c r="H1528" t="s">
        <v>11</v>
      </c>
      <c r="I1528" t="s">
        <v>12</v>
      </c>
      <c r="J1528">
        <f t="shared" si="46"/>
        <v>9</v>
      </c>
      <c r="K1528" t="str">
        <f t="shared" si="47"/>
        <v>Budget</v>
      </c>
    </row>
    <row r="1529" spans="2:11" x14ac:dyDescent="0.25">
      <c r="B1529" t="s">
        <v>321</v>
      </c>
      <c r="C1529">
        <v>2015</v>
      </c>
      <c r="D1529" s="1">
        <v>500000</v>
      </c>
      <c r="E1529">
        <v>120000</v>
      </c>
      <c r="F1529" t="s">
        <v>15</v>
      </c>
      <c r="G1529" t="s">
        <v>10</v>
      </c>
      <c r="H1529" t="s">
        <v>11</v>
      </c>
      <c r="I1529" t="s">
        <v>12</v>
      </c>
      <c r="J1529">
        <f t="shared" si="46"/>
        <v>11</v>
      </c>
      <c r="K1529" t="str">
        <f t="shared" si="47"/>
        <v>Mid Range</v>
      </c>
    </row>
    <row r="1530" spans="2:11" x14ac:dyDescent="0.25">
      <c r="B1530" t="s">
        <v>58</v>
      </c>
      <c r="C1530">
        <v>2008</v>
      </c>
      <c r="D1530" s="1">
        <v>70000</v>
      </c>
      <c r="E1530">
        <v>90000</v>
      </c>
      <c r="F1530" t="s">
        <v>9</v>
      </c>
      <c r="G1530" t="s">
        <v>10</v>
      </c>
      <c r="H1530" t="s">
        <v>11</v>
      </c>
      <c r="I1530" t="s">
        <v>18</v>
      </c>
      <c r="J1530">
        <f t="shared" si="46"/>
        <v>18</v>
      </c>
      <c r="K1530" t="str">
        <f t="shared" si="47"/>
        <v>Budget</v>
      </c>
    </row>
    <row r="1531" spans="2:11" x14ac:dyDescent="0.25">
      <c r="B1531" t="s">
        <v>901</v>
      </c>
      <c r="C1531">
        <v>2013</v>
      </c>
      <c r="D1531" s="1">
        <v>580000</v>
      </c>
      <c r="E1531">
        <v>25000</v>
      </c>
      <c r="F1531" t="s">
        <v>15</v>
      </c>
      <c r="G1531" t="s">
        <v>10</v>
      </c>
      <c r="H1531" t="s">
        <v>11</v>
      </c>
      <c r="I1531" t="s">
        <v>49</v>
      </c>
      <c r="J1531">
        <f t="shared" si="46"/>
        <v>13</v>
      </c>
      <c r="K1531" t="str">
        <f t="shared" si="47"/>
        <v>Mid Range</v>
      </c>
    </row>
    <row r="1532" spans="2:11" x14ac:dyDescent="0.25">
      <c r="B1532" t="s">
        <v>297</v>
      </c>
      <c r="C1532">
        <v>2012</v>
      </c>
      <c r="D1532" s="1">
        <v>160000</v>
      </c>
      <c r="E1532">
        <v>70000</v>
      </c>
      <c r="F1532" t="s">
        <v>24</v>
      </c>
      <c r="G1532" t="s">
        <v>10</v>
      </c>
      <c r="H1532" t="s">
        <v>11</v>
      </c>
      <c r="I1532" t="s">
        <v>18</v>
      </c>
      <c r="J1532">
        <f t="shared" si="46"/>
        <v>14</v>
      </c>
      <c r="K1532" t="str">
        <f t="shared" si="47"/>
        <v>Budget</v>
      </c>
    </row>
    <row r="1533" spans="2:11" x14ac:dyDescent="0.25">
      <c r="B1533" t="s">
        <v>58</v>
      </c>
      <c r="C1533">
        <v>2010</v>
      </c>
      <c r="D1533" s="1">
        <v>160000</v>
      </c>
      <c r="E1533">
        <v>36000</v>
      </c>
      <c r="F1533" t="s">
        <v>9</v>
      </c>
      <c r="G1533" t="s">
        <v>10</v>
      </c>
      <c r="H1533" t="s">
        <v>11</v>
      </c>
      <c r="I1533" t="s">
        <v>12</v>
      </c>
      <c r="J1533">
        <f t="shared" si="46"/>
        <v>16</v>
      </c>
      <c r="K1533" t="str">
        <f t="shared" si="47"/>
        <v>Budget</v>
      </c>
    </row>
    <row r="1534" spans="2:11" x14ac:dyDescent="0.25">
      <c r="B1534" t="s">
        <v>234</v>
      </c>
      <c r="C1534">
        <v>2016</v>
      </c>
      <c r="D1534" s="1">
        <v>760000</v>
      </c>
      <c r="E1534">
        <v>49000</v>
      </c>
      <c r="F1534" t="s">
        <v>15</v>
      </c>
      <c r="G1534" t="s">
        <v>10</v>
      </c>
      <c r="H1534" t="s">
        <v>11</v>
      </c>
      <c r="I1534" t="s">
        <v>12</v>
      </c>
      <c r="J1534">
        <f t="shared" si="46"/>
        <v>10</v>
      </c>
      <c r="K1534" t="str">
        <f t="shared" si="47"/>
        <v>Mid Range</v>
      </c>
    </row>
    <row r="1535" spans="2:11" x14ac:dyDescent="0.25">
      <c r="B1535" t="s">
        <v>902</v>
      </c>
      <c r="C1535">
        <v>2015</v>
      </c>
      <c r="D1535" s="1">
        <v>300000</v>
      </c>
      <c r="E1535">
        <v>22000</v>
      </c>
      <c r="F1535" t="s">
        <v>9</v>
      </c>
      <c r="G1535" t="s">
        <v>10</v>
      </c>
      <c r="H1535" t="s">
        <v>11</v>
      </c>
      <c r="I1535" t="s">
        <v>12</v>
      </c>
      <c r="J1535">
        <f t="shared" si="46"/>
        <v>11</v>
      </c>
      <c r="K1535" t="str">
        <f t="shared" si="47"/>
        <v>Budget</v>
      </c>
    </row>
    <row r="1536" spans="2:11" x14ac:dyDescent="0.25">
      <c r="B1536" t="s">
        <v>903</v>
      </c>
      <c r="C1536">
        <v>1998</v>
      </c>
      <c r="D1536" s="1">
        <v>50000</v>
      </c>
      <c r="E1536">
        <v>35000</v>
      </c>
      <c r="F1536" t="s">
        <v>152</v>
      </c>
      <c r="G1536" t="s">
        <v>10</v>
      </c>
      <c r="H1536" t="s">
        <v>11</v>
      </c>
      <c r="I1536" t="s">
        <v>18</v>
      </c>
      <c r="J1536">
        <f t="shared" si="46"/>
        <v>28</v>
      </c>
      <c r="K1536" t="str">
        <f t="shared" si="47"/>
        <v>Budget</v>
      </c>
    </row>
    <row r="1537" spans="2:11" x14ac:dyDescent="0.25">
      <c r="B1537" t="s">
        <v>572</v>
      </c>
      <c r="C1537">
        <v>2019</v>
      </c>
      <c r="D1537" s="1">
        <v>800000</v>
      </c>
      <c r="E1537">
        <v>24000</v>
      </c>
      <c r="F1537" t="s">
        <v>15</v>
      </c>
      <c r="G1537" t="s">
        <v>10</v>
      </c>
      <c r="H1537" t="s">
        <v>11</v>
      </c>
      <c r="I1537" t="s">
        <v>12</v>
      </c>
      <c r="J1537">
        <f t="shared" si="46"/>
        <v>7</v>
      </c>
      <c r="K1537" t="str">
        <f t="shared" si="47"/>
        <v>Mid Range</v>
      </c>
    </row>
    <row r="1538" spans="2:11" x14ac:dyDescent="0.25">
      <c r="B1538" t="s">
        <v>114</v>
      </c>
      <c r="C1538">
        <v>2018</v>
      </c>
      <c r="D1538" s="1">
        <v>680000</v>
      </c>
      <c r="E1538">
        <v>20000</v>
      </c>
      <c r="F1538" t="s">
        <v>15</v>
      </c>
      <c r="G1538" t="s">
        <v>10</v>
      </c>
      <c r="H1538" t="s">
        <v>11</v>
      </c>
      <c r="I1538" t="s">
        <v>12</v>
      </c>
      <c r="J1538">
        <f t="shared" si="46"/>
        <v>8</v>
      </c>
      <c r="K1538" t="str">
        <f t="shared" si="47"/>
        <v>Mid Range</v>
      </c>
    </row>
    <row r="1539" spans="2:11" x14ac:dyDescent="0.25">
      <c r="B1539" t="s">
        <v>904</v>
      </c>
      <c r="C1539">
        <v>2009</v>
      </c>
      <c r="D1539" s="1">
        <v>85000</v>
      </c>
      <c r="E1539">
        <v>50000</v>
      </c>
      <c r="F1539" t="s">
        <v>152</v>
      </c>
      <c r="G1539" t="s">
        <v>10</v>
      </c>
      <c r="H1539" t="s">
        <v>11</v>
      </c>
      <c r="I1539" t="s">
        <v>18</v>
      </c>
      <c r="J1539">
        <f t="shared" si="46"/>
        <v>17</v>
      </c>
      <c r="K1539" t="str">
        <f t="shared" si="47"/>
        <v>Budget</v>
      </c>
    </row>
    <row r="1540" spans="2:11" x14ac:dyDescent="0.25">
      <c r="B1540" t="s">
        <v>905</v>
      </c>
      <c r="C1540">
        <v>2016</v>
      </c>
      <c r="D1540" s="1">
        <v>1300000</v>
      </c>
      <c r="E1540">
        <v>70000</v>
      </c>
      <c r="F1540" t="s">
        <v>15</v>
      </c>
      <c r="G1540" t="s">
        <v>10</v>
      </c>
      <c r="H1540" t="s">
        <v>11</v>
      </c>
      <c r="I1540" t="s">
        <v>12</v>
      </c>
      <c r="J1540">
        <f t="shared" si="46"/>
        <v>10</v>
      </c>
      <c r="K1540" t="str">
        <f t="shared" si="47"/>
        <v>Premium</v>
      </c>
    </row>
    <row r="1541" spans="2:11" x14ac:dyDescent="0.25">
      <c r="B1541" t="s">
        <v>318</v>
      </c>
      <c r="C1541">
        <v>2016</v>
      </c>
      <c r="D1541" s="1">
        <v>500000</v>
      </c>
      <c r="E1541">
        <v>60000</v>
      </c>
      <c r="F1541" t="s">
        <v>9</v>
      </c>
      <c r="G1541" t="s">
        <v>10</v>
      </c>
      <c r="H1541" t="s">
        <v>11</v>
      </c>
      <c r="I1541" t="s">
        <v>12</v>
      </c>
      <c r="J1541">
        <f t="shared" si="46"/>
        <v>10</v>
      </c>
      <c r="K1541" t="str">
        <f t="shared" si="47"/>
        <v>Mid Range</v>
      </c>
    </row>
    <row r="1542" spans="2:11" x14ac:dyDescent="0.25">
      <c r="B1542" t="s">
        <v>35</v>
      </c>
      <c r="C1542">
        <v>2015</v>
      </c>
      <c r="D1542" s="1">
        <v>3500000</v>
      </c>
      <c r="E1542">
        <v>35000</v>
      </c>
      <c r="F1542" t="s">
        <v>15</v>
      </c>
      <c r="G1542" t="s">
        <v>10</v>
      </c>
      <c r="H1542" t="s">
        <v>28</v>
      </c>
      <c r="I1542" t="s">
        <v>12</v>
      </c>
      <c r="J1542">
        <f t="shared" ref="J1542:J1605" si="48">2026 - C1542</f>
        <v>11</v>
      </c>
      <c r="K1542" t="str">
        <f t="shared" ref="K1542:K1605" si="49">IF(D1542&lt;500000,"Budget",IF(D1542&lt;=1000000,"Mid Range","Premium"))</f>
        <v>Premium</v>
      </c>
    </row>
    <row r="1543" spans="2:11" x14ac:dyDescent="0.25">
      <c r="B1543" t="s">
        <v>906</v>
      </c>
      <c r="C1543">
        <v>2008</v>
      </c>
      <c r="D1543" s="1">
        <v>145000</v>
      </c>
      <c r="E1543">
        <v>60000</v>
      </c>
      <c r="F1543" t="s">
        <v>9</v>
      </c>
      <c r="G1543" t="s">
        <v>10</v>
      </c>
      <c r="H1543" t="s">
        <v>11</v>
      </c>
      <c r="I1543" t="s">
        <v>12</v>
      </c>
      <c r="J1543">
        <f t="shared" si="48"/>
        <v>18</v>
      </c>
      <c r="K1543" t="str">
        <f t="shared" si="49"/>
        <v>Budget</v>
      </c>
    </row>
    <row r="1544" spans="2:11" x14ac:dyDescent="0.25">
      <c r="B1544" t="s">
        <v>732</v>
      </c>
      <c r="C1544">
        <v>2013</v>
      </c>
      <c r="D1544" s="1">
        <v>300000</v>
      </c>
      <c r="E1544">
        <v>60000</v>
      </c>
      <c r="F1544" t="s">
        <v>15</v>
      </c>
      <c r="G1544" t="s">
        <v>10</v>
      </c>
      <c r="H1544" t="s">
        <v>11</v>
      </c>
      <c r="I1544" t="s">
        <v>12</v>
      </c>
      <c r="J1544">
        <f t="shared" si="48"/>
        <v>13</v>
      </c>
      <c r="K1544" t="str">
        <f t="shared" si="49"/>
        <v>Budget</v>
      </c>
    </row>
    <row r="1545" spans="2:11" x14ac:dyDescent="0.25">
      <c r="B1545" t="s">
        <v>907</v>
      </c>
      <c r="C1545">
        <v>2017</v>
      </c>
      <c r="D1545" s="1">
        <v>600000</v>
      </c>
      <c r="E1545">
        <v>60000</v>
      </c>
      <c r="F1545" t="s">
        <v>15</v>
      </c>
      <c r="G1545" t="s">
        <v>10</v>
      </c>
      <c r="H1545" t="s">
        <v>11</v>
      </c>
      <c r="I1545" t="s">
        <v>18</v>
      </c>
      <c r="J1545">
        <f t="shared" si="48"/>
        <v>9</v>
      </c>
      <c r="K1545" t="str">
        <f t="shared" si="49"/>
        <v>Mid Range</v>
      </c>
    </row>
    <row r="1546" spans="2:11" x14ac:dyDescent="0.25">
      <c r="B1546" t="s">
        <v>550</v>
      </c>
      <c r="C1546">
        <v>2015</v>
      </c>
      <c r="D1546" s="1">
        <v>400000</v>
      </c>
      <c r="E1546">
        <v>70000</v>
      </c>
      <c r="F1546" t="s">
        <v>9</v>
      </c>
      <c r="G1546" t="s">
        <v>10</v>
      </c>
      <c r="H1546" t="s">
        <v>11</v>
      </c>
      <c r="I1546" t="s">
        <v>18</v>
      </c>
      <c r="J1546">
        <f t="shared" si="48"/>
        <v>11</v>
      </c>
      <c r="K1546" t="str">
        <f t="shared" si="49"/>
        <v>Budget</v>
      </c>
    </row>
    <row r="1547" spans="2:11" x14ac:dyDescent="0.25">
      <c r="B1547" t="s">
        <v>908</v>
      </c>
      <c r="C1547">
        <v>2007</v>
      </c>
      <c r="D1547" s="1">
        <v>130000</v>
      </c>
      <c r="E1547">
        <v>135000</v>
      </c>
      <c r="F1547" t="s">
        <v>9</v>
      </c>
      <c r="G1547" t="s">
        <v>10</v>
      </c>
      <c r="H1547" t="s">
        <v>11</v>
      </c>
      <c r="I1547" t="s">
        <v>18</v>
      </c>
      <c r="J1547">
        <f t="shared" si="48"/>
        <v>19</v>
      </c>
      <c r="K1547" t="str">
        <f t="shared" si="49"/>
        <v>Budget</v>
      </c>
    </row>
    <row r="1548" spans="2:11" x14ac:dyDescent="0.25">
      <c r="B1548" t="s">
        <v>357</v>
      </c>
      <c r="C1548">
        <v>2001</v>
      </c>
      <c r="D1548" s="1">
        <v>45000</v>
      </c>
      <c r="E1548">
        <v>72539</v>
      </c>
      <c r="F1548" t="s">
        <v>9</v>
      </c>
      <c r="G1548" t="s">
        <v>10</v>
      </c>
      <c r="H1548" t="s">
        <v>11</v>
      </c>
      <c r="I1548" t="s">
        <v>18</v>
      </c>
      <c r="J1548">
        <f t="shared" si="48"/>
        <v>25</v>
      </c>
      <c r="K1548" t="str">
        <f t="shared" si="49"/>
        <v>Budget</v>
      </c>
    </row>
    <row r="1549" spans="2:11" x14ac:dyDescent="0.25">
      <c r="B1549" t="s">
        <v>909</v>
      </c>
      <c r="C1549">
        <v>2017</v>
      </c>
      <c r="D1549" s="1">
        <v>641000</v>
      </c>
      <c r="E1549">
        <v>25000</v>
      </c>
      <c r="F1549" t="s">
        <v>9</v>
      </c>
      <c r="G1549" t="s">
        <v>10</v>
      </c>
      <c r="H1549" t="s">
        <v>11</v>
      </c>
      <c r="I1549" t="s">
        <v>12</v>
      </c>
      <c r="J1549">
        <f t="shared" si="48"/>
        <v>9</v>
      </c>
      <c r="K1549" t="str">
        <f t="shared" si="49"/>
        <v>Mid Range</v>
      </c>
    </row>
    <row r="1550" spans="2:11" x14ac:dyDescent="0.25">
      <c r="B1550" t="s">
        <v>114</v>
      </c>
      <c r="C1550">
        <v>2015</v>
      </c>
      <c r="D1550" s="1">
        <v>650000</v>
      </c>
      <c r="E1550">
        <v>50000</v>
      </c>
      <c r="F1550" t="s">
        <v>15</v>
      </c>
      <c r="G1550" t="s">
        <v>10</v>
      </c>
      <c r="H1550" t="s">
        <v>11</v>
      </c>
      <c r="I1550" t="s">
        <v>12</v>
      </c>
      <c r="J1550">
        <f t="shared" si="48"/>
        <v>11</v>
      </c>
      <c r="K1550" t="str">
        <f t="shared" si="49"/>
        <v>Mid Range</v>
      </c>
    </row>
    <row r="1551" spans="2:11" x14ac:dyDescent="0.25">
      <c r="B1551" t="s">
        <v>910</v>
      </c>
      <c r="C1551">
        <v>2020</v>
      </c>
      <c r="D1551" s="1">
        <v>784000</v>
      </c>
      <c r="E1551">
        <v>101</v>
      </c>
      <c r="F1551" t="s">
        <v>15</v>
      </c>
      <c r="G1551" t="s">
        <v>27</v>
      </c>
      <c r="H1551" t="s">
        <v>11</v>
      </c>
      <c r="I1551" t="s">
        <v>911</v>
      </c>
      <c r="J1551">
        <f t="shared" si="48"/>
        <v>6</v>
      </c>
      <c r="K1551" t="str">
        <f t="shared" si="49"/>
        <v>Mid Range</v>
      </c>
    </row>
    <row r="1552" spans="2:11" x14ac:dyDescent="0.25">
      <c r="B1552" t="s">
        <v>912</v>
      </c>
      <c r="C1552">
        <v>2020</v>
      </c>
      <c r="D1552" s="1">
        <v>635000</v>
      </c>
      <c r="E1552">
        <v>101</v>
      </c>
      <c r="F1552" t="s">
        <v>9</v>
      </c>
      <c r="G1552" t="s">
        <v>27</v>
      </c>
      <c r="H1552" t="s">
        <v>11</v>
      </c>
      <c r="I1552" t="s">
        <v>911</v>
      </c>
      <c r="J1552">
        <f t="shared" si="48"/>
        <v>6</v>
      </c>
      <c r="K1552" t="str">
        <f t="shared" si="49"/>
        <v>Mid Range</v>
      </c>
    </row>
    <row r="1553" spans="2:11" x14ac:dyDescent="0.25">
      <c r="B1553" t="s">
        <v>913</v>
      </c>
      <c r="C1553">
        <v>2020</v>
      </c>
      <c r="D1553" s="1">
        <v>1000000</v>
      </c>
      <c r="E1553">
        <v>101</v>
      </c>
      <c r="F1553" t="s">
        <v>15</v>
      </c>
      <c r="G1553" t="s">
        <v>27</v>
      </c>
      <c r="H1553" t="s">
        <v>11</v>
      </c>
      <c r="I1553" t="s">
        <v>911</v>
      </c>
      <c r="J1553">
        <f t="shared" si="48"/>
        <v>6</v>
      </c>
      <c r="K1553" t="str">
        <f t="shared" si="49"/>
        <v>Mid Range</v>
      </c>
    </row>
    <row r="1554" spans="2:11" x14ac:dyDescent="0.25">
      <c r="B1554" t="s">
        <v>914</v>
      </c>
      <c r="C1554">
        <v>2015</v>
      </c>
      <c r="D1554" s="1">
        <v>495000</v>
      </c>
      <c r="E1554">
        <v>52328</v>
      </c>
      <c r="F1554" t="s">
        <v>15</v>
      </c>
      <c r="G1554" t="s">
        <v>27</v>
      </c>
      <c r="H1554" t="s">
        <v>11</v>
      </c>
      <c r="I1554" t="s">
        <v>12</v>
      </c>
      <c r="J1554">
        <f t="shared" si="48"/>
        <v>11</v>
      </c>
      <c r="K1554" t="str">
        <f t="shared" si="49"/>
        <v>Budget</v>
      </c>
    </row>
    <row r="1555" spans="2:11" x14ac:dyDescent="0.25">
      <c r="B1555" t="s">
        <v>56</v>
      </c>
      <c r="C1555">
        <v>2013</v>
      </c>
      <c r="D1555" s="1">
        <v>324000</v>
      </c>
      <c r="E1555">
        <v>30000</v>
      </c>
      <c r="F1555" t="s">
        <v>9</v>
      </c>
      <c r="G1555" t="s">
        <v>10</v>
      </c>
      <c r="H1555" t="s">
        <v>11</v>
      </c>
      <c r="I1555" t="s">
        <v>12</v>
      </c>
      <c r="J1555">
        <f t="shared" si="48"/>
        <v>13</v>
      </c>
      <c r="K1555" t="str">
        <f t="shared" si="49"/>
        <v>Budget</v>
      </c>
    </row>
    <row r="1556" spans="2:11" x14ac:dyDescent="0.25">
      <c r="B1556" t="s">
        <v>621</v>
      </c>
      <c r="C1556">
        <v>2016</v>
      </c>
      <c r="D1556" s="1">
        <v>2100000</v>
      </c>
      <c r="E1556">
        <v>91505</v>
      </c>
      <c r="F1556" t="s">
        <v>15</v>
      </c>
      <c r="G1556" t="s">
        <v>27</v>
      </c>
      <c r="H1556" t="s">
        <v>28</v>
      </c>
      <c r="I1556" t="s">
        <v>12</v>
      </c>
      <c r="J1556">
        <f t="shared" si="48"/>
        <v>10</v>
      </c>
      <c r="K1556" t="str">
        <f t="shared" si="49"/>
        <v>Premium</v>
      </c>
    </row>
    <row r="1557" spans="2:11" x14ac:dyDescent="0.25">
      <c r="B1557" t="s">
        <v>249</v>
      </c>
      <c r="C1557">
        <v>2018</v>
      </c>
      <c r="D1557" s="1">
        <v>200000</v>
      </c>
      <c r="E1557">
        <v>35000</v>
      </c>
      <c r="F1557" t="s">
        <v>9</v>
      </c>
      <c r="G1557" t="s">
        <v>10</v>
      </c>
      <c r="H1557" t="s">
        <v>11</v>
      </c>
      <c r="I1557" t="s">
        <v>12</v>
      </c>
      <c r="J1557">
        <f t="shared" si="48"/>
        <v>8</v>
      </c>
      <c r="K1557" t="str">
        <f t="shared" si="49"/>
        <v>Budget</v>
      </c>
    </row>
    <row r="1558" spans="2:11" x14ac:dyDescent="0.25">
      <c r="B1558" t="s">
        <v>114</v>
      </c>
      <c r="C1558">
        <v>2015</v>
      </c>
      <c r="D1558" s="1">
        <v>320000</v>
      </c>
      <c r="E1558">
        <v>60000</v>
      </c>
      <c r="F1558" t="s">
        <v>15</v>
      </c>
      <c r="G1558" t="s">
        <v>10</v>
      </c>
      <c r="H1558" t="s">
        <v>11</v>
      </c>
      <c r="I1558" t="s">
        <v>12</v>
      </c>
      <c r="J1558">
        <f t="shared" si="48"/>
        <v>11</v>
      </c>
      <c r="K1558" t="str">
        <f t="shared" si="49"/>
        <v>Budget</v>
      </c>
    </row>
    <row r="1559" spans="2:11" x14ac:dyDescent="0.25">
      <c r="B1559" t="s">
        <v>902</v>
      </c>
      <c r="C1559">
        <v>2015</v>
      </c>
      <c r="D1559" s="1">
        <v>300000</v>
      </c>
      <c r="E1559">
        <v>20500</v>
      </c>
      <c r="F1559" t="s">
        <v>9</v>
      </c>
      <c r="G1559" t="s">
        <v>10</v>
      </c>
      <c r="H1559" t="s">
        <v>11</v>
      </c>
      <c r="I1559" t="s">
        <v>12</v>
      </c>
      <c r="J1559">
        <f t="shared" si="48"/>
        <v>11</v>
      </c>
      <c r="K1559" t="str">
        <f t="shared" si="49"/>
        <v>Budget</v>
      </c>
    </row>
    <row r="1560" spans="2:11" x14ac:dyDescent="0.25">
      <c r="B1560" t="s">
        <v>363</v>
      </c>
      <c r="C1560">
        <v>2013</v>
      </c>
      <c r="D1560" s="1">
        <v>180000</v>
      </c>
      <c r="E1560">
        <v>200000</v>
      </c>
      <c r="F1560" t="s">
        <v>15</v>
      </c>
      <c r="G1560" t="s">
        <v>10</v>
      </c>
      <c r="H1560" t="s">
        <v>11</v>
      </c>
      <c r="I1560" t="s">
        <v>12</v>
      </c>
      <c r="J1560">
        <f t="shared" si="48"/>
        <v>13</v>
      </c>
      <c r="K1560" t="str">
        <f t="shared" si="49"/>
        <v>Budget</v>
      </c>
    </row>
    <row r="1561" spans="2:11" x14ac:dyDescent="0.25">
      <c r="B1561" t="s">
        <v>74</v>
      </c>
      <c r="C1561">
        <v>2008</v>
      </c>
      <c r="D1561" s="1">
        <v>500000</v>
      </c>
      <c r="E1561">
        <v>154000</v>
      </c>
      <c r="F1561" t="s">
        <v>15</v>
      </c>
      <c r="G1561" t="s">
        <v>10</v>
      </c>
      <c r="H1561" t="s">
        <v>11</v>
      </c>
      <c r="I1561" t="s">
        <v>49</v>
      </c>
      <c r="J1561">
        <f t="shared" si="48"/>
        <v>18</v>
      </c>
      <c r="K1561" t="str">
        <f t="shared" si="49"/>
        <v>Mid Range</v>
      </c>
    </row>
    <row r="1562" spans="2:11" x14ac:dyDescent="0.25">
      <c r="B1562" t="s">
        <v>915</v>
      </c>
      <c r="C1562">
        <v>2011</v>
      </c>
      <c r="D1562" s="1">
        <v>305000</v>
      </c>
      <c r="E1562">
        <v>120000</v>
      </c>
      <c r="F1562" t="s">
        <v>9</v>
      </c>
      <c r="G1562" t="s">
        <v>10</v>
      </c>
      <c r="H1562" t="s">
        <v>11</v>
      </c>
      <c r="I1562" t="s">
        <v>18</v>
      </c>
      <c r="J1562">
        <f t="shared" si="48"/>
        <v>15</v>
      </c>
      <c r="K1562" t="str">
        <f t="shared" si="49"/>
        <v>Budget</v>
      </c>
    </row>
    <row r="1563" spans="2:11" x14ac:dyDescent="0.25">
      <c r="B1563" t="s">
        <v>8</v>
      </c>
      <c r="C1563">
        <v>2009</v>
      </c>
      <c r="D1563" s="1">
        <v>125000</v>
      </c>
      <c r="E1563">
        <v>50000</v>
      </c>
      <c r="F1563" t="s">
        <v>9</v>
      </c>
      <c r="G1563" t="s">
        <v>10</v>
      </c>
      <c r="H1563" t="s">
        <v>11</v>
      </c>
      <c r="I1563" t="s">
        <v>46</v>
      </c>
      <c r="J1563">
        <f t="shared" si="48"/>
        <v>17</v>
      </c>
      <c r="K1563" t="str">
        <f t="shared" si="49"/>
        <v>Budget</v>
      </c>
    </row>
    <row r="1564" spans="2:11" x14ac:dyDescent="0.25">
      <c r="B1564" t="s">
        <v>366</v>
      </c>
      <c r="C1564">
        <v>2015</v>
      </c>
      <c r="D1564" s="1">
        <v>800000</v>
      </c>
      <c r="E1564">
        <v>135000</v>
      </c>
      <c r="F1564" t="s">
        <v>15</v>
      </c>
      <c r="G1564" t="s">
        <v>10</v>
      </c>
      <c r="H1564" t="s">
        <v>11</v>
      </c>
      <c r="I1564" t="s">
        <v>12</v>
      </c>
      <c r="J1564">
        <f t="shared" si="48"/>
        <v>11</v>
      </c>
      <c r="K1564" t="str">
        <f t="shared" si="49"/>
        <v>Mid Range</v>
      </c>
    </row>
    <row r="1565" spans="2:11" x14ac:dyDescent="0.25">
      <c r="B1565" t="s">
        <v>302</v>
      </c>
      <c r="C1565">
        <v>2009</v>
      </c>
      <c r="D1565" s="1">
        <v>420000</v>
      </c>
      <c r="E1565">
        <v>100000</v>
      </c>
      <c r="F1565" t="s">
        <v>15</v>
      </c>
      <c r="G1565" t="s">
        <v>10</v>
      </c>
      <c r="H1565" t="s">
        <v>11</v>
      </c>
      <c r="I1565" t="s">
        <v>12</v>
      </c>
      <c r="J1565">
        <f t="shared" si="48"/>
        <v>17</v>
      </c>
      <c r="K1565" t="str">
        <f t="shared" si="49"/>
        <v>Budget</v>
      </c>
    </row>
    <row r="1566" spans="2:11" x14ac:dyDescent="0.25">
      <c r="B1566" t="s">
        <v>335</v>
      </c>
      <c r="C1566">
        <v>2017</v>
      </c>
      <c r="D1566" s="1">
        <v>875000</v>
      </c>
      <c r="E1566">
        <v>40000</v>
      </c>
      <c r="F1566" t="s">
        <v>15</v>
      </c>
      <c r="G1566" t="s">
        <v>10</v>
      </c>
      <c r="H1566" t="s">
        <v>11</v>
      </c>
      <c r="I1566" t="s">
        <v>12</v>
      </c>
      <c r="J1566">
        <f t="shared" si="48"/>
        <v>9</v>
      </c>
      <c r="K1566" t="str">
        <f t="shared" si="49"/>
        <v>Mid Range</v>
      </c>
    </row>
    <row r="1567" spans="2:11" x14ac:dyDescent="0.25">
      <c r="B1567" t="s">
        <v>366</v>
      </c>
      <c r="C1567">
        <v>2014</v>
      </c>
      <c r="D1567" s="1">
        <v>580000</v>
      </c>
      <c r="E1567">
        <v>70000</v>
      </c>
      <c r="F1567" t="s">
        <v>15</v>
      </c>
      <c r="G1567" t="s">
        <v>10</v>
      </c>
      <c r="H1567" t="s">
        <v>11</v>
      </c>
      <c r="I1567" t="s">
        <v>12</v>
      </c>
      <c r="J1567">
        <f t="shared" si="48"/>
        <v>12</v>
      </c>
      <c r="K1567" t="str">
        <f t="shared" si="49"/>
        <v>Mid Range</v>
      </c>
    </row>
    <row r="1568" spans="2:11" x14ac:dyDescent="0.25">
      <c r="B1568" t="s">
        <v>369</v>
      </c>
      <c r="C1568">
        <v>2011</v>
      </c>
      <c r="D1568" s="1">
        <v>350000</v>
      </c>
      <c r="E1568">
        <v>133000</v>
      </c>
      <c r="F1568" t="s">
        <v>15</v>
      </c>
      <c r="G1568" t="s">
        <v>10</v>
      </c>
      <c r="H1568" t="s">
        <v>11</v>
      </c>
      <c r="I1568" t="s">
        <v>18</v>
      </c>
      <c r="J1568">
        <f t="shared" si="48"/>
        <v>15</v>
      </c>
      <c r="K1568" t="str">
        <f t="shared" si="49"/>
        <v>Budget</v>
      </c>
    </row>
    <row r="1569" spans="2:11" x14ac:dyDescent="0.25">
      <c r="B1569" t="s">
        <v>916</v>
      </c>
      <c r="C1569">
        <v>2004</v>
      </c>
      <c r="D1569" s="1">
        <v>120000</v>
      </c>
      <c r="E1569">
        <v>110000</v>
      </c>
      <c r="F1569" t="s">
        <v>9</v>
      </c>
      <c r="G1569" t="s">
        <v>10</v>
      </c>
      <c r="H1569" t="s">
        <v>11</v>
      </c>
      <c r="I1569" t="s">
        <v>18</v>
      </c>
      <c r="J1569">
        <f t="shared" si="48"/>
        <v>22</v>
      </c>
      <c r="K1569" t="str">
        <f t="shared" si="49"/>
        <v>Budget</v>
      </c>
    </row>
    <row r="1570" spans="2:11" x14ac:dyDescent="0.25">
      <c r="B1570" t="s">
        <v>217</v>
      </c>
      <c r="C1570">
        <v>2013</v>
      </c>
      <c r="D1570" s="1">
        <v>150000</v>
      </c>
      <c r="E1570">
        <v>180000</v>
      </c>
      <c r="F1570" t="s">
        <v>15</v>
      </c>
      <c r="G1570" t="s">
        <v>10</v>
      </c>
      <c r="H1570" t="s">
        <v>11</v>
      </c>
      <c r="I1570" t="s">
        <v>49</v>
      </c>
      <c r="J1570">
        <f t="shared" si="48"/>
        <v>13</v>
      </c>
      <c r="K1570" t="str">
        <f t="shared" si="49"/>
        <v>Budget</v>
      </c>
    </row>
    <row r="1571" spans="2:11" x14ac:dyDescent="0.25">
      <c r="B1571" t="s">
        <v>163</v>
      </c>
      <c r="C1571">
        <v>2013</v>
      </c>
      <c r="D1571" s="1">
        <v>650000</v>
      </c>
      <c r="E1571">
        <v>120000</v>
      </c>
      <c r="F1571" t="s">
        <v>15</v>
      </c>
      <c r="G1571" t="s">
        <v>10</v>
      </c>
      <c r="H1571" t="s">
        <v>11</v>
      </c>
      <c r="I1571" t="s">
        <v>12</v>
      </c>
      <c r="J1571">
        <f t="shared" si="48"/>
        <v>13</v>
      </c>
      <c r="K1571" t="str">
        <f t="shared" si="49"/>
        <v>Mid Range</v>
      </c>
    </row>
    <row r="1572" spans="2:11" x14ac:dyDescent="0.25">
      <c r="B1572" t="s">
        <v>453</v>
      </c>
      <c r="C1572">
        <v>2010</v>
      </c>
      <c r="D1572" s="1">
        <v>225000</v>
      </c>
      <c r="E1572">
        <v>80000</v>
      </c>
      <c r="F1572" t="s">
        <v>9</v>
      </c>
      <c r="G1572" t="s">
        <v>10</v>
      </c>
      <c r="H1572" t="s">
        <v>11</v>
      </c>
      <c r="I1572" t="s">
        <v>18</v>
      </c>
      <c r="J1572">
        <f t="shared" si="48"/>
        <v>16</v>
      </c>
      <c r="K1572" t="str">
        <f t="shared" si="49"/>
        <v>Budget</v>
      </c>
    </row>
    <row r="1573" spans="2:11" x14ac:dyDescent="0.25">
      <c r="B1573" t="s">
        <v>442</v>
      </c>
      <c r="C1573">
        <v>2014</v>
      </c>
      <c r="D1573" s="1">
        <v>400000</v>
      </c>
      <c r="E1573">
        <v>15000</v>
      </c>
      <c r="F1573" t="s">
        <v>9</v>
      </c>
      <c r="G1573" t="s">
        <v>10</v>
      </c>
      <c r="H1573" t="s">
        <v>28</v>
      </c>
      <c r="I1573" t="s">
        <v>12</v>
      </c>
      <c r="J1573">
        <f t="shared" si="48"/>
        <v>12</v>
      </c>
      <c r="K1573" t="str">
        <f t="shared" si="49"/>
        <v>Budget</v>
      </c>
    </row>
    <row r="1574" spans="2:11" x14ac:dyDescent="0.25">
      <c r="B1574" t="s">
        <v>82</v>
      </c>
      <c r="C1574">
        <v>2005</v>
      </c>
      <c r="D1574" s="1">
        <v>250000</v>
      </c>
      <c r="E1574">
        <v>70000</v>
      </c>
      <c r="F1574" t="s">
        <v>9</v>
      </c>
      <c r="G1574" t="s">
        <v>10</v>
      </c>
      <c r="H1574" t="s">
        <v>11</v>
      </c>
      <c r="I1574" t="s">
        <v>12</v>
      </c>
      <c r="J1574">
        <f t="shared" si="48"/>
        <v>21</v>
      </c>
      <c r="K1574" t="str">
        <f t="shared" si="49"/>
        <v>Budget</v>
      </c>
    </row>
    <row r="1575" spans="2:11" x14ac:dyDescent="0.25">
      <c r="B1575" t="s">
        <v>229</v>
      </c>
      <c r="C1575">
        <v>2008</v>
      </c>
      <c r="D1575" s="1">
        <v>120000</v>
      </c>
      <c r="E1575">
        <v>41723</v>
      </c>
      <c r="F1575" t="s">
        <v>9</v>
      </c>
      <c r="G1575" t="s">
        <v>10</v>
      </c>
      <c r="H1575" t="s">
        <v>11</v>
      </c>
      <c r="I1575" t="s">
        <v>18</v>
      </c>
      <c r="J1575">
        <f t="shared" si="48"/>
        <v>18</v>
      </c>
      <c r="K1575" t="str">
        <f t="shared" si="49"/>
        <v>Budget</v>
      </c>
    </row>
    <row r="1576" spans="2:11" x14ac:dyDescent="0.25">
      <c r="B1576" t="s">
        <v>421</v>
      </c>
      <c r="C1576">
        <v>2010</v>
      </c>
      <c r="D1576" s="1">
        <v>250000</v>
      </c>
      <c r="E1576">
        <v>70000</v>
      </c>
      <c r="F1576" t="s">
        <v>9</v>
      </c>
      <c r="G1576" t="s">
        <v>10</v>
      </c>
      <c r="H1576" t="s">
        <v>11</v>
      </c>
      <c r="I1576" t="s">
        <v>12</v>
      </c>
      <c r="J1576">
        <f t="shared" si="48"/>
        <v>16</v>
      </c>
      <c r="K1576" t="str">
        <f t="shared" si="49"/>
        <v>Budget</v>
      </c>
    </row>
    <row r="1577" spans="2:11" x14ac:dyDescent="0.25">
      <c r="B1577" t="s">
        <v>454</v>
      </c>
      <c r="C1577">
        <v>2012</v>
      </c>
      <c r="D1577" s="1">
        <v>175000</v>
      </c>
      <c r="E1577">
        <v>20000</v>
      </c>
      <c r="F1577" t="s">
        <v>9</v>
      </c>
      <c r="G1577" t="s">
        <v>10</v>
      </c>
      <c r="H1577" t="s">
        <v>11</v>
      </c>
      <c r="I1577" t="s">
        <v>18</v>
      </c>
      <c r="J1577">
        <f t="shared" si="48"/>
        <v>14</v>
      </c>
      <c r="K1577" t="str">
        <f t="shared" si="49"/>
        <v>Budget</v>
      </c>
    </row>
    <row r="1578" spans="2:11" x14ac:dyDescent="0.25">
      <c r="B1578" t="s">
        <v>917</v>
      </c>
      <c r="C1578">
        <v>2018</v>
      </c>
      <c r="D1578" s="1">
        <v>590000</v>
      </c>
      <c r="E1578">
        <v>26350</v>
      </c>
      <c r="F1578" t="s">
        <v>15</v>
      </c>
      <c r="G1578" t="s">
        <v>27</v>
      </c>
      <c r="H1578" t="s">
        <v>11</v>
      </c>
      <c r="I1578" t="s">
        <v>12</v>
      </c>
      <c r="J1578">
        <f t="shared" si="48"/>
        <v>8</v>
      </c>
      <c r="K1578" t="str">
        <f t="shared" si="49"/>
        <v>Mid Range</v>
      </c>
    </row>
    <row r="1579" spans="2:11" x14ac:dyDescent="0.25">
      <c r="B1579" t="s">
        <v>918</v>
      </c>
      <c r="C1579">
        <v>2015</v>
      </c>
      <c r="D1579" s="1">
        <v>225000</v>
      </c>
      <c r="E1579">
        <v>68745</v>
      </c>
      <c r="F1579" t="s">
        <v>15</v>
      </c>
      <c r="G1579" t="s">
        <v>27</v>
      </c>
      <c r="H1579" t="s">
        <v>11</v>
      </c>
      <c r="I1579" t="s">
        <v>12</v>
      </c>
      <c r="J1579">
        <f t="shared" si="48"/>
        <v>11</v>
      </c>
      <c r="K1579" t="str">
        <f t="shared" si="49"/>
        <v>Budget</v>
      </c>
    </row>
    <row r="1580" spans="2:11" x14ac:dyDescent="0.25">
      <c r="B1580" t="s">
        <v>195</v>
      </c>
      <c r="C1580">
        <v>2016</v>
      </c>
      <c r="D1580" s="1">
        <v>900000</v>
      </c>
      <c r="E1580">
        <v>47000</v>
      </c>
      <c r="F1580" t="s">
        <v>15</v>
      </c>
      <c r="G1580" t="s">
        <v>10</v>
      </c>
      <c r="H1580" t="s">
        <v>11</v>
      </c>
      <c r="I1580" t="s">
        <v>12</v>
      </c>
      <c r="J1580">
        <f t="shared" si="48"/>
        <v>10</v>
      </c>
      <c r="K1580" t="str">
        <f t="shared" si="49"/>
        <v>Mid Range</v>
      </c>
    </row>
    <row r="1581" spans="2:11" x14ac:dyDescent="0.25">
      <c r="B1581" t="s">
        <v>919</v>
      </c>
      <c r="C1581">
        <v>2017</v>
      </c>
      <c r="D1581" s="1">
        <v>375000</v>
      </c>
      <c r="E1581">
        <v>27289</v>
      </c>
      <c r="F1581" t="s">
        <v>9</v>
      </c>
      <c r="G1581" t="s">
        <v>27</v>
      </c>
      <c r="H1581" t="s">
        <v>28</v>
      </c>
      <c r="I1581" t="s">
        <v>12</v>
      </c>
      <c r="J1581">
        <f t="shared" si="48"/>
        <v>9</v>
      </c>
      <c r="K1581" t="str">
        <f t="shared" si="49"/>
        <v>Budget</v>
      </c>
    </row>
    <row r="1582" spans="2:11" x14ac:dyDescent="0.25">
      <c r="B1582" t="s">
        <v>136</v>
      </c>
      <c r="C1582">
        <v>2016</v>
      </c>
      <c r="D1582" s="1">
        <v>320000</v>
      </c>
      <c r="E1582">
        <v>24662</v>
      </c>
      <c r="F1582" t="s">
        <v>9</v>
      </c>
      <c r="G1582" t="s">
        <v>27</v>
      </c>
      <c r="H1582" t="s">
        <v>11</v>
      </c>
      <c r="I1582" t="s">
        <v>12</v>
      </c>
      <c r="J1582">
        <f t="shared" si="48"/>
        <v>10</v>
      </c>
      <c r="K1582" t="str">
        <f t="shared" si="49"/>
        <v>Budget</v>
      </c>
    </row>
    <row r="1583" spans="2:11" x14ac:dyDescent="0.25">
      <c r="B1583" t="s">
        <v>114</v>
      </c>
      <c r="C1583">
        <v>2013</v>
      </c>
      <c r="D1583" s="1">
        <v>525000</v>
      </c>
      <c r="E1583">
        <v>37000</v>
      </c>
      <c r="F1583" t="s">
        <v>15</v>
      </c>
      <c r="G1583" t="s">
        <v>27</v>
      </c>
      <c r="H1583" t="s">
        <v>11</v>
      </c>
      <c r="I1583" t="s">
        <v>12</v>
      </c>
      <c r="J1583">
        <f t="shared" si="48"/>
        <v>13</v>
      </c>
      <c r="K1583" t="str">
        <f t="shared" si="49"/>
        <v>Mid Range</v>
      </c>
    </row>
    <row r="1584" spans="2:11" x14ac:dyDescent="0.25">
      <c r="B1584" t="s">
        <v>920</v>
      </c>
      <c r="C1584">
        <v>2014</v>
      </c>
      <c r="D1584" s="1">
        <v>650000</v>
      </c>
      <c r="E1584">
        <v>28245</v>
      </c>
      <c r="F1584" t="s">
        <v>15</v>
      </c>
      <c r="G1584" t="s">
        <v>27</v>
      </c>
      <c r="H1584" t="s">
        <v>11</v>
      </c>
      <c r="I1584" t="s">
        <v>12</v>
      </c>
      <c r="J1584">
        <f t="shared" si="48"/>
        <v>12</v>
      </c>
      <c r="K1584" t="str">
        <f t="shared" si="49"/>
        <v>Mid Range</v>
      </c>
    </row>
    <row r="1585" spans="2:11" x14ac:dyDescent="0.25">
      <c r="B1585" t="s">
        <v>921</v>
      </c>
      <c r="C1585">
        <v>2017</v>
      </c>
      <c r="D1585" s="1">
        <v>575000</v>
      </c>
      <c r="E1585">
        <v>27005</v>
      </c>
      <c r="F1585" t="s">
        <v>15</v>
      </c>
      <c r="G1585" t="s">
        <v>27</v>
      </c>
      <c r="H1585" t="s">
        <v>11</v>
      </c>
      <c r="I1585" t="s">
        <v>12</v>
      </c>
      <c r="J1585">
        <f t="shared" si="48"/>
        <v>9</v>
      </c>
      <c r="K1585" t="str">
        <f t="shared" si="49"/>
        <v>Mid Range</v>
      </c>
    </row>
    <row r="1586" spans="2:11" x14ac:dyDescent="0.25">
      <c r="B1586" t="s">
        <v>426</v>
      </c>
      <c r="C1586">
        <v>2014</v>
      </c>
      <c r="D1586" s="1">
        <v>355000</v>
      </c>
      <c r="E1586">
        <v>39227</v>
      </c>
      <c r="F1586" t="s">
        <v>9</v>
      </c>
      <c r="G1586" t="s">
        <v>27</v>
      </c>
      <c r="H1586" t="s">
        <v>11</v>
      </c>
      <c r="I1586" t="s">
        <v>12</v>
      </c>
      <c r="J1586">
        <f t="shared" si="48"/>
        <v>12</v>
      </c>
      <c r="K1586" t="str">
        <f t="shared" si="49"/>
        <v>Budget</v>
      </c>
    </row>
    <row r="1587" spans="2:11" x14ac:dyDescent="0.25">
      <c r="B1587" t="s">
        <v>922</v>
      </c>
      <c r="C1587">
        <v>2016</v>
      </c>
      <c r="D1587" s="1">
        <v>470000</v>
      </c>
      <c r="E1587">
        <v>31367</v>
      </c>
      <c r="F1587" t="s">
        <v>15</v>
      </c>
      <c r="G1587" t="s">
        <v>27</v>
      </c>
      <c r="H1587" t="s">
        <v>11</v>
      </c>
      <c r="I1587" t="s">
        <v>12</v>
      </c>
      <c r="J1587">
        <f t="shared" si="48"/>
        <v>10</v>
      </c>
      <c r="K1587" t="str">
        <f t="shared" si="49"/>
        <v>Budget</v>
      </c>
    </row>
    <row r="1588" spans="2:11" x14ac:dyDescent="0.25">
      <c r="B1588" t="s">
        <v>153</v>
      </c>
      <c r="C1588">
        <v>2008</v>
      </c>
      <c r="D1588" s="1">
        <v>221000</v>
      </c>
      <c r="E1588">
        <v>35008</v>
      </c>
      <c r="F1588" t="s">
        <v>9</v>
      </c>
      <c r="G1588" t="s">
        <v>27</v>
      </c>
      <c r="H1588" t="s">
        <v>11</v>
      </c>
      <c r="I1588" t="s">
        <v>12</v>
      </c>
      <c r="J1588">
        <f t="shared" si="48"/>
        <v>18</v>
      </c>
      <c r="K1588" t="str">
        <f t="shared" si="49"/>
        <v>Budget</v>
      </c>
    </row>
    <row r="1589" spans="2:11" x14ac:dyDescent="0.25">
      <c r="B1589" t="s">
        <v>56</v>
      </c>
      <c r="C1589">
        <v>2009</v>
      </c>
      <c r="D1589" s="1">
        <v>195000</v>
      </c>
      <c r="E1589">
        <v>27005</v>
      </c>
      <c r="F1589" t="s">
        <v>9</v>
      </c>
      <c r="G1589" t="s">
        <v>27</v>
      </c>
      <c r="H1589" t="s">
        <v>11</v>
      </c>
      <c r="I1589" t="s">
        <v>12</v>
      </c>
      <c r="J1589">
        <f t="shared" si="48"/>
        <v>17</v>
      </c>
      <c r="K1589" t="str">
        <f t="shared" si="49"/>
        <v>Budget</v>
      </c>
    </row>
    <row r="1590" spans="2:11" x14ac:dyDescent="0.25">
      <c r="B1590" t="s">
        <v>164</v>
      </c>
      <c r="C1590">
        <v>2004</v>
      </c>
      <c r="D1590" s="1">
        <v>90000</v>
      </c>
      <c r="E1590">
        <v>100005</v>
      </c>
      <c r="F1590" t="s">
        <v>9</v>
      </c>
      <c r="G1590" t="s">
        <v>27</v>
      </c>
      <c r="H1590" t="s">
        <v>11</v>
      </c>
      <c r="I1590" t="s">
        <v>18</v>
      </c>
      <c r="J1590">
        <f t="shared" si="48"/>
        <v>22</v>
      </c>
      <c r="K1590" t="str">
        <f t="shared" si="49"/>
        <v>Budget</v>
      </c>
    </row>
    <row r="1591" spans="2:11" x14ac:dyDescent="0.25">
      <c r="B1591" t="s">
        <v>923</v>
      </c>
      <c r="C1591">
        <v>2013</v>
      </c>
      <c r="D1591" s="1">
        <v>580000</v>
      </c>
      <c r="E1591">
        <v>45264</v>
      </c>
      <c r="F1591" t="s">
        <v>15</v>
      </c>
      <c r="G1591" t="s">
        <v>27</v>
      </c>
      <c r="H1591" t="s">
        <v>11</v>
      </c>
      <c r="I1591" t="s">
        <v>12</v>
      </c>
      <c r="J1591">
        <f t="shared" si="48"/>
        <v>13</v>
      </c>
      <c r="K1591" t="str">
        <f t="shared" si="49"/>
        <v>Mid Range</v>
      </c>
    </row>
    <row r="1592" spans="2:11" x14ac:dyDescent="0.25">
      <c r="B1592" t="s">
        <v>177</v>
      </c>
      <c r="C1592">
        <v>2014</v>
      </c>
      <c r="D1592" s="1">
        <v>325000</v>
      </c>
      <c r="E1592">
        <v>39093</v>
      </c>
      <c r="F1592" t="s">
        <v>9</v>
      </c>
      <c r="G1592" t="s">
        <v>27</v>
      </c>
      <c r="H1592" t="s">
        <v>11</v>
      </c>
      <c r="I1592" t="s">
        <v>12</v>
      </c>
      <c r="J1592">
        <f t="shared" si="48"/>
        <v>12</v>
      </c>
      <c r="K1592" t="str">
        <f t="shared" si="49"/>
        <v>Budget</v>
      </c>
    </row>
    <row r="1593" spans="2:11" x14ac:dyDescent="0.25">
      <c r="B1593" t="s">
        <v>924</v>
      </c>
      <c r="C1593">
        <v>2013</v>
      </c>
      <c r="D1593" s="1">
        <v>495000</v>
      </c>
      <c r="E1593">
        <v>45241</v>
      </c>
      <c r="F1593" t="s">
        <v>9</v>
      </c>
      <c r="G1593" t="s">
        <v>27</v>
      </c>
      <c r="H1593" t="s">
        <v>11</v>
      </c>
      <c r="I1593" t="s">
        <v>12</v>
      </c>
      <c r="J1593">
        <f t="shared" si="48"/>
        <v>13</v>
      </c>
      <c r="K1593" t="str">
        <f t="shared" si="49"/>
        <v>Budget</v>
      </c>
    </row>
    <row r="1594" spans="2:11" x14ac:dyDescent="0.25">
      <c r="B1594" t="s">
        <v>925</v>
      </c>
      <c r="C1594">
        <v>2014</v>
      </c>
      <c r="D1594" s="1">
        <v>290000</v>
      </c>
      <c r="E1594">
        <v>12000</v>
      </c>
      <c r="F1594" t="s">
        <v>9</v>
      </c>
      <c r="G1594" t="s">
        <v>27</v>
      </c>
      <c r="H1594" t="s">
        <v>11</v>
      </c>
      <c r="I1594" t="s">
        <v>12</v>
      </c>
      <c r="J1594">
        <f t="shared" si="48"/>
        <v>12</v>
      </c>
      <c r="K1594" t="str">
        <f t="shared" si="49"/>
        <v>Budget</v>
      </c>
    </row>
    <row r="1595" spans="2:11" x14ac:dyDescent="0.25">
      <c r="B1595" t="s">
        <v>926</v>
      </c>
      <c r="C1595">
        <v>2018</v>
      </c>
      <c r="D1595" s="1">
        <v>375000</v>
      </c>
      <c r="E1595">
        <v>2769</v>
      </c>
      <c r="F1595" t="s">
        <v>9</v>
      </c>
      <c r="G1595" t="s">
        <v>27</v>
      </c>
      <c r="H1595" t="s">
        <v>11</v>
      </c>
      <c r="I1595" t="s">
        <v>12</v>
      </c>
      <c r="J1595">
        <f t="shared" si="48"/>
        <v>8</v>
      </c>
      <c r="K1595" t="str">
        <f t="shared" si="49"/>
        <v>Budget</v>
      </c>
    </row>
    <row r="1596" spans="2:11" x14ac:dyDescent="0.25">
      <c r="B1596" t="s">
        <v>217</v>
      </c>
      <c r="C1596">
        <v>2011</v>
      </c>
      <c r="D1596" s="1">
        <v>211000</v>
      </c>
      <c r="E1596">
        <v>43128</v>
      </c>
      <c r="F1596" t="s">
        <v>15</v>
      </c>
      <c r="G1596" t="s">
        <v>27</v>
      </c>
      <c r="H1596" t="s">
        <v>11</v>
      </c>
      <c r="I1596" t="s">
        <v>12</v>
      </c>
      <c r="J1596">
        <f t="shared" si="48"/>
        <v>15</v>
      </c>
      <c r="K1596" t="str">
        <f t="shared" si="49"/>
        <v>Budget</v>
      </c>
    </row>
    <row r="1597" spans="2:11" x14ac:dyDescent="0.25">
      <c r="B1597" t="s">
        <v>927</v>
      </c>
      <c r="C1597">
        <v>2004</v>
      </c>
      <c r="D1597" s="1">
        <v>70000</v>
      </c>
      <c r="E1597">
        <v>50000</v>
      </c>
      <c r="F1597" t="s">
        <v>9</v>
      </c>
      <c r="G1597" t="s">
        <v>10</v>
      </c>
      <c r="H1597" t="s">
        <v>11</v>
      </c>
      <c r="I1597" t="s">
        <v>18</v>
      </c>
      <c r="J1597">
        <f t="shared" si="48"/>
        <v>22</v>
      </c>
      <c r="K1597" t="str">
        <f t="shared" si="49"/>
        <v>Budget</v>
      </c>
    </row>
    <row r="1598" spans="2:11" x14ac:dyDescent="0.25">
      <c r="B1598" t="s">
        <v>928</v>
      </c>
      <c r="C1598">
        <v>2010</v>
      </c>
      <c r="D1598" s="1">
        <v>225000</v>
      </c>
      <c r="E1598">
        <v>60000</v>
      </c>
      <c r="F1598" t="s">
        <v>9</v>
      </c>
      <c r="G1598" t="s">
        <v>10</v>
      </c>
      <c r="H1598" t="s">
        <v>11</v>
      </c>
      <c r="I1598" t="s">
        <v>18</v>
      </c>
      <c r="J1598">
        <f t="shared" si="48"/>
        <v>16</v>
      </c>
      <c r="K1598" t="str">
        <f t="shared" si="49"/>
        <v>Budget</v>
      </c>
    </row>
    <row r="1599" spans="2:11" x14ac:dyDescent="0.25">
      <c r="B1599" t="s">
        <v>55</v>
      </c>
      <c r="C1599">
        <v>2014</v>
      </c>
      <c r="D1599" s="1">
        <v>420000</v>
      </c>
      <c r="E1599">
        <v>70000</v>
      </c>
      <c r="F1599" t="s">
        <v>15</v>
      </c>
      <c r="G1599" t="s">
        <v>10</v>
      </c>
      <c r="H1599" t="s">
        <v>11</v>
      </c>
      <c r="I1599" t="s">
        <v>49</v>
      </c>
      <c r="J1599">
        <f t="shared" si="48"/>
        <v>12</v>
      </c>
      <c r="K1599" t="str">
        <f t="shared" si="49"/>
        <v>Budget</v>
      </c>
    </row>
    <row r="1600" spans="2:11" x14ac:dyDescent="0.25">
      <c r="B1600" t="s">
        <v>889</v>
      </c>
      <c r="C1600">
        <v>2015</v>
      </c>
      <c r="D1600" s="1">
        <v>280000</v>
      </c>
      <c r="E1600">
        <v>22255</v>
      </c>
      <c r="F1600" t="s">
        <v>9</v>
      </c>
      <c r="G1600" t="s">
        <v>10</v>
      </c>
      <c r="H1600" t="s">
        <v>11</v>
      </c>
      <c r="I1600" t="s">
        <v>12</v>
      </c>
      <c r="J1600">
        <f t="shared" si="48"/>
        <v>11</v>
      </c>
      <c r="K1600" t="str">
        <f t="shared" si="49"/>
        <v>Budget</v>
      </c>
    </row>
    <row r="1601" spans="2:11" x14ac:dyDescent="0.25">
      <c r="B1601" t="s">
        <v>429</v>
      </c>
      <c r="C1601">
        <v>2013</v>
      </c>
      <c r="D1601" s="1">
        <v>400000</v>
      </c>
      <c r="E1601">
        <v>59213</v>
      </c>
      <c r="F1601" t="s">
        <v>9</v>
      </c>
      <c r="G1601" t="s">
        <v>10</v>
      </c>
      <c r="H1601" t="s">
        <v>11</v>
      </c>
      <c r="I1601" t="s">
        <v>12</v>
      </c>
      <c r="J1601">
        <f t="shared" si="48"/>
        <v>13</v>
      </c>
      <c r="K1601" t="str">
        <f t="shared" si="49"/>
        <v>Budget</v>
      </c>
    </row>
    <row r="1602" spans="2:11" x14ac:dyDescent="0.25">
      <c r="B1602" t="s">
        <v>195</v>
      </c>
      <c r="C1602">
        <v>2015</v>
      </c>
      <c r="D1602" s="1">
        <v>850000</v>
      </c>
      <c r="E1602">
        <v>55000</v>
      </c>
      <c r="F1602" t="s">
        <v>15</v>
      </c>
      <c r="G1602" t="s">
        <v>10</v>
      </c>
      <c r="H1602" t="s">
        <v>11</v>
      </c>
      <c r="I1602" t="s">
        <v>12</v>
      </c>
      <c r="J1602">
        <f t="shared" si="48"/>
        <v>11</v>
      </c>
      <c r="K1602" t="str">
        <f t="shared" si="49"/>
        <v>Mid Range</v>
      </c>
    </row>
    <row r="1603" spans="2:11" x14ac:dyDescent="0.25">
      <c r="B1603" t="s">
        <v>560</v>
      </c>
      <c r="C1603">
        <v>2011</v>
      </c>
      <c r="D1603" s="1">
        <v>550000</v>
      </c>
      <c r="E1603">
        <v>80000</v>
      </c>
      <c r="F1603" t="s">
        <v>15</v>
      </c>
      <c r="G1603" t="s">
        <v>10</v>
      </c>
      <c r="H1603" t="s">
        <v>11</v>
      </c>
      <c r="I1603" t="s">
        <v>12</v>
      </c>
      <c r="J1603">
        <f t="shared" si="48"/>
        <v>15</v>
      </c>
      <c r="K1603" t="str">
        <f t="shared" si="49"/>
        <v>Mid Range</v>
      </c>
    </row>
    <row r="1604" spans="2:11" x14ac:dyDescent="0.25">
      <c r="B1604" t="s">
        <v>929</v>
      </c>
      <c r="C1604">
        <v>2018</v>
      </c>
      <c r="D1604" s="1">
        <v>1000000</v>
      </c>
      <c r="E1604">
        <v>40000</v>
      </c>
      <c r="F1604" t="s">
        <v>15</v>
      </c>
      <c r="G1604" t="s">
        <v>10</v>
      </c>
      <c r="H1604" t="s">
        <v>11</v>
      </c>
      <c r="I1604" t="s">
        <v>12</v>
      </c>
      <c r="J1604">
        <f t="shared" si="48"/>
        <v>8</v>
      </c>
      <c r="K1604" t="str">
        <f t="shared" si="49"/>
        <v>Mid Range</v>
      </c>
    </row>
    <row r="1605" spans="2:11" x14ac:dyDescent="0.25">
      <c r="B1605" t="s">
        <v>930</v>
      </c>
      <c r="C1605">
        <v>2014</v>
      </c>
      <c r="D1605" s="1">
        <v>350000</v>
      </c>
      <c r="E1605">
        <v>170000</v>
      </c>
      <c r="F1605" t="s">
        <v>15</v>
      </c>
      <c r="G1605" t="s">
        <v>10</v>
      </c>
      <c r="H1605" t="s">
        <v>11</v>
      </c>
      <c r="I1605" t="s">
        <v>12</v>
      </c>
      <c r="J1605">
        <f t="shared" si="48"/>
        <v>12</v>
      </c>
      <c r="K1605" t="str">
        <f t="shared" si="49"/>
        <v>Budget</v>
      </c>
    </row>
    <row r="1606" spans="2:11" x14ac:dyDescent="0.25">
      <c r="B1606" t="s">
        <v>331</v>
      </c>
      <c r="C1606">
        <v>2011</v>
      </c>
      <c r="D1606" s="1">
        <v>350000</v>
      </c>
      <c r="E1606">
        <v>170000</v>
      </c>
      <c r="F1606" t="s">
        <v>15</v>
      </c>
      <c r="G1606" t="s">
        <v>10</v>
      </c>
      <c r="H1606" t="s">
        <v>11</v>
      </c>
      <c r="I1606" t="s">
        <v>18</v>
      </c>
      <c r="J1606">
        <f t="shared" ref="J1606:J1669" si="50">2026 - C1606</f>
        <v>15</v>
      </c>
      <c r="K1606" t="str">
        <f t="shared" ref="K1606:K1669" si="51">IF(D1606&lt;500000,"Budget",IF(D1606&lt;=1000000,"Mid Range","Premium"))</f>
        <v>Budget</v>
      </c>
    </row>
    <row r="1607" spans="2:11" x14ac:dyDescent="0.25">
      <c r="B1607" t="s">
        <v>872</v>
      </c>
      <c r="C1607">
        <v>2007</v>
      </c>
      <c r="D1607" s="1">
        <v>170000</v>
      </c>
      <c r="E1607">
        <v>70000</v>
      </c>
      <c r="F1607" t="s">
        <v>9</v>
      </c>
      <c r="G1607" t="s">
        <v>10</v>
      </c>
      <c r="H1607" t="s">
        <v>11</v>
      </c>
      <c r="I1607" t="s">
        <v>49</v>
      </c>
      <c r="J1607">
        <f t="shared" si="50"/>
        <v>19</v>
      </c>
      <c r="K1607" t="str">
        <f t="shared" si="51"/>
        <v>Budget</v>
      </c>
    </row>
    <row r="1608" spans="2:11" x14ac:dyDescent="0.25">
      <c r="B1608" t="s">
        <v>931</v>
      </c>
      <c r="C1608">
        <v>2020</v>
      </c>
      <c r="D1608" s="1">
        <v>828999</v>
      </c>
      <c r="E1608">
        <v>1010</v>
      </c>
      <c r="F1608" t="s">
        <v>9</v>
      </c>
      <c r="G1608" t="s">
        <v>27</v>
      </c>
      <c r="H1608" t="s">
        <v>11</v>
      </c>
      <c r="I1608" t="s">
        <v>911</v>
      </c>
      <c r="J1608">
        <f t="shared" si="50"/>
        <v>6</v>
      </c>
      <c r="K1608" t="str">
        <f t="shared" si="51"/>
        <v>Mid Range</v>
      </c>
    </row>
    <row r="1609" spans="2:11" x14ac:dyDescent="0.25">
      <c r="B1609" t="s">
        <v>932</v>
      </c>
      <c r="C1609">
        <v>2020</v>
      </c>
      <c r="D1609" s="1">
        <v>1119000</v>
      </c>
      <c r="E1609">
        <v>1010</v>
      </c>
      <c r="F1609" t="s">
        <v>9</v>
      </c>
      <c r="G1609" t="s">
        <v>27</v>
      </c>
      <c r="H1609" t="s">
        <v>11</v>
      </c>
      <c r="I1609" t="s">
        <v>911</v>
      </c>
      <c r="J1609">
        <f t="shared" si="50"/>
        <v>6</v>
      </c>
      <c r="K1609" t="str">
        <f t="shared" si="51"/>
        <v>Premium</v>
      </c>
    </row>
    <row r="1610" spans="2:11" x14ac:dyDescent="0.25">
      <c r="B1610" t="s">
        <v>912</v>
      </c>
      <c r="C1610">
        <v>2020</v>
      </c>
      <c r="D1610" s="1">
        <v>746000</v>
      </c>
      <c r="E1610">
        <v>1111</v>
      </c>
      <c r="F1610" t="s">
        <v>9</v>
      </c>
      <c r="G1610" t="s">
        <v>27</v>
      </c>
      <c r="H1610" t="s">
        <v>11</v>
      </c>
      <c r="I1610" t="s">
        <v>911</v>
      </c>
      <c r="J1610">
        <f t="shared" si="50"/>
        <v>6</v>
      </c>
      <c r="K1610" t="str">
        <f t="shared" si="51"/>
        <v>Mid Range</v>
      </c>
    </row>
    <row r="1611" spans="2:11" x14ac:dyDescent="0.25">
      <c r="B1611" t="s">
        <v>933</v>
      </c>
      <c r="C1611">
        <v>2020</v>
      </c>
      <c r="D1611" s="1">
        <v>1030000</v>
      </c>
      <c r="E1611">
        <v>1010</v>
      </c>
      <c r="F1611" t="s">
        <v>9</v>
      </c>
      <c r="G1611" t="s">
        <v>27</v>
      </c>
      <c r="H1611" t="s">
        <v>11</v>
      </c>
      <c r="I1611" t="s">
        <v>911</v>
      </c>
      <c r="J1611">
        <f t="shared" si="50"/>
        <v>6</v>
      </c>
      <c r="K1611" t="str">
        <f t="shared" si="51"/>
        <v>Premium</v>
      </c>
    </row>
    <row r="1612" spans="2:11" x14ac:dyDescent="0.25">
      <c r="B1612" t="s">
        <v>934</v>
      </c>
      <c r="C1612">
        <v>2020</v>
      </c>
      <c r="D1612" s="1">
        <v>1334000</v>
      </c>
      <c r="E1612">
        <v>1010</v>
      </c>
      <c r="F1612" t="s">
        <v>15</v>
      </c>
      <c r="G1612" t="s">
        <v>27</v>
      </c>
      <c r="H1612" t="s">
        <v>11</v>
      </c>
      <c r="I1612" t="s">
        <v>911</v>
      </c>
      <c r="J1612">
        <f t="shared" si="50"/>
        <v>6</v>
      </c>
      <c r="K1612" t="str">
        <f t="shared" si="51"/>
        <v>Premium</v>
      </c>
    </row>
    <row r="1613" spans="2:11" x14ac:dyDescent="0.25">
      <c r="B1613" t="s">
        <v>935</v>
      </c>
      <c r="C1613">
        <v>2020</v>
      </c>
      <c r="D1613" s="1">
        <v>811999</v>
      </c>
      <c r="E1613">
        <v>1010</v>
      </c>
      <c r="F1613" t="s">
        <v>9</v>
      </c>
      <c r="G1613" t="s">
        <v>27</v>
      </c>
      <c r="H1613" t="s">
        <v>11</v>
      </c>
      <c r="I1613" t="s">
        <v>911</v>
      </c>
      <c r="J1613">
        <f t="shared" si="50"/>
        <v>6</v>
      </c>
      <c r="K1613" t="str">
        <f t="shared" si="51"/>
        <v>Mid Range</v>
      </c>
    </row>
    <row r="1614" spans="2:11" x14ac:dyDescent="0.25">
      <c r="B1614" t="s">
        <v>936</v>
      </c>
      <c r="C1614">
        <v>2020</v>
      </c>
      <c r="D1614" s="1">
        <v>1331000</v>
      </c>
      <c r="E1614">
        <v>1010</v>
      </c>
      <c r="F1614" t="s">
        <v>15</v>
      </c>
      <c r="G1614" t="s">
        <v>27</v>
      </c>
      <c r="H1614" t="s">
        <v>11</v>
      </c>
      <c r="I1614" t="s">
        <v>911</v>
      </c>
      <c r="J1614">
        <f t="shared" si="50"/>
        <v>6</v>
      </c>
      <c r="K1614" t="str">
        <f t="shared" si="51"/>
        <v>Premium</v>
      </c>
    </row>
    <row r="1615" spans="2:11" x14ac:dyDescent="0.25">
      <c r="B1615" t="s">
        <v>937</v>
      </c>
      <c r="C1615">
        <v>2020</v>
      </c>
      <c r="D1615" s="1">
        <v>852000</v>
      </c>
      <c r="E1615">
        <v>1010</v>
      </c>
      <c r="F1615" t="s">
        <v>9</v>
      </c>
      <c r="G1615" t="s">
        <v>27</v>
      </c>
      <c r="H1615" t="s">
        <v>11</v>
      </c>
      <c r="I1615" t="s">
        <v>911</v>
      </c>
      <c r="J1615">
        <f t="shared" si="50"/>
        <v>6</v>
      </c>
      <c r="K1615" t="str">
        <f t="shared" si="51"/>
        <v>Mid Range</v>
      </c>
    </row>
    <row r="1616" spans="2:11" x14ac:dyDescent="0.25">
      <c r="B1616" t="s">
        <v>653</v>
      </c>
      <c r="C1616">
        <v>2006</v>
      </c>
      <c r="D1616" s="1">
        <v>45000</v>
      </c>
      <c r="E1616">
        <v>120000</v>
      </c>
      <c r="F1616" t="s">
        <v>15</v>
      </c>
      <c r="G1616" t="s">
        <v>10</v>
      </c>
      <c r="H1616" t="s">
        <v>11</v>
      </c>
      <c r="I1616" t="s">
        <v>18</v>
      </c>
      <c r="J1616">
        <f t="shared" si="50"/>
        <v>20</v>
      </c>
      <c r="K1616" t="str">
        <f t="shared" si="51"/>
        <v>Budget</v>
      </c>
    </row>
    <row r="1617" spans="2:11" x14ac:dyDescent="0.25">
      <c r="B1617" t="s">
        <v>91</v>
      </c>
      <c r="C1617">
        <v>2013</v>
      </c>
      <c r="D1617" s="1">
        <v>430000</v>
      </c>
      <c r="E1617">
        <v>70000</v>
      </c>
      <c r="F1617" t="s">
        <v>15</v>
      </c>
      <c r="G1617" t="s">
        <v>10</v>
      </c>
      <c r="H1617" t="s">
        <v>11</v>
      </c>
      <c r="I1617" t="s">
        <v>49</v>
      </c>
      <c r="J1617">
        <f t="shared" si="50"/>
        <v>13</v>
      </c>
      <c r="K1617" t="str">
        <f t="shared" si="51"/>
        <v>Budget</v>
      </c>
    </row>
    <row r="1618" spans="2:11" x14ac:dyDescent="0.25">
      <c r="B1618" t="s">
        <v>938</v>
      </c>
      <c r="C1618">
        <v>2015</v>
      </c>
      <c r="D1618" s="1">
        <v>830000</v>
      </c>
      <c r="E1618">
        <v>70000</v>
      </c>
      <c r="F1618" t="s">
        <v>15</v>
      </c>
      <c r="G1618" t="s">
        <v>10</v>
      </c>
      <c r="H1618" t="s">
        <v>11</v>
      </c>
      <c r="I1618" t="s">
        <v>12</v>
      </c>
      <c r="J1618">
        <f t="shared" si="50"/>
        <v>11</v>
      </c>
      <c r="K1618" t="str">
        <f t="shared" si="51"/>
        <v>Mid Range</v>
      </c>
    </row>
    <row r="1619" spans="2:11" x14ac:dyDescent="0.25">
      <c r="B1619" t="s">
        <v>939</v>
      </c>
      <c r="C1619">
        <v>2009</v>
      </c>
      <c r="D1619" s="1">
        <v>409999</v>
      </c>
      <c r="E1619">
        <v>110000</v>
      </c>
      <c r="F1619" t="s">
        <v>15</v>
      </c>
      <c r="G1619" t="s">
        <v>10</v>
      </c>
      <c r="H1619" t="s">
        <v>11</v>
      </c>
      <c r="I1619" t="s">
        <v>18</v>
      </c>
      <c r="J1619">
        <f t="shared" si="50"/>
        <v>17</v>
      </c>
      <c r="K1619" t="str">
        <f t="shared" si="51"/>
        <v>Budget</v>
      </c>
    </row>
    <row r="1620" spans="2:11" x14ac:dyDescent="0.25">
      <c r="B1620" t="s">
        <v>354</v>
      </c>
      <c r="C1620">
        <v>2012</v>
      </c>
      <c r="D1620" s="1">
        <v>190000</v>
      </c>
      <c r="E1620">
        <v>80000</v>
      </c>
      <c r="F1620" t="s">
        <v>15</v>
      </c>
      <c r="G1620" t="s">
        <v>10</v>
      </c>
      <c r="H1620" t="s">
        <v>11</v>
      </c>
      <c r="I1620" t="s">
        <v>49</v>
      </c>
      <c r="J1620">
        <f t="shared" si="50"/>
        <v>14</v>
      </c>
      <c r="K1620" t="str">
        <f t="shared" si="51"/>
        <v>Budget</v>
      </c>
    </row>
    <row r="1621" spans="2:11" x14ac:dyDescent="0.25">
      <c r="B1621" t="s">
        <v>940</v>
      </c>
      <c r="C1621">
        <v>2007</v>
      </c>
      <c r="D1621" s="1">
        <v>200000</v>
      </c>
      <c r="E1621">
        <v>80000</v>
      </c>
      <c r="F1621" t="s">
        <v>9</v>
      </c>
      <c r="G1621" t="s">
        <v>10</v>
      </c>
      <c r="H1621" t="s">
        <v>11</v>
      </c>
      <c r="I1621" t="s">
        <v>18</v>
      </c>
      <c r="J1621">
        <f t="shared" si="50"/>
        <v>19</v>
      </c>
      <c r="K1621" t="str">
        <f t="shared" si="51"/>
        <v>Budget</v>
      </c>
    </row>
    <row r="1622" spans="2:11" x14ac:dyDescent="0.25">
      <c r="B1622" t="s">
        <v>906</v>
      </c>
      <c r="C1622">
        <v>2006</v>
      </c>
      <c r="D1622" s="1">
        <v>120000</v>
      </c>
      <c r="E1622">
        <v>110000</v>
      </c>
      <c r="F1622" t="s">
        <v>9</v>
      </c>
      <c r="G1622" t="s">
        <v>10</v>
      </c>
      <c r="H1622" t="s">
        <v>11</v>
      </c>
      <c r="I1622" t="s">
        <v>18</v>
      </c>
      <c r="J1622">
        <f t="shared" si="50"/>
        <v>20</v>
      </c>
      <c r="K1622" t="str">
        <f t="shared" si="51"/>
        <v>Budget</v>
      </c>
    </row>
    <row r="1623" spans="2:11" x14ac:dyDescent="0.25">
      <c r="B1623" t="s">
        <v>266</v>
      </c>
      <c r="C1623">
        <v>2019</v>
      </c>
      <c r="D1623" s="1">
        <v>850000</v>
      </c>
      <c r="E1623">
        <v>50000</v>
      </c>
      <c r="F1623" t="s">
        <v>15</v>
      </c>
      <c r="G1623" t="s">
        <v>10</v>
      </c>
      <c r="H1623" t="s">
        <v>11</v>
      </c>
      <c r="I1623" t="s">
        <v>12</v>
      </c>
      <c r="J1623">
        <f t="shared" si="50"/>
        <v>7</v>
      </c>
      <c r="K1623" t="str">
        <f t="shared" si="51"/>
        <v>Mid Range</v>
      </c>
    </row>
    <row r="1624" spans="2:11" x14ac:dyDescent="0.25">
      <c r="B1624" t="s">
        <v>941</v>
      </c>
      <c r="C1624">
        <v>2011</v>
      </c>
      <c r="D1624" s="1">
        <v>95000</v>
      </c>
      <c r="E1624">
        <v>115000</v>
      </c>
      <c r="F1624" t="s">
        <v>15</v>
      </c>
      <c r="G1624" t="s">
        <v>10</v>
      </c>
      <c r="H1624" t="s">
        <v>11</v>
      </c>
      <c r="I1624" t="s">
        <v>46</v>
      </c>
      <c r="J1624">
        <f t="shared" si="50"/>
        <v>15</v>
      </c>
      <c r="K1624" t="str">
        <f t="shared" si="51"/>
        <v>Budget</v>
      </c>
    </row>
    <row r="1625" spans="2:11" x14ac:dyDescent="0.25">
      <c r="B1625" t="s">
        <v>500</v>
      </c>
      <c r="C1625">
        <v>2013</v>
      </c>
      <c r="D1625" s="1">
        <v>213000</v>
      </c>
      <c r="E1625">
        <v>80000</v>
      </c>
      <c r="F1625" t="s">
        <v>9</v>
      </c>
      <c r="G1625" t="s">
        <v>10</v>
      </c>
      <c r="H1625" t="s">
        <v>11</v>
      </c>
      <c r="I1625" t="s">
        <v>12</v>
      </c>
      <c r="J1625">
        <f t="shared" si="50"/>
        <v>13</v>
      </c>
      <c r="K1625" t="str">
        <f t="shared" si="51"/>
        <v>Budget</v>
      </c>
    </row>
    <row r="1626" spans="2:11" x14ac:dyDescent="0.25">
      <c r="B1626" t="s">
        <v>942</v>
      </c>
      <c r="C1626">
        <v>2018</v>
      </c>
      <c r="D1626" s="1">
        <v>660000</v>
      </c>
      <c r="E1626">
        <v>25000</v>
      </c>
      <c r="F1626" t="s">
        <v>15</v>
      </c>
      <c r="G1626" t="s">
        <v>10</v>
      </c>
      <c r="H1626" t="s">
        <v>11</v>
      </c>
      <c r="I1626" t="s">
        <v>12</v>
      </c>
      <c r="J1626">
        <f t="shared" si="50"/>
        <v>8</v>
      </c>
      <c r="K1626" t="str">
        <f t="shared" si="51"/>
        <v>Mid Range</v>
      </c>
    </row>
    <row r="1627" spans="2:11" x14ac:dyDescent="0.25">
      <c r="B1627" t="s">
        <v>187</v>
      </c>
      <c r="C1627">
        <v>2017</v>
      </c>
      <c r="D1627" s="1">
        <v>415000</v>
      </c>
      <c r="E1627">
        <v>48965</v>
      </c>
      <c r="F1627" t="s">
        <v>9</v>
      </c>
      <c r="G1627" t="s">
        <v>27</v>
      </c>
      <c r="H1627" t="s">
        <v>11</v>
      </c>
      <c r="I1627" t="s">
        <v>12</v>
      </c>
      <c r="J1627">
        <f t="shared" si="50"/>
        <v>9</v>
      </c>
      <c r="K1627" t="str">
        <f t="shared" si="51"/>
        <v>Budget</v>
      </c>
    </row>
    <row r="1628" spans="2:11" x14ac:dyDescent="0.25">
      <c r="B1628" t="s">
        <v>943</v>
      </c>
      <c r="C1628">
        <v>2019</v>
      </c>
      <c r="D1628" s="1">
        <v>1100000</v>
      </c>
      <c r="E1628">
        <v>5166</v>
      </c>
      <c r="F1628" t="s">
        <v>9</v>
      </c>
      <c r="G1628" t="s">
        <v>27</v>
      </c>
      <c r="H1628" t="s">
        <v>11</v>
      </c>
      <c r="I1628" t="s">
        <v>911</v>
      </c>
      <c r="J1628">
        <f t="shared" si="50"/>
        <v>7</v>
      </c>
      <c r="K1628" t="str">
        <f t="shared" si="51"/>
        <v>Premium</v>
      </c>
    </row>
    <row r="1629" spans="2:11" x14ac:dyDescent="0.25">
      <c r="B1629" t="s">
        <v>495</v>
      </c>
      <c r="C1629">
        <v>2012</v>
      </c>
      <c r="D1629" s="1">
        <v>650000</v>
      </c>
      <c r="E1629">
        <v>76290</v>
      </c>
      <c r="F1629" t="s">
        <v>15</v>
      </c>
      <c r="G1629" t="s">
        <v>27</v>
      </c>
      <c r="H1629" t="s">
        <v>11</v>
      </c>
      <c r="I1629" t="s">
        <v>12</v>
      </c>
      <c r="J1629">
        <f t="shared" si="50"/>
        <v>14</v>
      </c>
      <c r="K1629" t="str">
        <f t="shared" si="51"/>
        <v>Mid Range</v>
      </c>
    </row>
    <row r="1630" spans="2:11" x14ac:dyDescent="0.25">
      <c r="B1630" t="s">
        <v>944</v>
      </c>
      <c r="C1630">
        <v>2016</v>
      </c>
      <c r="D1630" s="1">
        <v>969999</v>
      </c>
      <c r="E1630">
        <v>70000</v>
      </c>
      <c r="F1630" t="s">
        <v>15</v>
      </c>
      <c r="G1630" t="s">
        <v>10</v>
      </c>
      <c r="H1630" t="s">
        <v>28</v>
      </c>
      <c r="I1630" t="s">
        <v>18</v>
      </c>
      <c r="J1630">
        <f t="shared" si="50"/>
        <v>10</v>
      </c>
      <c r="K1630" t="str">
        <f t="shared" si="51"/>
        <v>Mid Range</v>
      </c>
    </row>
    <row r="1631" spans="2:11" x14ac:dyDescent="0.25">
      <c r="B1631" t="s">
        <v>945</v>
      </c>
      <c r="C1631">
        <v>2016</v>
      </c>
      <c r="D1631" s="1">
        <v>1250000</v>
      </c>
      <c r="E1631">
        <v>35000</v>
      </c>
      <c r="F1631" t="s">
        <v>15</v>
      </c>
      <c r="G1631" t="s">
        <v>10</v>
      </c>
      <c r="H1631" t="s">
        <v>11</v>
      </c>
      <c r="I1631" t="s">
        <v>12</v>
      </c>
      <c r="J1631">
        <f t="shared" si="50"/>
        <v>10</v>
      </c>
      <c r="K1631" t="str">
        <f t="shared" si="51"/>
        <v>Premium</v>
      </c>
    </row>
    <row r="1632" spans="2:11" x14ac:dyDescent="0.25">
      <c r="B1632" t="s">
        <v>946</v>
      </c>
      <c r="C1632">
        <v>2017</v>
      </c>
      <c r="D1632" s="1">
        <v>715000</v>
      </c>
      <c r="E1632">
        <v>25000</v>
      </c>
      <c r="F1632" t="s">
        <v>15</v>
      </c>
      <c r="G1632" t="s">
        <v>10</v>
      </c>
      <c r="H1632" t="s">
        <v>28</v>
      </c>
      <c r="I1632" t="s">
        <v>12</v>
      </c>
      <c r="J1632">
        <f t="shared" si="50"/>
        <v>9</v>
      </c>
      <c r="K1632" t="str">
        <f t="shared" si="51"/>
        <v>Mid Range</v>
      </c>
    </row>
    <row r="1633" spans="2:11" x14ac:dyDescent="0.25">
      <c r="B1633" t="s">
        <v>354</v>
      </c>
      <c r="C1633">
        <v>2016</v>
      </c>
      <c r="D1633" s="1">
        <v>565000</v>
      </c>
      <c r="E1633">
        <v>47000</v>
      </c>
      <c r="F1633" t="s">
        <v>15</v>
      </c>
      <c r="G1633" t="s">
        <v>27</v>
      </c>
      <c r="H1633" t="s">
        <v>11</v>
      </c>
      <c r="I1633" t="s">
        <v>12</v>
      </c>
      <c r="J1633">
        <f t="shared" si="50"/>
        <v>10</v>
      </c>
      <c r="K1633" t="str">
        <f t="shared" si="51"/>
        <v>Mid Range</v>
      </c>
    </row>
    <row r="1634" spans="2:11" x14ac:dyDescent="0.25">
      <c r="B1634" t="s">
        <v>901</v>
      </c>
      <c r="C1634">
        <v>2013</v>
      </c>
      <c r="D1634" s="1">
        <v>615000</v>
      </c>
      <c r="E1634">
        <v>45766</v>
      </c>
      <c r="F1634" t="s">
        <v>15</v>
      </c>
      <c r="G1634" t="s">
        <v>10</v>
      </c>
      <c r="H1634" t="s">
        <v>11</v>
      </c>
      <c r="I1634" t="s">
        <v>18</v>
      </c>
      <c r="J1634">
        <f t="shared" si="50"/>
        <v>13</v>
      </c>
      <c r="K1634" t="str">
        <f t="shared" si="51"/>
        <v>Mid Range</v>
      </c>
    </row>
    <row r="1635" spans="2:11" x14ac:dyDescent="0.25">
      <c r="B1635" t="s">
        <v>947</v>
      </c>
      <c r="C1635">
        <v>2007</v>
      </c>
      <c r="D1635" s="1">
        <v>199000</v>
      </c>
      <c r="E1635">
        <v>78771</v>
      </c>
      <c r="F1635" t="s">
        <v>15</v>
      </c>
      <c r="G1635" t="s">
        <v>27</v>
      </c>
      <c r="H1635" t="s">
        <v>11</v>
      </c>
      <c r="I1635" t="s">
        <v>18</v>
      </c>
      <c r="J1635">
        <f t="shared" si="50"/>
        <v>19</v>
      </c>
      <c r="K1635" t="str">
        <f t="shared" si="51"/>
        <v>Budget</v>
      </c>
    </row>
    <row r="1636" spans="2:11" x14ac:dyDescent="0.25">
      <c r="B1636" t="s">
        <v>122</v>
      </c>
      <c r="C1636">
        <v>2010</v>
      </c>
      <c r="D1636" s="1">
        <v>325000</v>
      </c>
      <c r="E1636">
        <v>79357</v>
      </c>
      <c r="F1636" t="s">
        <v>15</v>
      </c>
      <c r="G1636" t="s">
        <v>27</v>
      </c>
      <c r="H1636" t="s">
        <v>11</v>
      </c>
      <c r="I1636" t="s">
        <v>12</v>
      </c>
      <c r="J1636">
        <f t="shared" si="50"/>
        <v>16</v>
      </c>
      <c r="K1636" t="str">
        <f t="shared" si="51"/>
        <v>Budget</v>
      </c>
    </row>
    <row r="1637" spans="2:11" x14ac:dyDescent="0.25">
      <c r="B1637" t="s">
        <v>725</v>
      </c>
      <c r="C1637">
        <v>2012</v>
      </c>
      <c r="D1637" s="1">
        <v>409999</v>
      </c>
      <c r="E1637">
        <v>28000</v>
      </c>
      <c r="F1637" t="s">
        <v>15</v>
      </c>
      <c r="G1637" t="s">
        <v>10</v>
      </c>
      <c r="H1637" t="s">
        <v>11</v>
      </c>
      <c r="I1637" t="s">
        <v>12</v>
      </c>
      <c r="J1637">
        <f t="shared" si="50"/>
        <v>14</v>
      </c>
      <c r="K1637" t="str">
        <f t="shared" si="51"/>
        <v>Budget</v>
      </c>
    </row>
    <row r="1638" spans="2:11" x14ac:dyDescent="0.25">
      <c r="B1638" t="s">
        <v>948</v>
      </c>
      <c r="C1638">
        <v>2012</v>
      </c>
      <c r="D1638" s="1">
        <v>500000</v>
      </c>
      <c r="E1638">
        <v>72000</v>
      </c>
      <c r="F1638" t="s">
        <v>15</v>
      </c>
      <c r="G1638" t="s">
        <v>27</v>
      </c>
      <c r="H1638" t="s">
        <v>28</v>
      </c>
      <c r="I1638" t="s">
        <v>18</v>
      </c>
      <c r="J1638">
        <f t="shared" si="50"/>
        <v>14</v>
      </c>
      <c r="K1638" t="str">
        <f t="shared" si="51"/>
        <v>Mid Range</v>
      </c>
    </row>
    <row r="1639" spans="2:11" x14ac:dyDescent="0.25">
      <c r="B1639" t="s">
        <v>716</v>
      </c>
      <c r="C1639">
        <v>2011</v>
      </c>
      <c r="D1639" s="1">
        <v>225000</v>
      </c>
      <c r="E1639">
        <v>76736</v>
      </c>
      <c r="F1639" t="s">
        <v>15</v>
      </c>
      <c r="G1639" t="s">
        <v>27</v>
      </c>
      <c r="H1639" t="s">
        <v>11</v>
      </c>
      <c r="I1639" t="s">
        <v>18</v>
      </c>
      <c r="J1639">
        <f t="shared" si="50"/>
        <v>15</v>
      </c>
      <c r="K1639" t="str">
        <f t="shared" si="51"/>
        <v>Budget</v>
      </c>
    </row>
    <row r="1640" spans="2:11" x14ac:dyDescent="0.25">
      <c r="B1640" t="s">
        <v>19</v>
      </c>
      <c r="C1640">
        <v>2007</v>
      </c>
      <c r="D1640" s="1">
        <v>135000</v>
      </c>
      <c r="E1640">
        <v>70000</v>
      </c>
      <c r="F1640" t="s">
        <v>9</v>
      </c>
      <c r="G1640" t="s">
        <v>10</v>
      </c>
      <c r="H1640" t="s">
        <v>11</v>
      </c>
      <c r="I1640" t="s">
        <v>18</v>
      </c>
      <c r="J1640">
        <f t="shared" si="50"/>
        <v>19</v>
      </c>
      <c r="K1640" t="str">
        <f t="shared" si="51"/>
        <v>Budget</v>
      </c>
    </row>
    <row r="1641" spans="2:11" x14ac:dyDescent="0.25">
      <c r="B1641" t="s">
        <v>949</v>
      </c>
      <c r="C1641">
        <v>2012</v>
      </c>
      <c r="D1641" s="1">
        <v>750000</v>
      </c>
      <c r="E1641">
        <v>80000</v>
      </c>
      <c r="F1641" t="s">
        <v>15</v>
      </c>
      <c r="G1641" t="s">
        <v>10</v>
      </c>
      <c r="H1641" t="s">
        <v>28</v>
      </c>
      <c r="I1641" t="s">
        <v>18</v>
      </c>
      <c r="J1641">
        <f t="shared" si="50"/>
        <v>14</v>
      </c>
      <c r="K1641" t="str">
        <f t="shared" si="51"/>
        <v>Mid Range</v>
      </c>
    </row>
    <row r="1642" spans="2:11" x14ac:dyDescent="0.25">
      <c r="B1642" t="s">
        <v>950</v>
      </c>
      <c r="C1642">
        <v>2009</v>
      </c>
      <c r="D1642" s="1">
        <v>155000</v>
      </c>
      <c r="E1642">
        <v>60000</v>
      </c>
      <c r="F1642" t="s">
        <v>152</v>
      </c>
      <c r="G1642" t="s">
        <v>10</v>
      </c>
      <c r="H1642" t="s">
        <v>11</v>
      </c>
      <c r="I1642" t="s">
        <v>18</v>
      </c>
      <c r="J1642">
        <f t="shared" si="50"/>
        <v>17</v>
      </c>
      <c r="K1642" t="str">
        <f t="shared" si="51"/>
        <v>Budget</v>
      </c>
    </row>
    <row r="1643" spans="2:11" x14ac:dyDescent="0.25">
      <c r="B1643" t="s">
        <v>478</v>
      </c>
      <c r="C1643">
        <v>2012</v>
      </c>
      <c r="D1643" s="1">
        <v>335000</v>
      </c>
      <c r="E1643">
        <v>77000</v>
      </c>
      <c r="F1643" t="s">
        <v>15</v>
      </c>
      <c r="G1643" t="s">
        <v>27</v>
      </c>
      <c r="H1643" t="s">
        <v>11</v>
      </c>
      <c r="I1643" t="s">
        <v>49</v>
      </c>
      <c r="J1643">
        <f t="shared" si="50"/>
        <v>14</v>
      </c>
      <c r="K1643" t="str">
        <f t="shared" si="51"/>
        <v>Budget</v>
      </c>
    </row>
    <row r="1644" spans="2:11" x14ac:dyDescent="0.25">
      <c r="B1644" t="s">
        <v>951</v>
      </c>
      <c r="C1644">
        <v>2005</v>
      </c>
      <c r="D1644" s="1">
        <v>114999</v>
      </c>
      <c r="E1644">
        <v>92645</v>
      </c>
      <c r="F1644" t="s">
        <v>15</v>
      </c>
      <c r="G1644" t="s">
        <v>27</v>
      </c>
      <c r="H1644" t="s">
        <v>11</v>
      </c>
      <c r="I1644" t="s">
        <v>46</v>
      </c>
      <c r="J1644">
        <f t="shared" si="50"/>
        <v>21</v>
      </c>
      <c r="K1644" t="str">
        <f t="shared" si="51"/>
        <v>Budget</v>
      </c>
    </row>
    <row r="1645" spans="2:11" x14ac:dyDescent="0.25">
      <c r="B1645" t="s">
        <v>952</v>
      </c>
      <c r="C1645">
        <v>2007</v>
      </c>
      <c r="D1645" s="1">
        <v>699000</v>
      </c>
      <c r="E1645">
        <v>101849</v>
      </c>
      <c r="F1645" t="s">
        <v>15</v>
      </c>
      <c r="G1645" t="s">
        <v>27</v>
      </c>
      <c r="H1645" t="s">
        <v>11</v>
      </c>
      <c r="I1645" t="s">
        <v>18</v>
      </c>
      <c r="J1645">
        <f t="shared" si="50"/>
        <v>19</v>
      </c>
      <c r="K1645" t="str">
        <f t="shared" si="51"/>
        <v>Mid Range</v>
      </c>
    </row>
    <row r="1646" spans="2:11" x14ac:dyDescent="0.25">
      <c r="B1646" t="s">
        <v>662</v>
      </c>
      <c r="C1646">
        <v>2004</v>
      </c>
      <c r="D1646" s="1">
        <v>110000</v>
      </c>
      <c r="E1646">
        <v>120000</v>
      </c>
      <c r="F1646" t="s">
        <v>15</v>
      </c>
      <c r="G1646" t="s">
        <v>10</v>
      </c>
      <c r="H1646" t="s">
        <v>11</v>
      </c>
      <c r="I1646" t="s">
        <v>46</v>
      </c>
      <c r="J1646">
        <f t="shared" si="50"/>
        <v>22</v>
      </c>
      <c r="K1646" t="str">
        <f t="shared" si="51"/>
        <v>Budget</v>
      </c>
    </row>
    <row r="1647" spans="2:11" x14ac:dyDescent="0.25">
      <c r="B1647" t="s">
        <v>343</v>
      </c>
      <c r="C1647">
        <v>2012</v>
      </c>
      <c r="D1647" s="1">
        <v>300000</v>
      </c>
      <c r="E1647">
        <v>80000</v>
      </c>
      <c r="F1647" t="s">
        <v>9</v>
      </c>
      <c r="G1647" t="s">
        <v>10</v>
      </c>
      <c r="H1647" t="s">
        <v>11</v>
      </c>
      <c r="I1647" t="s">
        <v>12</v>
      </c>
      <c r="J1647">
        <f t="shared" si="50"/>
        <v>14</v>
      </c>
      <c r="K1647" t="str">
        <f t="shared" si="51"/>
        <v>Budget</v>
      </c>
    </row>
    <row r="1648" spans="2:11" x14ac:dyDescent="0.25">
      <c r="B1648" t="s">
        <v>524</v>
      </c>
      <c r="C1648">
        <v>2014</v>
      </c>
      <c r="D1648" s="1">
        <v>700000</v>
      </c>
      <c r="E1648">
        <v>70000</v>
      </c>
      <c r="F1648" t="s">
        <v>15</v>
      </c>
      <c r="G1648" t="s">
        <v>10</v>
      </c>
      <c r="H1648" t="s">
        <v>11</v>
      </c>
      <c r="I1648" t="s">
        <v>18</v>
      </c>
      <c r="J1648">
        <f t="shared" si="50"/>
        <v>12</v>
      </c>
      <c r="K1648" t="str">
        <f t="shared" si="51"/>
        <v>Mid Range</v>
      </c>
    </row>
    <row r="1649" spans="2:11" x14ac:dyDescent="0.25">
      <c r="B1649" t="s">
        <v>953</v>
      </c>
      <c r="C1649">
        <v>2017</v>
      </c>
      <c r="D1649" s="1">
        <v>700000</v>
      </c>
      <c r="E1649">
        <v>120000</v>
      </c>
      <c r="F1649" t="s">
        <v>15</v>
      </c>
      <c r="G1649" t="s">
        <v>10</v>
      </c>
      <c r="H1649" t="s">
        <v>11</v>
      </c>
      <c r="I1649" t="s">
        <v>12</v>
      </c>
      <c r="J1649">
        <f t="shared" si="50"/>
        <v>9</v>
      </c>
      <c r="K1649" t="str">
        <f t="shared" si="51"/>
        <v>Mid Range</v>
      </c>
    </row>
    <row r="1650" spans="2:11" x14ac:dyDescent="0.25">
      <c r="B1650" t="s">
        <v>249</v>
      </c>
      <c r="C1650">
        <v>2013</v>
      </c>
      <c r="D1650" s="1">
        <v>210000</v>
      </c>
      <c r="E1650">
        <v>42000</v>
      </c>
      <c r="F1650" t="s">
        <v>9</v>
      </c>
      <c r="G1650" t="s">
        <v>10</v>
      </c>
      <c r="H1650" t="s">
        <v>11</v>
      </c>
      <c r="I1650" t="s">
        <v>49</v>
      </c>
      <c r="J1650">
        <f t="shared" si="50"/>
        <v>13</v>
      </c>
      <c r="K1650" t="str">
        <f t="shared" si="51"/>
        <v>Budget</v>
      </c>
    </row>
    <row r="1651" spans="2:11" x14ac:dyDescent="0.25">
      <c r="B1651" t="s">
        <v>118</v>
      </c>
      <c r="C1651">
        <v>2012</v>
      </c>
      <c r="D1651" s="1">
        <v>600000</v>
      </c>
      <c r="E1651">
        <v>120000</v>
      </c>
      <c r="F1651" t="s">
        <v>15</v>
      </c>
      <c r="G1651" t="s">
        <v>10</v>
      </c>
      <c r="H1651" t="s">
        <v>11</v>
      </c>
      <c r="I1651" t="s">
        <v>49</v>
      </c>
      <c r="J1651">
        <f t="shared" si="50"/>
        <v>14</v>
      </c>
      <c r="K1651" t="str">
        <f t="shared" si="51"/>
        <v>Mid Range</v>
      </c>
    </row>
    <row r="1652" spans="2:11" x14ac:dyDescent="0.25">
      <c r="B1652" t="s">
        <v>954</v>
      </c>
      <c r="C1652">
        <v>2012</v>
      </c>
      <c r="D1652" s="1">
        <v>180000</v>
      </c>
      <c r="E1652">
        <v>155836</v>
      </c>
      <c r="F1652" t="s">
        <v>15</v>
      </c>
      <c r="G1652" t="s">
        <v>10</v>
      </c>
      <c r="H1652" t="s">
        <v>11</v>
      </c>
      <c r="I1652" t="s">
        <v>18</v>
      </c>
      <c r="J1652">
        <f t="shared" si="50"/>
        <v>14</v>
      </c>
      <c r="K1652" t="str">
        <f t="shared" si="51"/>
        <v>Budget</v>
      </c>
    </row>
    <row r="1653" spans="2:11" x14ac:dyDescent="0.25">
      <c r="B1653" t="s">
        <v>955</v>
      </c>
      <c r="C1653">
        <v>2011</v>
      </c>
      <c r="D1653" s="1">
        <v>220000</v>
      </c>
      <c r="E1653">
        <v>59000</v>
      </c>
      <c r="F1653" t="s">
        <v>9</v>
      </c>
      <c r="G1653" t="s">
        <v>10</v>
      </c>
      <c r="H1653" t="s">
        <v>11</v>
      </c>
      <c r="I1653" t="s">
        <v>18</v>
      </c>
      <c r="J1653">
        <f t="shared" si="50"/>
        <v>15</v>
      </c>
      <c r="K1653" t="str">
        <f t="shared" si="51"/>
        <v>Budget</v>
      </c>
    </row>
    <row r="1654" spans="2:11" x14ac:dyDescent="0.25">
      <c r="B1654" t="s">
        <v>258</v>
      </c>
      <c r="C1654">
        <v>2009</v>
      </c>
      <c r="D1654" s="1">
        <v>70000</v>
      </c>
      <c r="E1654">
        <v>60000</v>
      </c>
      <c r="F1654" t="s">
        <v>9</v>
      </c>
      <c r="G1654" t="s">
        <v>10</v>
      </c>
      <c r="H1654" t="s">
        <v>11</v>
      </c>
      <c r="I1654" t="s">
        <v>12</v>
      </c>
      <c r="J1654">
        <f t="shared" si="50"/>
        <v>17</v>
      </c>
      <c r="K1654" t="str">
        <f t="shared" si="51"/>
        <v>Budget</v>
      </c>
    </row>
    <row r="1655" spans="2:11" x14ac:dyDescent="0.25">
      <c r="B1655" t="s">
        <v>543</v>
      </c>
      <c r="C1655">
        <v>2018</v>
      </c>
      <c r="D1655" s="1">
        <v>950000</v>
      </c>
      <c r="E1655">
        <v>70000</v>
      </c>
      <c r="F1655" t="s">
        <v>15</v>
      </c>
      <c r="G1655" t="s">
        <v>10</v>
      </c>
      <c r="H1655" t="s">
        <v>11</v>
      </c>
      <c r="I1655" t="s">
        <v>18</v>
      </c>
      <c r="J1655">
        <f t="shared" si="50"/>
        <v>8</v>
      </c>
      <c r="K1655" t="str">
        <f t="shared" si="51"/>
        <v>Mid Range</v>
      </c>
    </row>
    <row r="1656" spans="2:11" x14ac:dyDescent="0.25">
      <c r="B1656" t="s">
        <v>956</v>
      </c>
      <c r="C1656">
        <v>2014</v>
      </c>
      <c r="D1656" s="1">
        <v>800000</v>
      </c>
      <c r="E1656">
        <v>20000</v>
      </c>
      <c r="F1656" t="s">
        <v>15</v>
      </c>
      <c r="G1656" t="s">
        <v>10</v>
      </c>
      <c r="H1656" t="s">
        <v>11</v>
      </c>
      <c r="I1656" t="s">
        <v>12</v>
      </c>
      <c r="J1656">
        <f t="shared" si="50"/>
        <v>12</v>
      </c>
      <c r="K1656" t="str">
        <f t="shared" si="51"/>
        <v>Mid Range</v>
      </c>
    </row>
    <row r="1657" spans="2:11" x14ac:dyDescent="0.25">
      <c r="B1657" t="s">
        <v>495</v>
      </c>
      <c r="C1657">
        <v>2012</v>
      </c>
      <c r="D1657" s="1">
        <v>700000</v>
      </c>
      <c r="E1657">
        <v>120000</v>
      </c>
      <c r="F1657" t="s">
        <v>15</v>
      </c>
      <c r="G1657" t="s">
        <v>10</v>
      </c>
      <c r="H1657" t="s">
        <v>11</v>
      </c>
      <c r="I1657" t="s">
        <v>49</v>
      </c>
      <c r="J1657">
        <f t="shared" si="50"/>
        <v>14</v>
      </c>
      <c r="K1657" t="str">
        <f t="shared" si="51"/>
        <v>Mid Range</v>
      </c>
    </row>
    <row r="1658" spans="2:11" x14ac:dyDescent="0.25">
      <c r="B1658" t="s">
        <v>957</v>
      </c>
      <c r="C1658">
        <v>2016</v>
      </c>
      <c r="D1658" s="1">
        <v>265000</v>
      </c>
      <c r="E1658">
        <v>40000</v>
      </c>
      <c r="F1658" t="s">
        <v>9</v>
      </c>
      <c r="G1658" t="s">
        <v>10</v>
      </c>
      <c r="H1658" t="s">
        <v>11</v>
      </c>
      <c r="I1658" t="s">
        <v>12</v>
      </c>
      <c r="J1658">
        <f t="shared" si="50"/>
        <v>10</v>
      </c>
      <c r="K1658" t="str">
        <f t="shared" si="51"/>
        <v>Budget</v>
      </c>
    </row>
    <row r="1659" spans="2:11" x14ac:dyDescent="0.25">
      <c r="B1659" t="s">
        <v>361</v>
      </c>
      <c r="C1659">
        <v>2011</v>
      </c>
      <c r="D1659" s="1">
        <v>175000</v>
      </c>
      <c r="E1659">
        <v>90000</v>
      </c>
      <c r="F1659" t="s">
        <v>15</v>
      </c>
      <c r="G1659" t="s">
        <v>10</v>
      </c>
      <c r="H1659" t="s">
        <v>11</v>
      </c>
      <c r="I1659" t="s">
        <v>49</v>
      </c>
      <c r="J1659">
        <f t="shared" si="50"/>
        <v>15</v>
      </c>
      <c r="K1659" t="str">
        <f t="shared" si="51"/>
        <v>Budget</v>
      </c>
    </row>
    <row r="1660" spans="2:11" x14ac:dyDescent="0.25">
      <c r="B1660" t="s">
        <v>732</v>
      </c>
      <c r="C1660">
        <v>2012</v>
      </c>
      <c r="D1660" s="1">
        <v>260000</v>
      </c>
      <c r="E1660">
        <v>89000</v>
      </c>
      <c r="F1660" t="s">
        <v>15</v>
      </c>
      <c r="G1660" t="s">
        <v>10</v>
      </c>
      <c r="H1660" t="s">
        <v>11</v>
      </c>
      <c r="I1660" t="s">
        <v>18</v>
      </c>
      <c r="J1660">
        <f t="shared" si="50"/>
        <v>14</v>
      </c>
      <c r="K1660" t="str">
        <f t="shared" si="51"/>
        <v>Budget</v>
      </c>
    </row>
    <row r="1661" spans="2:11" x14ac:dyDescent="0.25">
      <c r="B1661" t="s">
        <v>765</v>
      </c>
      <c r="C1661">
        <v>2013</v>
      </c>
      <c r="D1661" s="1">
        <v>950000</v>
      </c>
      <c r="E1661">
        <v>80000</v>
      </c>
      <c r="F1661" t="s">
        <v>15</v>
      </c>
      <c r="G1661" t="s">
        <v>10</v>
      </c>
      <c r="H1661" t="s">
        <v>11</v>
      </c>
      <c r="I1661" t="s">
        <v>49</v>
      </c>
      <c r="J1661">
        <f t="shared" si="50"/>
        <v>13</v>
      </c>
      <c r="K1661" t="str">
        <f t="shared" si="51"/>
        <v>Mid Range</v>
      </c>
    </row>
    <row r="1662" spans="2:11" x14ac:dyDescent="0.25">
      <c r="B1662" t="s">
        <v>122</v>
      </c>
      <c r="C1662">
        <v>2009</v>
      </c>
      <c r="D1662" s="1">
        <v>250000</v>
      </c>
      <c r="E1662">
        <v>200000</v>
      </c>
      <c r="F1662" t="s">
        <v>15</v>
      </c>
      <c r="G1662" t="s">
        <v>10</v>
      </c>
      <c r="H1662" t="s">
        <v>11</v>
      </c>
      <c r="I1662" t="s">
        <v>46</v>
      </c>
      <c r="J1662">
        <f t="shared" si="50"/>
        <v>17</v>
      </c>
      <c r="K1662" t="str">
        <f t="shared" si="51"/>
        <v>Budget</v>
      </c>
    </row>
    <row r="1663" spans="2:11" x14ac:dyDescent="0.25">
      <c r="B1663" t="s">
        <v>958</v>
      </c>
      <c r="C1663">
        <v>2015</v>
      </c>
      <c r="D1663" s="1">
        <v>630000</v>
      </c>
      <c r="E1663">
        <v>50000</v>
      </c>
      <c r="F1663" t="s">
        <v>15</v>
      </c>
      <c r="G1663" t="s">
        <v>10</v>
      </c>
      <c r="H1663" t="s">
        <v>11</v>
      </c>
      <c r="I1663" t="s">
        <v>12</v>
      </c>
      <c r="J1663">
        <f t="shared" si="50"/>
        <v>11</v>
      </c>
      <c r="K1663" t="str">
        <f t="shared" si="51"/>
        <v>Mid Range</v>
      </c>
    </row>
    <row r="1664" spans="2:11" x14ac:dyDescent="0.25">
      <c r="B1664" t="s">
        <v>168</v>
      </c>
      <c r="C1664">
        <v>2012</v>
      </c>
      <c r="D1664" s="1">
        <v>35000</v>
      </c>
      <c r="E1664">
        <v>35000</v>
      </c>
      <c r="F1664" t="s">
        <v>9</v>
      </c>
      <c r="G1664" t="s">
        <v>10</v>
      </c>
      <c r="H1664" t="s">
        <v>11</v>
      </c>
      <c r="I1664" t="s">
        <v>49</v>
      </c>
      <c r="J1664">
        <f t="shared" si="50"/>
        <v>14</v>
      </c>
      <c r="K1664" t="str">
        <f t="shared" si="51"/>
        <v>Budget</v>
      </c>
    </row>
    <row r="1665" spans="2:11" x14ac:dyDescent="0.25">
      <c r="B1665" t="s">
        <v>959</v>
      </c>
      <c r="C1665">
        <v>2014</v>
      </c>
      <c r="D1665" s="1">
        <v>330000</v>
      </c>
      <c r="E1665">
        <v>200000</v>
      </c>
      <c r="F1665" t="s">
        <v>15</v>
      </c>
      <c r="G1665" t="s">
        <v>10</v>
      </c>
      <c r="H1665" t="s">
        <v>11</v>
      </c>
      <c r="I1665" t="s">
        <v>49</v>
      </c>
      <c r="J1665">
        <f t="shared" si="50"/>
        <v>12</v>
      </c>
      <c r="K1665" t="str">
        <f t="shared" si="51"/>
        <v>Budget</v>
      </c>
    </row>
    <row r="1666" spans="2:11" x14ac:dyDescent="0.25">
      <c r="B1666" t="s">
        <v>58</v>
      </c>
      <c r="C1666">
        <v>2009</v>
      </c>
      <c r="D1666" s="1">
        <v>150000</v>
      </c>
      <c r="E1666">
        <v>120000</v>
      </c>
      <c r="F1666" t="s">
        <v>9</v>
      </c>
      <c r="G1666" t="s">
        <v>10</v>
      </c>
      <c r="H1666" t="s">
        <v>11</v>
      </c>
      <c r="I1666" t="s">
        <v>12</v>
      </c>
      <c r="J1666">
        <f t="shared" si="50"/>
        <v>17</v>
      </c>
      <c r="K1666" t="str">
        <f t="shared" si="51"/>
        <v>Budget</v>
      </c>
    </row>
    <row r="1667" spans="2:11" x14ac:dyDescent="0.25">
      <c r="B1667" t="s">
        <v>486</v>
      </c>
      <c r="C1667">
        <v>2008</v>
      </c>
      <c r="D1667" s="1">
        <v>105000</v>
      </c>
      <c r="E1667">
        <v>90000</v>
      </c>
      <c r="F1667" t="s">
        <v>15</v>
      </c>
      <c r="G1667" t="s">
        <v>10</v>
      </c>
      <c r="H1667" t="s">
        <v>11</v>
      </c>
      <c r="I1667" t="s">
        <v>12</v>
      </c>
      <c r="J1667">
        <f t="shared" si="50"/>
        <v>18</v>
      </c>
      <c r="K1667" t="str">
        <f t="shared" si="51"/>
        <v>Budget</v>
      </c>
    </row>
    <row r="1668" spans="2:11" x14ac:dyDescent="0.25">
      <c r="B1668" t="s">
        <v>960</v>
      </c>
      <c r="C1668">
        <v>2013</v>
      </c>
      <c r="D1668" s="1">
        <v>185000</v>
      </c>
      <c r="E1668">
        <v>65000</v>
      </c>
      <c r="F1668" t="s">
        <v>15</v>
      </c>
      <c r="G1668" t="s">
        <v>10</v>
      </c>
      <c r="H1668" t="s">
        <v>11</v>
      </c>
      <c r="I1668" t="s">
        <v>12</v>
      </c>
      <c r="J1668">
        <f t="shared" si="50"/>
        <v>13</v>
      </c>
      <c r="K1668" t="str">
        <f t="shared" si="51"/>
        <v>Budget</v>
      </c>
    </row>
    <row r="1669" spans="2:11" x14ac:dyDescent="0.25">
      <c r="B1669" t="s">
        <v>961</v>
      </c>
      <c r="C1669">
        <v>2014</v>
      </c>
      <c r="D1669" s="1">
        <v>260000</v>
      </c>
      <c r="E1669">
        <v>50000</v>
      </c>
      <c r="F1669" t="s">
        <v>15</v>
      </c>
      <c r="G1669" t="s">
        <v>10</v>
      </c>
      <c r="H1669" t="s">
        <v>11</v>
      </c>
      <c r="I1669" t="s">
        <v>12</v>
      </c>
      <c r="J1669">
        <f t="shared" si="50"/>
        <v>12</v>
      </c>
      <c r="K1669" t="str">
        <f t="shared" si="51"/>
        <v>Budget</v>
      </c>
    </row>
    <row r="1670" spans="2:11" x14ac:dyDescent="0.25">
      <c r="B1670" t="s">
        <v>181</v>
      </c>
      <c r="C1670">
        <v>2012</v>
      </c>
      <c r="D1670" s="1">
        <v>450000</v>
      </c>
      <c r="E1670">
        <v>33000</v>
      </c>
      <c r="F1670" t="s">
        <v>15</v>
      </c>
      <c r="G1670" t="s">
        <v>10</v>
      </c>
      <c r="H1670" t="s">
        <v>11</v>
      </c>
      <c r="I1670" t="s">
        <v>12</v>
      </c>
      <c r="J1670">
        <f t="shared" ref="J1670:J1733" si="52">2026 - C1670</f>
        <v>14</v>
      </c>
      <c r="K1670" t="str">
        <f t="shared" ref="K1670:K1733" si="53">IF(D1670&lt;500000,"Budget",IF(D1670&lt;=1000000,"Mid Range","Premium"))</f>
        <v>Budget</v>
      </c>
    </row>
    <row r="1671" spans="2:11" x14ac:dyDescent="0.25">
      <c r="B1671" t="s">
        <v>688</v>
      </c>
      <c r="C1671">
        <v>2016</v>
      </c>
      <c r="D1671" s="1">
        <v>500000</v>
      </c>
      <c r="E1671">
        <v>38000</v>
      </c>
      <c r="F1671" t="s">
        <v>9</v>
      </c>
      <c r="G1671" t="s">
        <v>10</v>
      </c>
      <c r="H1671" t="s">
        <v>11</v>
      </c>
      <c r="I1671" t="s">
        <v>12</v>
      </c>
      <c r="J1671">
        <f t="shared" si="52"/>
        <v>10</v>
      </c>
      <c r="K1671" t="str">
        <f t="shared" si="53"/>
        <v>Mid Range</v>
      </c>
    </row>
    <row r="1672" spans="2:11" x14ac:dyDescent="0.25">
      <c r="B1672" t="s">
        <v>453</v>
      </c>
      <c r="C1672">
        <v>2012</v>
      </c>
      <c r="D1672" s="1">
        <v>260000</v>
      </c>
      <c r="E1672">
        <v>40000</v>
      </c>
      <c r="F1672" t="s">
        <v>9</v>
      </c>
      <c r="G1672" t="s">
        <v>10</v>
      </c>
      <c r="H1672" t="s">
        <v>11</v>
      </c>
      <c r="I1672" t="s">
        <v>12</v>
      </c>
      <c r="J1672">
        <f t="shared" si="52"/>
        <v>14</v>
      </c>
      <c r="K1672" t="str">
        <f t="shared" si="53"/>
        <v>Budget</v>
      </c>
    </row>
    <row r="1673" spans="2:11" x14ac:dyDescent="0.25">
      <c r="B1673" t="s">
        <v>361</v>
      </c>
      <c r="C1673">
        <v>2012</v>
      </c>
      <c r="D1673" s="1">
        <v>265000</v>
      </c>
      <c r="E1673">
        <v>55000</v>
      </c>
      <c r="F1673" t="s">
        <v>15</v>
      </c>
      <c r="G1673" t="s">
        <v>10</v>
      </c>
      <c r="H1673" t="s">
        <v>11</v>
      </c>
      <c r="I1673" t="s">
        <v>18</v>
      </c>
      <c r="J1673">
        <f t="shared" si="52"/>
        <v>14</v>
      </c>
      <c r="K1673" t="str">
        <f t="shared" si="53"/>
        <v>Budget</v>
      </c>
    </row>
    <row r="1674" spans="2:11" x14ac:dyDescent="0.25">
      <c r="B1674" t="s">
        <v>599</v>
      </c>
      <c r="C1674">
        <v>2017</v>
      </c>
      <c r="D1674" s="1">
        <v>800000</v>
      </c>
      <c r="E1674">
        <v>26000</v>
      </c>
      <c r="F1674" t="s">
        <v>15</v>
      </c>
      <c r="G1674" t="s">
        <v>10</v>
      </c>
      <c r="H1674" t="s">
        <v>11</v>
      </c>
      <c r="I1674" t="s">
        <v>18</v>
      </c>
      <c r="J1674">
        <f t="shared" si="52"/>
        <v>9</v>
      </c>
      <c r="K1674" t="str">
        <f t="shared" si="53"/>
        <v>Mid Range</v>
      </c>
    </row>
    <row r="1675" spans="2:11" x14ac:dyDescent="0.25">
      <c r="B1675" t="s">
        <v>696</v>
      </c>
      <c r="C1675">
        <v>2016</v>
      </c>
      <c r="D1675" s="1">
        <v>869999</v>
      </c>
      <c r="E1675">
        <v>80000</v>
      </c>
      <c r="F1675" t="s">
        <v>15</v>
      </c>
      <c r="G1675" t="s">
        <v>10</v>
      </c>
      <c r="H1675" t="s">
        <v>11</v>
      </c>
      <c r="I1675" t="s">
        <v>12</v>
      </c>
      <c r="J1675">
        <f t="shared" si="52"/>
        <v>10</v>
      </c>
      <c r="K1675" t="str">
        <f t="shared" si="53"/>
        <v>Mid Range</v>
      </c>
    </row>
    <row r="1676" spans="2:11" x14ac:dyDescent="0.25">
      <c r="B1676" t="s">
        <v>225</v>
      </c>
      <c r="C1676">
        <v>2018</v>
      </c>
      <c r="D1676" s="1">
        <v>690000</v>
      </c>
      <c r="E1676">
        <v>40000</v>
      </c>
      <c r="F1676" t="s">
        <v>9</v>
      </c>
      <c r="G1676" t="s">
        <v>10</v>
      </c>
      <c r="H1676" t="s">
        <v>11</v>
      </c>
      <c r="I1676" t="s">
        <v>12</v>
      </c>
      <c r="J1676">
        <f t="shared" si="52"/>
        <v>8</v>
      </c>
      <c r="K1676" t="str">
        <f t="shared" si="53"/>
        <v>Mid Range</v>
      </c>
    </row>
    <row r="1677" spans="2:11" x14ac:dyDescent="0.25">
      <c r="B1677" t="s">
        <v>962</v>
      </c>
      <c r="C1677">
        <v>2011</v>
      </c>
      <c r="D1677" s="1">
        <v>825000</v>
      </c>
      <c r="E1677">
        <v>120000</v>
      </c>
      <c r="F1677" t="s">
        <v>15</v>
      </c>
      <c r="G1677" t="s">
        <v>10</v>
      </c>
      <c r="H1677" t="s">
        <v>11</v>
      </c>
      <c r="I1677" t="s">
        <v>12</v>
      </c>
      <c r="J1677">
        <f t="shared" si="52"/>
        <v>15</v>
      </c>
      <c r="K1677" t="str">
        <f t="shared" si="53"/>
        <v>Mid Range</v>
      </c>
    </row>
    <row r="1678" spans="2:11" x14ac:dyDescent="0.25">
      <c r="B1678" t="s">
        <v>19</v>
      </c>
      <c r="C1678">
        <v>2006</v>
      </c>
      <c r="D1678" s="1">
        <v>160000</v>
      </c>
      <c r="E1678">
        <v>63230</v>
      </c>
      <c r="F1678" t="s">
        <v>9</v>
      </c>
      <c r="G1678" t="s">
        <v>10</v>
      </c>
      <c r="H1678" t="s">
        <v>11</v>
      </c>
      <c r="I1678" t="s">
        <v>18</v>
      </c>
      <c r="J1678">
        <f t="shared" si="52"/>
        <v>20</v>
      </c>
      <c r="K1678" t="str">
        <f t="shared" si="53"/>
        <v>Budget</v>
      </c>
    </row>
    <row r="1679" spans="2:11" x14ac:dyDescent="0.25">
      <c r="B1679" t="s">
        <v>963</v>
      </c>
      <c r="C1679">
        <v>2006</v>
      </c>
      <c r="D1679" s="1">
        <v>300000</v>
      </c>
      <c r="E1679">
        <v>120000</v>
      </c>
      <c r="F1679" t="s">
        <v>15</v>
      </c>
      <c r="G1679" t="s">
        <v>10</v>
      </c>
      <c r="H1679" t="s">
        <v>11</v>
      </c>
      <c r="I1679" t="s">
        <v>18</v>
      </c>
      <c r="J1679">
        <f t="shared" si="52"/>
        <v>20</v>
      </c>
      <c r="K1679" t="str">
        <f t="shared" si="53"/>
        <v>Budget</v>
      </c>
    </row>
    <row r="1680" spans="2:11" x14ac:dyDescent="0.25">
      <c r="B1680" t="s">
        <v>257</v>
      </c>
      <c r="C1680">
        <v>2005</v>
      </c>
      <c r="D1680" s="1">
        <v>100000</v>
      </c>
      <c r="E1680">
        <v>100000</v>
      </c>
      <c r="F1680" t="s">
        <v>9</v>
      </c>
      <c r="G1680" t="s">
        <v>10</v>
      </c>
      <c r="H1680" t="s">
        <v>11</v>
      </c>
      <c r="I1680" t="s">
        <v>49</v>
      </c>
      <c r="J1680">
        <f t="shared" si="52"/>
        <v>21</v>
      </c>
      <c r="K1680" t="str">
        <f t="shared" si="53"/>
        <v>Budget</v>
      </c>
    </row>
    <row r="1681" spans="2:11" x14ac:dyDescent="0.25">
      <c r="B1681" t="s">
        <v>144</v>
      </c>
      <c r="C1681">
        <v>2015</v>
      </c>
      <c r="D1681" s="1">
        <v>530000</v>
      </c>
      <c r="E1681">
        <v>77000</v>
      </c>
      <c r="F1681" t="s">
        <v>15</v>
      </c>
      <c r="G1681" t="s">
        <v>10</v>
      </c>
      <c r="H1681" t="s">
        <v>11</v>
      </c>
      <c r="I1681" t="s">
        <v>18</v>
      </c>
      <c r="J1681">
        <f t="shared" si="52"/>
        <v>11</v>
      </c>
      <c r="K1681" t="str">
        <f t="shared" si="53"/>
        <v>Mid Range</v>
      </c>
    </row>
    <row r="1682" spans="2:11" x14ac:dyDescent="0.25">
      <c r="B1682" t="s">
        <v>964</v>
      </c>
      <c r="C1682">
        <v>2016</v>
      </c>
      <c r="D1682" s="1">
        <v>360000</v>
      </c>
      <c r="E1682">
        <v>30000</v>
      </c>
      <c r="F1682" t="s">
        <v>9</v>
      </c>
      <c r="G1682" t="s">
        <v>10</v>
      </c>
      <c r="H1682" t="s">
        <v>11</v>
      </c>
      <c r="I1682" t="s">
        <v>12</v>
      </c>
      <c r="J1682">
        <f t="shared" si="52"/>
        <v>10</v>
      </c>
      <c r="K1682" t="str">
        <f t="shared" si="53"/>
        <v>Budget</v>
      </c>
    </row>
    <row r="1683" spans="2:11" x14ac:dyDescent="0.25">
      <c r="B1683" t="s">
        <v>692</v>
      </c>
      <c r="C1683">
        <v>2015</v>
      </c>
      <c r="D1683" s="1">
        <v>220000</v>
      </c>
      <c r="E1683">
        <v>40000</v>
      </c>
      <c r="F1683" t="s">
        <v>9</v>
      </c>
      <c r="G1683" t="s">
        <v>10</v>
      </c>
      <c r="H1683" t="s">
        <v>11</v>
      </c>
      <c r="I1683" t="s">
        <v>12</v>
      </c>
      <c r="J1683">
        <f t="shared" si="52"/>
        <v>11</v>
      </c>
      <c r="K1683" t="str">
        <f t="shared" si="53"/>
        <v>Budget</v>
      </c>
    </row>
    <row r="1684" spans="2:11" x14ac:dyDescent="0.25">
      <c r="B1684" t="s">
        <v>249</v>
      </c>
      <c r="C1684">
        <v>2017</v>
      </c>
      <c r="D1684" s="1">
        <v>178000</v>
      </c>
      <c r="E1684">
        <v>35000</v>
      </c>
      <c r="F1684" t="s">
        <v>9</v>
      </c>
      <c r="G1684" t="s">
        <v>10</v>
      </c>
      <c r="H1684" t="s">
        <v>11</v>
      </c>
      <c r="I1684" t="s">
        <v>12</v>
      </c>
      <c r="J1684">
        <f t="shared" si="52"/>
        <v>9</v>
      </c>
      <c r="K1684" t="str">
        <f t="shared" si="53"/>
        <v>Budget</v>
      </c>
    </row>
    <row r="1685" spans="2:11" x14ac:dyDescent="0.25">
      <c r="B1685" t="s">
        <v>965</v>
      </c>
      <c r="C1685">
        <v>2018</v>
      </c>
      <c r="D1685" s="1">
        <v>515000</v>
      </c>
      <c r="E1685">
        <v>5000</v>
      </c>
      <c r="F1685" t="s">
        <v>15</v>
      </c>
      <c r="G1685" t="s">
        <v>10</v>
      </c>
      <c r="H1685" t="s">
        <v>11</v>
      </c>
      <c r="I1685" t="s">
        <v>12</v>
      </c>
      <c r="J1685">
        <f t="shared" si="52"/>
        <v>8</v>
      </c>
      <c r="K1685" t="str">
        <f t="shared" si="53"/>
        <v>Mid Range</v>
      </c>
    </row>
    <row r="1686" spans="2:11" x14ac:dyDescent="0.25">
      <c r="B1686" t="s">
        <v>966</v>
      </c>
      <c r="C1686">
        <v>2014</v>
      </c>
      <c r="D1686" s="1">
        <v>300000</v>
      </c>
      <c r="E1686">
        <v>35000</v>
      </c>
      <c r="F1686" t="s">
        <v>9</v>
      </c>
      <c r="G1686" t="s">
        <v>10</v>
      </c>
      <c r="H1686" t="s">
        <v>11</v>
      </c>
      <c r="I1686" t="s">
        <v>12</v>
      </c>
      <c r="J1686">
        <f t="shared" si="52"/>
        <v>12</v>
      </c>
      <c r="K1686" t="str">
        <f t="shared" si="53"/>
        <v>Budget</v>
      </c>
    </row>
    <row r="1687" spans="2:11" x14ac:dyDescent="0.25">
      <c r="B1687" t="s">
        <v>75</v>
      </c>
      <c r="C1687">
        <v>2012</v>
      </c>
      <c r="D1687" s="1">
        <v>150000</v>
      </c>
      <c r="E1687">
        <v>80000</v>
      </c>
      <c r="F1687" t="s">
        <v>15</v>
      </c>
      <c r="G1687" t="s">
        <v>10</v>
      </c>
      <c r="H1687" t="s">
        <v>11</v>
      </c>
      <c r="I1687" t="s">
        <v>18</v>
      </c>
      <c r="J1687">
        <f t="shared" si="52"/>
        <v>14</v>
      </c>
      <c r="K1687" t="str">
        <f t="shared" si="53"/>
        <v>Budget</v>
      </c>
    </row>
    <row r="1688" spans="2:11" x14ac:dyDescent="0.25">
      <c r="B1688" t="s">
        <v>967</v>
      </c>
      <c r="C1688">
        <v>2017</v>
      </c>
      <c r="D1688" s="1">
        <v>750000</v>
      </c>
      <c r="E1688">
        <v>15000</v>
      </c>
      <c r="F1688" t="s">
        <v>9</v>
      </c>
      <c r="G1688" t="s">
        <v>10</v>
      </c>
      <c r="H1688" t="s">
        <v>11</v>
      </c>
      <c r="I1688" t="s">
        <v>12</v>
      </c>
      <c r="J1688">
        <f t="shared" si="52"/>
        <v>9</v>
      </c>
      <c r="K1688" t="str">
        <f t="shared" si="53"/>
        <v>Mid Range</v>
      </c>
    </row>
    <row r="1689" spans="2:11" x14ac:dyDescent="0.25">
      <c r="B1689" t="s">
        <v>968</v>
      </c>
      <c r="C1689">
        <v>2012</v>
      </c>
      <c r="D1689" s="1">
        <v>950000</v>
      </c>
      <c r="E1689">
        <v>80000</v>
      </c>
      <c r="F1689" t="s">
        <v>15</v>
      </c>
      <c r="G1689" t="s">
        <v>10</v>
      </c>
      <c r="H1689" t="s">
        <v>11</v>
      </c>
      <c r="I1689" t="s">
        <v>12</v>
      </c>
      <c r="J1689">
        <f t="shared" si="52"/>
        <v>14</v>
      </c>
      <c r="K1689" t="str">
        <f t="shared" si="53"/>
        <v>Mid Range</v>
      </c>
    </row>
    <row r="1690" spans="2:11" x14ac:dyDescent="0.25">
      <c r="B1690" t="s">
        <v>167</v>
      </c>
      <c r="C1690">
        <v>2006</v>
      </c>
      <c r="D1690" s="1">
        <v>90000</v>
      </c>
      <c r="E1690">
        <v>40000</v>
      </c>
      <c r="F1690" t="s">
        <v>9</v>
      </c>
      <c r="G1690" t="s">
        <v>10</v>
      </c>
      <c r="H1690" t="s">
        <v>11</v>
      </c>
      <c r="I1690" t="s">
        <v>18</v>
      </c>
      <c r="J1690">
        <f t="shared" si="52"/>
        <v>20</v>
      </c>
      <c r="K1690" t="str">
        <f t="shared" si="53"/>
        <v>Budget</v>
      </c>
    </row>
    <row r="1691" spans="2:11" x14ac:dyDescent="0.25">
      <c r="B1691" t="s">
        <v>504</v>
      </c>
      <c r="C1691">
        <v>2008</v>
      </c>
      <c r="D1691" s="1">
        <v>65000</v>
      </c>
      <c r="E1691">
        <v>110000</v>
      </c>
      <c r="F1691" t="s">
        <v>9</v>
      </c>
      <c r="G1691" t="s">
        <v>10</v>
      </c>
      <c r="H1691" t="s">
        <v>11</v>
      </c>
      <c r="I1691" t="s">
        <v>49</v>
      </c>
      <c r="J1691">
        <f t="shared" si="52"/>
        <v>18</v>
      </c>
      <c r="K1691" t="str">
        <f t="shared" si="53"/>
        <v>Budget</v>
      </c>
    </row>
    <row r="1692" spans="2:11" x14ac:dyDescent="0.25">
      <c r="B1692" t="s">
        <v>338</v>
      </c>
      <c r="C1692">
        <v>2012</v>
      </c>
      <c r="D1692" s="1">
        <v>312000</v>
      </c>
      <c r="E1692">
        <v>90000</v>
      </c>
      <c r="F1692" t="s">
        <v>15</v>
      </c>
      <c r="G1692" t="s">
        <v>10</v>
      </c>
      <c r="H1692" t="s">
        <v>11</v>
      </c>
      <c r="I1692" t="s">
        <v>18</v>
      </c>
      <c r="J1692">
        <f t="shared" si="52"/>
        <v>14</v>
      </c>
      <c r="K1692" t="str">
        <f t="shared" si="53"/>
        <v>Budget</v>
      </c>
    </row>
    <row r="1693" spans="2:11" x14ac:dyDescent="0.25">
      <c r="B1693" t="s">
        <v>969</v>
      </c>
      <c r="C1693">
        <v>2018</v>
      </c>
      <c r="D1693" s="1">
        <v>700000</v>
      </c>
      <c r="E1693">
        <v>25000</v>
      </c>
      <c r="F1693" t="s">
        <v>15</v>
      </c>
      <c r="G1693" t="s">
        <v>10</v>
      </c>
      <c r="H1693" t="s">
        <v>11</v>
      </c>
      <c r="I1693" t="s">
        <v>12</v>
      </c>
      <c r="J1693">
        <f t="shared" si="52"/>
        <v>8</v>
      </c>
      <c r="K1693" t="str">
        <f t="shared" si="53"/>
        <v>Mid Range</v>
      </c>
    </row>
    <row r="1694" spans="2:11" x14ac:dyDescent="0.25">
      <c r="B1694" t="s">
        <v>147</v>
      </c>
      <c r="C1694">
        <v>2005</v>
      </c>
      <c r="D1694" s="1">
        <v>150000</v>
      </c>
      <c r="E1694">
        <v>47000</v>
      </c>
      <c r="F1694" t="s">
        <v>9</v>
      </c>
      <c r="G1694" t="s">
        <v>10</v>
      </c>
      <c r="H1694" t="s">
        <v>11</v>
      </c>
      <c r="I1694" t="s">
        <v>12</v>
      </c>
      <c r="J1694">
        <f t="shared" si="52"/>
        <v>21</v>
      </c>
      <c r="K1694" t="str">
        <f t="shared" si="53"/>
        <v>Budget</v>
      </c>
    </row>
    <row r="1695" spans="2:11" x14ac:dyDescent="0.25">
      <c r="B1695" t="s">
        <v>893</v>
      </c>
      <c r="C1695">
        <v>2013</v>
      </c>
      <c r="D1695" s="1">
        <v>450000</v>
      </c>
      <c r="E1695">
        <v>60000</v>
      </c>
      <c r="F1695" t="s">
        <v>15</v>
      </c>
      <c r="G1695" t="s">
        <v>10</v>
      </c>
      <c r="H1695" t="s">
        <v>11</v>
      </c>
      <c r="I1695" t="s">
        <v>12</v>
      </c>
      <c r="J1695">
        <f t="shared" si="52"/>
        <v>13</v>
      </c>
      <c r="K1695" t="str">
        <f t="shared" si="53"/>
        <v>Budget</v>
      </c>
    </row>
    <row r="1696" spans="2:11" x14ac:dyDescent="0.25">
      <c r="B1696" t="s">
        <v>970</v>
      </c>
      <c r="C1696">
        <v>2010</v>
      </c>
      <c r="D1696" s="1">
        <v>229999</v>
      </c>
      <c r="E1696">
        <v>120000</v>
      </c>
      <c r="F1696" t="s">
        <v>15</v>
      </c>
      <c r="G1696" t="s">
        <v>10</v>
      </c>
      <c r="H1696" t="s">
        <v>11</v>
      </c>
      <c r="I1696" t="s">
        <v>18</v>
      </c>
      <c r="J1696">
        <f t="shared" si="52"/>
        <v>16</v>
      </c>
      <c r="K1696" t="str">
        <f t="shared" si="53"/>
        <v>Budget</v>
      </c>
    </row>
    <row r="1697" spans="2:11" x14ac:dyDescent="0.25">
      <c r="B1697" t="s">
        <v>382</v>
      </c>
      <c r="C1697">
        <v>2008</v>
      </c>
      <c r="D1697" s="1">
        <v>111000</v>
      </c>
      <c r="E1697">
        <v>120000</v>
      </c>
      <c r="F1697" t="s">
        <v>15</v>
      </c>
      <c r="G1697" t="s">
        <v>10</v>
      </c>
      <c r="H1697" t="s">
        <v>11</v>
      </c>
      <c r="I1697" t="s">
        <v>12</v>
      </c>
      <c r="J1697">
        <f t="shared" si="52"/>
        <v>18</v>
      </c>
      <c r="K1697" t="str">
        <f t="shared" si="53"/>
        <v>Budget</v>
      </c>
    </row>
    <row r="1698" spans="2:11" x14ac:dyDescent="0.25">
      <c r="B1698" t="s">
        <v>181</v>
      </c>
      <c r="C1698">
        <v>2012</v>
      </c>
      <c r="D1698" s="1">
        <v>250000</v>
      </c>
      <c r="E1698">
        <v>140000</v>
      </c>
      <c r="F1698" t="s">
        <v>15</v>
      </c>
      <c r="G1698" t="s">
        <v>10</v>
      </c>
      <c r="H1698" t="s">
        <v>11</v>
      </c>
      <c r="I1698" t="s">
        <v>18</v>
      </c>
      <c r="J1698">
        <f t="shared" si="52"/>
        <v>14</v>
      </c>
      <c r="K1698" t="str">
        <f t="shared" si="53"/>
        <v>Budget</v>
      </c>
    </row>
    <row r="1699" spans="2:11" x14ac:dyDescent="0.25">
      <c r="B1699" t="s">
        <v>971</v>
      </c>
      <c r="C1699">
        <v>2019</v>
      </c>
      <c r="D1699" s="1">
        <v>750000</v>
      </c>
      <c r="E1699">
        <v>1001</v>
      </c>
      <c r="F1699" t="s">
        <v>15</v>
      </c>
      <c r="G1699" t="s">
        <v>27</v>
      </c>
      <c r="H1699" t="s">
        <v>11</v>
      </c>
      <c r="I1699" t="s">
        <v>12</v>
      </c>
      <c r="J1699">
        <f t="shared" si="52"/>
        <v>7</v>
      </c>
      <c r="K1699" t="str">
        <f t="shared" si="53"/>
        <v>Mid Range</v>
      </c>
    </row>
    <row r="1700" spans="2:11" x14ac:dyDescent="0.25">
      <c r="B1700" t="s">
        <v>972</v>
      </c>
      <c r="C1700">
        <v>2017</v>
      </c>
      <c r="D1700" s="1">
        <v>774000</v>
      </c>
      <c r="E1700">
        <v>1758</v>
      </c>
      <c r="F1700" t="s">
        <v>9</v>
      </c>
      <c r="G1700" t="s">
        <v>27</v>
      </c>
      <c r="H1700" t="s">
        <v>28</v>
      </c>
      <c r="I1700" t="s">
        <v>12</v>
      </c>
      <c r="J1700">
        <f t="shared" si="52"/>
        <v>9</v>
      </c>
      <c r="K1700" t="str">
        <f t="shared" si="53"/>
        <v>Mid Range</v>
      </c>
    </row>
    <row r="1701" spans="2:11" x14ac:dyDescent="0.25">
      <c r="B1701" t="s">
        <v>972</v>
      </c>
      <c r="C1701">
        <v>2018</v>
      </c>
      <c r="D1701" s="1">
        <v>711000</v>
      </c>
      <c r="E1701">
        <v>1452</v>
      </c>
      <c r="F1701" t="s">
        <v>9</v>
      </c>
      <c r="G1701" t="s">
        <v>27</v>
      </c>
      <c r="H1701" t="s">
        <v>28</v>
      </c>
      <c r="I1701" t="s">
        <v>12</v>
      </c>
      <c r="J1701">
        <f t="shared" si="52"/>
        <v>8</v>
      </c>
      <c r="K1701" t="str">
        <f t="shared" si="53"/>
        <v>Mid Range</v>
      </c>
    </row>
    <row r="1702" spans="2:11" x14ac:dyDescent="0.25">
      <c r="B1702" t="s">
        <v>973</v>
      </c>
      <c r="C1702">
        <v>2017</v>
      </c>
      <c r="D1702" s="1">
        <v>600000</v>
      </c>
      <c r="E1702">
        <v>35122</v>
      </c>
      <c r="F1702" t="s">
        <v>15</v>
      </c>
      <c r="G1702" t="s">
        <v>27</v>
      </c>
      <c r="H1702" t="s">
        <v>11</v>
      </c>
      <c r="I1702" t="s">
        <v>12</v>
      </c>
      <c r="J1702">
        <f t="shared" si="52"/>
        <v>9</v>
      </c>
      <c r="K1702" t="str">
        <f t="shared" si="53"/>
        <v>Mid Range</v>
      </c>
    </row>
    <row r="1703" spans="2:11" x14ac:dyDescent="0.25">
      <c r="B1703" t="s">
        <v>114</v>
      </c>
      <c r="C1703">
        <v>2015</v>
      </c>
      <c r="D1703" s="1">
        <v>455000</v>
      </c>
      <c r="E1703">
        <v>92621</v>
      </c>
      <c r="F1703" t="s">
        <v>15</v>
      </c>
      <c r="G1703" t="s">
        <v>27</v>
      </c>
      <c r="H1703" t="s">
        <v>11</v>
      </c>
      <c r="I1703" t="s">
        <v>12</v>
      </c>
      <c r="J1703">
        <f t="shared" si="52"/>
        <v>11</v>
      </c>
      <c r="K1703" t="str">
        <f t="shared" si="53"/>
        <v>Budget</v>
      </c>
    </row>
    <row r="1704" spans="2:11" x14ac:dyDescent="0.25">
      <c r="B1704" t="s">
        <v>646</v>
      </c>
      <c r="C1704">
        <v>2015</v>
      </c>
      <c r="D1704" s="1">
        <v>225000</v>
      </c>
      <c r="E1704">
        <v>92198</v>
      </c>
      <c r="F1704" t="s">
        <v>9</v>
      </c>
      <c r="G1704" t="s">
        <v>27</v>
      </c>
      <c r="H1704" t="s">
        <v>11</v>
      </c>
      <c r="I1704" t="s">
        <v>18</v>
      </c>
      <c r="J1704">
        <f t="shared" si="52"/>
        <v>11</v>
      </c>
      <c r="K1704" t="str">
        <f t="shared" si="53"/>
        <v>Budget</v>
      </c>
    </row>
    <row r="1705" spans="2:11" x14ac:dyDescent="0.25">
      <c r="B1705" t="s">
        <v>114</v>
      </c>
      <c r="C1705">
        <v>2019</v>
      </c>
      <c r="D1705" s="1">
        <v>650000</v>
      </c>
      <c r="E1705">
        <v>5000</v>
      </c>
      <c r="F1705" t="s">
        <v>15</v>
      </c>
      <c r="G1705" t="s">
        <v>10</v>
      </c>
      <c r="H1705" t="s">
        <v>11</v>
      </c>
      <c r="I1705" t="s">
        <v>12</v>
      </c>
      <c r="J1705">
        <f t="shared" si="52"/>
        <v>7</v>
      </c>
      <c r="K1705" t="str">
        <f t="shared" si="53"/>
        <v>Mid Range</v>
      </c>
    </row>
    <row r="1706" spans="2:11" x14ac:dyDescent="0.25">
      <c r="B1706" t="s">
        <v>161</v>
      </c>
      <c r="C1706">
        <v>2013</v>
      </c>
      <c r="D1706" s="1">
        <v>200000</v>
      </c>
      <c r="E1706">
        <v>50000</v>
      </c>
      <c r="F1706" t="s">
        <v>9</v>
      </c>
      <c r="G1706" t="s">
        <v>10</v>
      </c>
      <c r="H1706" t="s">
        <v>11</v>
      </c>
      <c r="I1706" t="s">
        <v>12</v>
      </c>
      <c r="J1706">
        <f t="shared" si="52"/>
        <v>13</v>
      </c>
      <c r="K1706" t="str">
        <f t="shared" si="53"/>
        <v>Budget</v>
      </c>
    </row>
    <row r="1707" spans="2:11" x14ac:dyDescent="0.25">
      <c r="B1707" t="s">
        <v>472</v>
      </c>
      <c r="C1707">
        <v>2016</v>
      </c>
      <c r="D1707" s="1">
        <v>875000</v>
      </c>
      <c r="E1707">
        <v>74000</v>
      </c>
      <c r="F1707" t="s">
        <v>15</v>
      </c>
      <c r="G1707" t="s">
        <v>10</v>
      </c>
      <c r="H1707" t="s">
        <v>28</v>
      </c>
      <c r="I1707" t="s">
        <v>12</v>
      </c>
      <c r="J1707">
        <f t="shared" si="52"/>
        <v>10</v>
      </c>
      <c r="K1707" t="str">
        <f t="shared" si="53"/>
        <v>Mid Range</v>
      </c>
    </row>
    <row r="1708" spans="2:11" x14ac:dyDescent="0.25">
      <c r="B1708" t="s">
        <v>974</v>
      </c>
      <c r="C1708">
        <v>2017</v>
      </c>
      <c r="D1708" s="1">
        <v>750000</v>
      </c>
      <c r="E1708">
        <v>40000</v>
      </c>
      <c r="F1708" t="s">
        <v>15</v>
      </c>
      <c r="G1708" t="s">
        <v>10</v>
      </c>
      <c r="H1708" t="s">
        <v>28</v>
      </c>
      <c r="I1708" t="s">
        <v>12</v>
      </c>
      <c r="J1708">
        <f t="shared" si="52"/>
        <v>9</v>
      </c>
      <c r="K1708" t="str">
        <f t="shared" si="53"/>
        <v>Mid Range</v>
      </c>
    </row>
    <row r="1709" spans="2:11" x14ac:dyDescent="0.25">
      <c r="B1709" t="s">
        <v>946</v>
      </c>
      <c r="C1709">
        <v>2019</v>
      </c>
      <c r="D1709" s="1">
        <v>725000</v>
      </c>
      <c r="E1709">
        <v>22000</v>
      </c>
      <c r="F1709" t="s">
        <v>15</v>
      </c>
      <c r="G1709" t="s">
        <v>10</v>
      </c>
      <c r="H1709" t="s">
        <v>28</v>
      </c>
      <c r="I1709" t="s">
        <v>12</v>
      </c>
      <c r="J1709">
        <f t="shared" si="52"/>
        <v>7</v>
      </c>
      <c r="K1709" t="str">
        <f t="shared" si="53"/>
        <v>Mid Range</v>
      </c>
    </row>
    <row r="1710" spans="2:11" x14ac:dyDescent="0.25">
      <c r="B1710" t="s">
        <v>58</v>
      </c>
      <c r="C1710">
        <v>2007</v>
      </c>
      <c r="D1710" s="1">
        <v>100000</v>
      </c>
      <c r="E1710">
        <v>100000</v>
      </c>
      <c r="F1710" t="s">
        <v>9</v>
      </c>
      <c r="G1710" t="s">
        <v>10</v>
      </c>
      <c r="H1710" t="s">
        <v>11</v>
      </c>
      <c r="I1710" t="s">
        <v>18</v>
      </c>
      <c r="J1710">
        <f t="shared" si="52"/>
        <v>19</v>
      </c>
      <c r="K1710" t="str">
        <f t="shared" si="53"/>
        <v>Budget</v>
      </c>
    </row>
    <row r="1711" spans="2:11" x14ac:dyDescent="0.25">
      <c r="B1711" t="s">
        <v>811</v>
      </c>
      <c r="C1711">
        <v>2019</v>
      </c>
      <c r="D1711" s="1">
        <v>1100000</v>
      </c>
      <c r="E1711">
        <v>40000</v>
      </c>
      <c r="F1711" t="s">
        <v>15</v>
      </c>
      <c r="G1711" t="s">
        <v>10</v>
      </c>
      <c r="H1711" t="s">
        <v>11</v>
      </c>
      <c r="I1711" t="s">
        <v>12</v>
      </c>
      <c r="J1711">
        <f t="shared" si="52"/>
        <v>7</v>
      </c>
      <c r="K1711" t="str">
        <f t="shared" si="53"/>
        <v>Premium</v>
      </c>
    </row>
    <row r="1712" spans="2:11" x14ac:dyDescent="0.25">
      <c r="B1712" t="s">
        <v>621</v>
      </c>
      <c r="C1712">
        <v>2017</v>
      </c>
      <c r="D1712" s="1">
        <v>2700000</v>
      </c>
      <c r="E1712">
        <v>30000</v>
      </c>
      <c r="F1712" t="s">
        <v>15</v>
      </c>
      <c r="G1712" t="s">
        <v>10</v>
      </c>
      <c r="H1712" t="s">
        <v>28</v>
      </c>
      <c r="I1712" t="s">
        <v>12</v>
      </c>
      <c r="J1712">
        <f t="shared" si="52"/>
        <v>9</v>
      </c>
      <c r="K1712" t="str">
        <f t="shared" si="53"/>
        <v>Premium</v>
      </c>
    </row>
    <row r="1713" spans="2:11" x14ac:dyDescent="0.25">
      <c r="B1713" t="s">
        <v>305</v>
      </c>
      <c r="C1713">
        <v>2016</v>
      </c>
      <c r="D1713" s="1">
        <v>280000</v>
      </c>
      <c r="E1713">
        <v>23000</v>
      </c>
      <c r="F1713" t="s">
        <v>9</v>
      </c>
      <c r="G1713" t="s">
        <v>10</v>
      </c>
      <c r="H1713" t="s">
        <v>11</v>
      </c>
      <c r="I1713" t="s">
        <v>12</v>
      </c>
      <c r="J1713">
        <f t="shared" si="52"/>
        <v>10</v>
      </c>
      <c r="K1713" t="str">
        <f t="shared" si="53"/>
        <v>Budget</v>
      </c>
    </row>
    <row r="1714" spans="2:11" x14ac:dyDescent="0.25">
      <c r="B1714" t="s">
        <v>137</v>
      </c>
      <c r="C1714">
        <v>2009</v>
      </c>
      <c r="D1714" s="1">
        <v>150000</v>
      </c>
      <c r="E1714">
        <v>30000</v>
      </c>
      <c r="F1714" t="s">
        <v>15</v>
      </c>
      <c r="G1714" t="s">
        <v>10</v>
      </c>
      <c r="H1714" t="s">
        <v>11</v>
      </c>
      <c r="I1714" t="s">
        <v>12</v>
      </c>
      <c r="J1714">
        <f t="shared" si="52"/>
        <v>17</v>
      </c>
      <c r="K1714" t="str">
        <f t="shared" si="53"/>
        <v>Budget</v>
      </c>
    </row>
    <row r="1715" spans="2:11" x14ac:dyDescent="0.25">
      <c r="B1715" t="s">
        <v>975</v>
      </c>
      <c r="C1715">
        <v>2010</v>
      </c>
      <c r="D1715" s="1">
        <v>200000</v>
      </c>
      <c r="E1715">
        <v>50000</v>
      </c>
      <c r="F1715" t="s">
        <v>9</v>
      </c>
      <c r="G1715" t="s">
        <v>10</v>
      </c>
      <c r="H1715" t="s">
        <v>11</v>
      </c>
      <c r="I1715" t="s">
        <v>12</v>
      </c>
      <c r="J1715">
        <f t="shared" si="52"/>
        <v>16</v>
      </c>
      <c r="K1715" t="str">
        <f t="shared" si="53"/>
        <v>Budget</v>
      </c>
    </row>
    <row r="1716" spans="2:11" x14ac:dyDescent="0.25">
      <c r="B1716" t="s">
        <v>295</v>
      </c>
      <c r="C1716">
        <v>2010</v>
      </c>
      <c r="D1716" s="1">
        <v>148000</v>
      </c>
      <c r="E1716">
        <v>100000</v>
      </c>
      <c r="F1716" t="s">
        <v>15</v>
      </c>
      <c r="G1716" t="s">
        <v>10</v>
      </c>
      <c r="H1716" t="s">
        <v>11</v>
      </c>
      <c r="I1716" t="s">
        <v>18</v>
      </c>
      <c r="J1716">
        <f t="shared" si="52"/>
        <v>16</v>
      </c>
      <c r="K1716" t="str">
        <f t="shared" si="53"/>
        <v>Budget</v>
      </c>
    </row>
    <row r="1717" spans="2:11" x14ac:dyDescent="0.25">
      <c r="B1717" t="s">
        <v>539</v>
      </c>
      <c r="C1717">
        <v>2011</v>
      </c>
      <c r="D1717" s="1">
        <v>254999</v>
      </c>
      <c r="E1717">
        <v>70000</v>
      </c>
      <c r="F1717" t="s">
        <v>9</v>
      </c>
      <c r="G1717" t="s">
        <v>10</v>
      </c>
      <c r="H1717" t="s">
        <v>11</v>
      </c>
      <c r="I1717" t="s">
        <v>18</v>
      </c>
      <c r="J1717">
        <f t="shared" si="52"/>
        <v>15</v>
      </c>
      <c r="K1717" t="str">
        <f t="shared" si="53"/>
        <v>Budget</v>
      </c>
    </row>
    <row r="1718" spans="2:11" x14ac:dyDescent="0.25">
      <c r="B1718" t="s">
        <v>976</v>
      </c>
      <c r="C1718">
        <v>2013</v>
      </c>
      <c r="D1718" s="1">
        <v>360000</v>
      </c>
      <c r="E1718">
        <v>60000</v>
      </c>
      <c r="F1718" t="s">
        <v>9</v>
      </c>
      <c r="G1718" t="s">
        <v>10</v>
      </c>
      <c r="H1718" t="s">
        <v>11</v>
      </c>
      <c r="I1718" t="s">
        <v>18</v>
      </c>
      <c r="J1718">
        <f t="shared" si="52"/>
        <v>13</v>
      </c>
      <c r="K1718" t="str">
        <f t="shared" si="53"/>
        <v>Budget</v>
      </c>
    </row>
    <row r="1719" spans="2:11" x14ac:dyDescent="0.25">
      <c r="B1719" t="s">
        <v>172</v>
      </c>
      <c r="C1719">
        <v>2006</v>
      </c>
      <c r="D1719" s="1">
        <v>95000</v>
      </c>
      <c r="E1719">
        <v>90000</v>
      </c>
      <c r="F1719" t="s">
        <v>9</v>
      </c>
      <c r="G1719" t="s">
        <v>10</v>
      </c>
      <c r="H1719" t="s">
        <v>11</v>
      </c>
      <c r="I1719" t="s">
        <v>18</v>
      </c>
      <c r="J1719">
        <f t="shared" si="52"/>
        <v>20</v>
      </c>
      <c r="K1719" t="str">
        <f t="shared" si="53"/>
        <v>Budget</v>
      </c>
    </row>
    <row r="1720" spans="2:11" x14ac:dyDescent="0.25">
      <c r="B1720" t="s">
        <v>977</v>
      </c>
      <c r="C1720">
        <v>2007</v>
      </c>
      <c r="D1720" s="1">
        <v>185000</v>
      </c>
      <c r="E1720">
        <v>230000</v>
      </c>
      <c r="F1720" t="s">
        <v>15</v>
      </c>
      <c r="G1720" t="s">
        <v>10</v>
      </c>
      <c r="H1720" t="s">
        <v>11</v>
      </c>
      <c r="I1720" t="s">
        <v>18</v>
      </c>
      <c r="J1720">
        <f t="shared" si="52"/>
        <v>19</v>
      </c>
      <c r="K1720" t="str">
        <f t="shared" si="53"/>
        <v>Budget</v>
      </c>
    </row>
    <row r="1721" spans="2:11" x14ac:dyDescent="0.25">
      <c r="B1721" t="s">
        <v>438</v>
      </c>
      <c r="C1721">
        <v>2012</v>
      </c>
      <c r="D1721" s="1">
        <v>185000</v>
      </c>
      <c r="E1721">
        <v>40000</v>
      </c>
      <c r="F1721" t="s">
        <v>15</v>
      </c>
      <c r="G1721" t="s">
        <v>10</v>
      </c>
      <c r="H1721" t="s">
        <v>11</v>
      </c>
      <c r="I1721" t="s">
        <v>12</v>
      </c>
      <c r="J1721">
        <f t="shared" si="52"/>
        <v>14</v>
      </c>
      <c r="K1721" t="str">
        <f t="shared" si="53"/>
        <v>Budget</v>
      </c>
    </row>
    <row r="1722" spans="2:11" x14ac:dyDescent="0.25">
      <c r="B1722" t="s">
        <v>534</v>
      </c>
      <c r="C1722">
        <v>2019</v>
      </c>
      <c r="D1722" s="1">
        <v>300000</v>
      </c>
      <c r="E1722">
        <v>15000</v>
      </c>
      <c r="F1722" t="s">
        <v>9</v>
      </c>
      <c r="G1722" t="s">
        <v>10</v>
      </c>
      <c r="H1722" t="s">
        <v>11</v>
      </c>
      <c r="I1722" t="s">
        <v>12</v>
      </c>
      <c r="J1722">
        <f t="shared" si="52"/>
        <v>7</v>
      </c>
      <c r="K1722" t="str">
        <f t="shared" si="53"/>
        <v>Budget</v>
      </c>
    </row>
    <row r="1723" spans="2:11" x14ac:dyDescent="0.25">
      <c r="B1723" t="s">
        <v>978</v>
      </c>
      <c r="C1723">
        <v>2018</v>
      </c>
      <c r="D1723" s="1">
        <v>800000</v>
      </c>
      <c r="E1723">
        <v>40000</v>
      </c>
      <c r="F1723" t="s">
        <v>9</v>
      </c>
      <c r="G1723" t="s">
        <v>10</v>
      </c>
      <c r="H1723" t="s">
        <v>11</v>
      </c>
      <c r="I1723" t="s">
        <v>12</v>
      </c>
      <c r="J1723">
        <f t="shared" si="52"/>
        <v>8</v>
      </c>
      <c r="K1723" t="str">
        <f t="shared" si="53"/>
        <v>Mid Range</v>
      </c>
    </row>
    <row r="1724" spans="2:11" x14ac:dyDescent="0.25">
      <c r="B1724" t="s">
        <v>120</v>
      </c>
      <c r="C1724">
        <v>2000</v>
      </c>
      <c r="D1724" s="1">
        <v>60000</v>
      </c>
      <c r="E1724">
        <v>50000</v>
      </c>
      <c r="F1724" t="s">
        <v>9</v>
      </c>
      <c r="G1724" t="s">
        <v>10</v>
      </c>
      <c r="H1724" t="s">
        <v>11</v>
      </c>
      <c r="I1724" t="s">
        <v>12</v>
      </c>
      <c r="J1724">
        <f t="shared" si="52"/>
        <v>26</v>
      </c>
      <c r="K1724" t="str">
        <f t="shared" si="53"/>
        <v>Budget</v>
      </c>
    </row>
    <row r="1725" spans="2:11" x14ac:dyDescent="0.25">
      <c r="B1725" t="s">
        <v>979</v>
      </c>
      <c r="C1725">
        <v>2010</v>
      </c>
      <c r="D1725" s="1">
        <v>80000</v>
      </c>
      <c r="E1725">
        <v>50000</v>
      </c>
      <c r="F1725" t="s">
        <v>9</v>
      </c>
      <c r="G1725" t="s">
        <v>10</v>
      </c>
      <c r="H1725" t="s">
        <v>11</v>
      </c>
      <c r="I1725" t="s">
        <v>18</v>
      </c>
      <c r="J1725">
        <f t="shared" si="52"/>
        <v>16</v>
      </c>
      <c r="K1725" t="str">
        <f t="shared" si="53"/>
        <v>Budget</v>
      </c>
    </row>
    <row r="1726" spans="2:11" x14ac:dyDescent="0.25">
      <c r="B1726" t="s">
        <v>760</v>
      </c>
      <c r="C1726">
        <v>2018</v>
      </c>
      <c r="D1726" s="1">
        <v>500000</v>
      </c>
      <c r="E1726">
        <v>8000</v>
      </c>
      <c r="F1726" t="s">
        <v>9</v>
      </c>
      <c r="G1726" t="s">
        <v>10</v>
      </c>
      <c r="H1726" t="s">
        <v>11</v>
      </c>
      <c r="I1726" t="s">
        <v>12</v>
      </c>
      <c r="J1726">
        <f t="shared" si="52"/>
        <v>8</v>
      </c>
      <c r="K1726" t="str">
        <f t="shared" si="53"/>
        <v>Mid Range</v>
      </c>
    </row>
    <row r="1727" spans="2:11" x14ac:dyDescent="0.25">
      <c r="B1727" t="s">
        <v>136</v>
      </c>
      <c r="C1727">
        <v>2013</v>
      </c>
      <c r="D1727" s="1">
        <v>250000</v>
      </c>
      <c r="E1727">
        <v>35000</v>
      </c>
      <c r="F1727" t="s">
        <v>9</v>
      </c>
      <c r="G1727" t="s">
        <v>10</v>
      </c>
      <c r="H1727" t="s">
        <v>11</v>
      </c>
      <c r="I1727" t="s">
        <v>12</v>
      </c>
      <c r="J1727">
        <f t="shared" si="52"/>
        <v>13</v>
      </c>
      <c r="K1727" t="str">
        <f t="shared" si="53"/>
        <v>Budget</v>
      </c>
    </row>
    <row r="1728" spans="2:11" x14ac:dyDescent="0.25">
      <c r="B1728" t="s">
        <v>331</v>
      </c>
      <c r="C1728">
        <v>2010</v>
      </c>
      <c r="D1728" s="1">
        <v>250000</v>
      </c>
      <c r="E1728">
        <v>80000</v>
      </c>
      <c r="F1728" t="s">
        <v>15</v>
      </c>
      <c r="G1728" t="s">
        <v>10</v>
      </c>
      <c r="H1728" t="s">
        <v>11</v>
      </c>
      <c r="I1728" t="s">
        <v>12</v>
      </c>
      <c r="J1728">
        <f t="shared" si="52"/>
        <v>16</v>
      </c>
      <c r="K1728" t="str">
        <f t="shared" si="53"/>
        <v>Budget</v>
      </c>
    </row>
    <row r="1729" spans="2:11" x14ac:dyDescent="0.25">
      <c r="B1729" t="s">
        <v>368</v>
      </c>
      <c r="C1729">
        <v>2005</v>
      </c>
      <c r="D1729" s="1">
        <v>125000</v>
      </c>
      <c r="E1729">
        <v>50000</v>
      </c>
      <c r="F1729" t="s">
        <v>9</v>
      </c>
      <c r="G1729" t="s">
        <v>10</v>
      </c>
      <c r="H1729" t="s">
        <v>11</v>
      </c>
      <c r="I1729" t="s">
        <v>18</v>
      </c>
      <c r="J1729">
        <f t="shared" si="52"/>
        <v>21</v>
      </c>
      <c r="K1729" t="str">
        <f t="shared" si="53"/>
        <v>Budget</v>
      </c>
    </row>
    <row r="1730" spans="2:11" x14ac:dyDescent="0.25">
      <c r="B1730" t="s">
        <v>980</v>
      </c>
      <c r="C1730">
        <v>2002</v>
      </c>
      <c r="D1730" s="1">
        <v>100000</v>
      </c>
      <c r="E1730">
        <v>80000</v>
      </c>
      <c r="F1730" t="s">
        <v>9</v>
      </c>
      <c r="G1730" t="s">
        <v>10</v>
      </c>
      <c r="H1730" t="s">
        <v>11</v>
      </c>
      <c r="I1730" t="s">
        <v>46</v>
      </c>
      <c r="J1730">
        <f t="shared" si="52"/>
        <v>24</v>
      </c>
      <c r="K1730" t="str">
        <f t="shared" si="53"/>
        <v>Budget</v>
      </c>
    </row>
    <row r="1731" spans="2:11" x14ac:dyDescent="0.25">
      <c r="B1731" t="s">
        <v>589</v>
      </c>
      <c r="C1731">
        <v>2010</v>
      </c>
      <c r="D1731" s="1">
        <v>480000</v>
      </c>
      <c r="E1731">
        <v>90000</v>
      </c>
      <c r="F1731" t="s">
        <v>15</v>
      </c>
      <c r="G1731" t="s">
        <v>10</v>
      </c>
      <c r="H1731" t="s">
        <v>11</v>
      </c>
      <c r="I1731" t="s">
        <v>12</v>
      </c>
      <c r="J1731">
        <f t="shared" si="52"/>
        <v>16</v>
      </c>
      <c r="K1731" t="str">
        <f t="shared" si="53"/>
        <v>Budget</v>
      </c>
    </row>
    <row r="1732" spans="2:11" x14ac:dyDescent="0.25">
      <c r="B1732" t="s">
        <v>532</v>
      </c>
      <c r="C1732">
        <v>2018</v>
      </c>
      <c r="D1732" s="1">
        <v>320000</v>
      </c>
      <c r="E1732">
        <v>30000</v>
      </c>
      <c r="F1732" t="s">
        <v>9</v>
      </c>
      <c r="G1732" t="s">
        <v>10</v>
      </c>
      <c r="H1732" t="s">
        <v>11</v>
      </c>
      <c r="I1732" t="s">
        <v>18</v>
      </c>
      <c r="J1732">
        <f t="shared" si="52"/>
        <v>8</v>
      </c>
      <c r="K1732" t="str">
        <f t="shared" si="53"/>
        <v>Budget</v>
      </c>
    </row>
    <row r="1733" spans="2:11" x14ac:dyDescent="0.25">
      <c r="B1733" t="s">
        <v>269</v>
      </c>
      <c r="C1733">
        <v>2010</v>
      </c>
      <c r="D1733" s="1">
        <v>130000</v>
      </c>
      <c r="E1733">
        <v>70000</v>
      </c>
      <c r="F1733" t="s">
        <v>9</v>
      </c>
      <c r="G1733" t="s">
        <v>10</v>
      </c>
      <c r="H1733" t="s">
        <v>11</v>
      </c>
      <c r="I1733" t="s">
        <v>18</v>
      </c>
      <c r="J1733">
        <f t="shared" si="52"/>
        <v>16</v>
      </c>
      <c r="K1733" t="str">
        <f t="shared" si="53"/>
        <v>Budget</v>
      </c>
    </row>
    <row r="1734" spans="2:11" x14ac:dyDescent="0.25">
      <c r="B1734" t="s">
        <v>67</v>
      </c>
      <c r="C1734">
        <v>2006</v>
      </c>
      <c r="D1734" s="1">
        <v>57000</v>
      </c>
      <c r="E1734">
        <v>80000</v>
      </c>
      <c r="F1734" t="s">
        <v>15</v>
      </c>
      <c r="G1734" t="s">
        <v>10</v>
      </c>
      <c r="H1734" t="s">
        <v>11</v>
      </c>
      <c r="I1734" t="s">
        <v>18</v>
      </c>
      <c r="J1734">
        <f t="shared" ref="J1734:J1797" si="54">2026 - C1734</f>
        <v>20</v>
      </c>
      <c r="K1734" t="str">
        <f t="shared" ref="K1734:K1797" si="55">IF(D1734&lt;500000,"Budget",IF(D1734&lt;=1000000,"Mid Range","Premium"))</f>
        <v>Budget</v>
      </c>
    </row>
    <row r="1735" spans="2:11" x14ac:dyDescent="0.25">
      <c r="B1735" t="s">
        <v>320</v>
      </c>
      <c r="C1735">
        <v>2005</v>
      </c>
      <c r="D1735" s="1">
        <v>75000</v>
      </c>
      <c r="E1735">
        <v>60000</v>
      </c>
      <c r="F1735" t="s">
        <v>9</v>
      </c>
      <c r="G1735" t="s">
        <v>10</v>
      </c>
      <c r="H1735" t="s">
        <v>11</v>
      </c>
      <c r="I1735" t="s">
        <v>12</v>
      </c>
      <c r="J1735">
        <f t="shared" si="54"/>
        <v>21</v>
      </c>
      <c r="K1735" t="str">
        <f t="shared" si="55"/>
        <v>Budget</v>
      </c>
    </row>
    <row r="1736" spans="2:11" x14ac:dyDescent="0.25">
      <c r="B1736" t="s">
        <v>786</v>
      </c>
      <c r="C1736">
        <v>2003</v>
      </c>
      <c r="D1736" s="1">
        <v>60000</v>
      </c>
      <c r="E1736">
        <v>35000</v>
      </c>
      <c r="F1736" t="s">
        <v>9</v>
      </c>
      <c r="G1736" t="s">
        <v>10</v>
      </c>
      <c r="H1736" t="s">
        <v>11</v>
      </c>
      <c r="I1736" t="s">
        <v>12</v>
      </c>
      <c r="J1736">
        <f t="shared" si="54"/>
        <v>23</v>
      </c>
      <c r="K1736" t="str">
        <f t="shared" si="55"/>
        <v>Budget</v>
      </c>
    </row>
    <row r="1737" spans="2:11" x14ac:dyDescent="0.25">
      <c r="B1737" t="s">
        <v>211</v>
      </c>
      <c r="C1737">
        <v>2008</v>
      </c>
      <c r="D1737" s="1">
        <v>125000</v>
      </c>
      <c r="E1737">
        <v>70000</v>
      </c>
      <c r="F1737" t="s">
        <v>9</v>
      </c>
      <c r="G1737" t="s">
        <v>10</v>
      </c>
      <c r="H1737" t="s">
        <v>11</v>
      </c>
      <c r="I1737" t="s">
        <v>12</v>
      </c>
      <c r="J1737">
        <f t="shared" si="54"/>
        <v>18</v>
      </c>
      <c r="K1737" t="str">
        <f t="shared" si="55"/>
        <v>Budget</v>
      </c>
    </row>
    <row r="1738" spans="2:11" x14ac:dyDescent="0.25">
      <c r="B1738" t="s">
        <v>981</v>
      </c>
      <c r="C1738">
        <v>2004</v>
      </c>
      <c r="D1738" s="1">
        <v>105000</v>
      </c>
      <c r="E1738">
        <v>100000</v>
      </c>
      <c r="F1738" t="s">
        <v>9</v>
      </c>
      <c r="G1738" t="s">
        <v>10</v>
      </c>
      <c r="H1738" t="s">
        <v>11</v>
      </c>
      <c r="I1738" t="s">
        <v>49</v>
      </c>
      <c r="J1738">
        <f t="shared" si="54"/>
        <v>22</v>
      </c>
      <c r="K1738" t="str">
        <f t="shared" si="55"/>
        <v>Budget</v>
      </c>
    </row>
    <row r="1739" spans="2:11" x14ac:dyDescent="0.25">
      <c r="B1739" t="s">
        <v>950</v>
      </c>
      <c r="C1739">
        <v>2008</v>
      </c>
      <c r="D1739" s="1">
        <v>125000</v>
      </c>
      <c r="E1739">
        <v>152000</v>
      </c>
      <c r="F1739" t="s">
        <v>152</v>
      </c>
      <c r="G1739" t="s">
        <v>10</v>
      </c>
      <c r="H1739" t="s">
        <v>11</v>
      </c>
      <c r="I1739" t="s">
        <v>18</v>
      </c>
      <c r="J1739">
        <f t="shared" si="54"/>
        <v>18</v>
      </c>
      <c r="K1739" t="str">
        <f t="shared" si="55"/>
        <v>Budget</v>
      </c>
    </row>
    <row r="1740" spans="2:11" x14ac:dyDescent="0.25">
      <c r="B1740" t="s">
        <v>507</v>
      </c>
      <c r="C1740">
        <v>1998</v>
      </c>
      <c r="D1740" s="1">
        <v>69000</v>
      </c>
      <c r="E1740">
        <v>70000</v>
      </c>
      <c r="F1740" t="s">
        <v>9</v>
      </c>
      <c r="G1740" t="s">
        <v>10</v>
      </c>
      <c r="H1740" t="s">
        <v>11</v>
      </c>
      <c r="I1740" t="s">
        <v>18</v>
      </c>
      <c r="J1740">
        <f t="shared" si="54"/>
        <v>28</v>
      </c>
      <c r="K1740" t="str">
        <f t="shared" si="55"/>
        <v>Budget</v>
      </c>
    </row>
    <row r="1741" spans="2:11" x14ac:dyDescent="0.25">
      <c r="B1741" t="s">
        <v>612</v>
      </c>
      <c r="C1741">
        <v>2012</v>
      </c>
      <c r="D1741" s="1">
        <v>130000</v>
      </c>
      <c r="E1741">
        <v>90000</v>
      </c>
      <c r="F1741" t="s">
        <v>15</v>
      </c>
      <c r="G1741" t="s">
        <v>10</v>
      </c>
      <c r="H1741" t="s">
        <v>11</v>
      </c>
      <c r="I1741" t="s">
        <v>18</v>
      </c>
      <c r="J1741">
        <f t="shared" si="54"/>
        <v>14</v>
      </c>
      <c r="K1741" t="str">
        <f t="shared" si="55"/>
        <v>Budget</v>
      </c>
    </row>
    <row r="1742" spans="2:11" x14ac:dyDescent="0.25">
      <c r="B1742" t="s">
        <v>909</v>
      </c>
      <c r="C1742">
        <v>2019</v>
      </c>
      <c r="D1742" s="1">
        <v>630000</v>
      </c>
      <c r="E1742">
        <v>40000</v>
      </c>
      <c r="F1742" t="s">
        <v>9</v>
      </c>
      <c r="G1742" t="s">
        <v>10</v>
      </c>
      <c r="H1742" t="s">
        <v>11</v>
      </c>
      <c r="I1742" t="s">
        <v>12</v>
      </c>
      <c r="J1742">
        <f t="shared" si="54"/>
        <v>7</v>
      </c>
      <c r="K1742" t="str">
        <f t="shared" si="55"/>
        <v>Mid Range</v>
      </c>
    </row>
    <row r="1743" spans="2:11" x14ac:dyDescent="0.25">
      <c r="B1743" t="s">
        <v>982</v>
      </c>
      <c r="C1743">
        <v>2016</v>
      </c>
      <c r="D1743" s="1">
        <v>330000</v>
      </c>
      <c r="E1743">
        <v>50000</v>
      </c>
      <c r="F1743" t="s">
        <v>9</v>
      </c>
      <c r="G1743" t="s">
        <v>10</v>
      </c>
      <c r="H1743" t="s">
        <v>11</v>
      </c>
      <c r="I1743" t="s">
        <v>18</v>
      </c>
      <c r="J1743">
        <f t="shared" si="54"/>
        <v>10</v>
      </c>
      <c r="K1743" t="str">
        <f t="shared" si="55"/>
        <v>Budget</v>
      </c>
    </row>
    <row r="1744" spans="2:11" x14ac:dyDescent="0.25">
      <c r="B1744" t="s">
        <v>54</v>
      </c>
      <c r="C1744">
        <v>2014</v>
      </c>
      <c r="D1744" s="1">
        <v>340000</v>
      </c>
      <c r="E1744">
        <v>15000</v>
      </c>
      <c r="F1744" t="s">
        <v>9</v>
      </c>
      <c r="G1744" t="s">
        <v>10</v>
      </c>
      <c r="H1744" t="s">
        <v>11</v>
      </c>
      <c r="I1744" t="s">
        <v>18</v>
      </c>
      <c r="J1744">
        <f t="shared" si="54"/>
        <v>12</v>
      </c>
      <c r="K1744" t="str">
        <f t="shared" si="55"/>
        <v>Budget</v>
      </c>
    </row>
    <row r="1745" spans="2:11" x14ac:dyDescent="0.25">
      <c r="B1745" t="s">
        <v>573</v>
      </c>
      <c r="C1745">
        <v>2006</v>
      </c>
      <c r="D1745" s="1">
        <v>60000</v>
      </c>
      <c r="E1745">
        <v>120000</v>
      </c>
      <c r="F1745" t="s">
        <v>9</v>
      </c>
      <c r="G1745" t="s">
        <v>10</v>
      </c>
      <c r="H1745" t="s">
        <v>11</v>
      </c>
      <c r="I1745" t="s">
        <v>49</v>
      </c>
      <c r="J1745">
        <f t="shared" si="54"/>
        <v>20</v>
      </c>
      <c r="K1745" t="str">
        <f t="shared" si="55"/>
        <v>Budget</v>
      </c>
    </row>
    <row r="1746" spans="2:11" x14ac:dyDescent="0.25">
      <c r="B1746" t="s">
        <v>983</v>
      </c>
      <c r="C1746">
        <v>2014</v>
      </c>
      <c r="D1746" s="1">
        <v>550000</v>
      </c>
      <c r="E1746">
        <v>78322</v>
      </c>
      <c r="F1746" t="s">
        <v>15</v>
      </c>
      <c r="G1746" t="s">
        <v>10</v>
      </c>
      <c r="H1746" t="s">
        <v>11</v>
      </c>
      <c r="I1746" t="s">
        <v>12</v>
      </c>
      <c r="J1746">
        <f t="shared" si="54"/>
        <v>12</v>
      </c>
      <c r="K1746" t="str">
        <f t="shared" si="55"/>
        <v>Mid Range</v>
      </c>
    </row>
    <row r="1747" spans="2:11" x14ac:dyDescent="0.25">
      <c r="B1747" t="s">
        <v>118</v>
      </c>
      <c r="C1747">
        <v>2014</v>
      </c>
      <c r="D1747" s="1">
        <v>480000</v>
      </c>
      <c r="E1747">
        <v>110000</v>
      </c>
      <c r="F1747" t="s">
        <v>15</v>
      </c>
      <c r="G1747" t="s">
        <v>10</v>
      </c>
      <c r="H1747" t="s">
        <v>11</v>
      </c>
      <c r="I1747" t="s">
        <v>18</v>
      </c>
      <c r="J1747">
        <f t="shared" si="54"/>
        <v>12</v>
      </c>
      <c r="K1747" t="str">
        <f t="shared" si="55"/>
        <v>Budget</v>
      </c>
    </row>
    <row r="1748" spans="2:11" x14ac:dyDescent="0.25">
      <c r="B1748" t="s">
        <v>243</v>
      </c>
      <c r="C1748">
        <v>2013</v>
      </c>
      <c r="D1748" s="1">
        <v>315000</v>
      </c>
      <c r="E1748">
        <v>80000</v>
      </c>
      <c r="F1748" t="s">
        <v>15</v>
      </c>
      <c r="G1748" t="s">
        <v>10</v>
      </c>
      <c r="H1748" t="s">
        <v>11</v>
      </c>
      <c r="I1748" t="s">
        <v>18</v>
      </c>
      <c r="J1748">
        <f t="shared" si="54"/>
        <v>13</v>
      </c>
      <c r="K1748" t="str">
        <f t="shared" si="55"/>
        <v>Budget</v>
      </c>
    </row>
    <row r="1749" spans="2:11" x14ac:dyDescent="0.25">
      <c r="B1749" t="s">
        <v>560</v>
      </c>
      <c r="C1749">
        <v>2012</v>
      </c>
      <c r="D1749" s="1">
        <v>165000</v>
      </c>
      <c r="E1749">
        <v>120000</v>
      </c>
      <c r="F1749" t="s">
        <v>15</v>
      </c>
      <c r="G1749" t="s">
        <v>10</v>
      </c>
      <c r="H1749" t="s">
        <v>11</v>
      </c>
      <c r="I1749" t="s">
        <v>12</v>
      </c>
      <c r="J1749">
        <f t="shared" si="54"/>
        <v>14</v>
      </c>
      <c r="K1749" t="str">
        <f t="shared" si="55"/>
        <v>Budget</v>
      </c>
    </row>
    <row r="1750" spans="2:11" x14ac:dyDescent="0.25">
      <c r="B1750" t="s">
        <v>353</v>
      </c>
      <c r="C1750">
        <v>2016</v>
      </c>
      <c r="D1750" s="1">
        <v>170000</v>
      </c>
      <c r="E1750">
        <v>125000</v>
      </c>
      <c r="F1750" t="s">
        <v>9</v>
      </c>
      <c r="G1750" t="s">
        <v>10</v>
      </c>
      <c r="H1750" t="s">
        <v>11</v>
      </c>
      <c r="I1750" t="s">
        <v>12</v>
      </c>
      <c r="J1750">
        <f t="shared" si="54"/>
        <v>10</v>
      </c>
      <c r="K1750" t="str">
        <f t="shared" si="55"/>
        <v>Budget</v>
      </c>
    </row>
    <row r="1751" spans="2:11" x14ac:dyDescent="0.25">
      <c r="B1751" t="s">
        <v>121</v>
      </c>
      <c r="C1751">
        <v>2018</v>
      </c>
      <c r="D1751" s="1">
        <v>550000</v>
      </c>
      <c r="E1751">
        <v>8000</v>
      </c>
      <c r="F1751" t="s">
        <v>9</v>
      </c>
      <c r="G1751" t="s">
        <v>10</v>
      </c>
      <c r="H1751" t="s">
        <v>11</v>
      </c>
      <c r="I1751" t="s">
        <v>12</v>
      </c>
      <c r="J1751">
        <f t="shared" si="54"/>
        <v>8</v>
      </c>
      <c r="K1751" t="str">
        <f t="shared" si="55"/>
        <v>Mid Range</v>
      </c>
    </row>
    <row r="1752" spans="2:11" x14ac:dyDescent="0.25">
      <c r="B1752" t="s">
        <v>984</v>
      </c>
      <c r="C1752">
        <v>2018</v>
      </c>
      <c r="D1752" s="1">
        <v>465000</v>
      </c>
      <c r="E1752">
        <v>13000</v>
      </c>
      <c r="F1752" t="s">
        <v>9</v>
      </c>
      <c r="G1752" t="s">
        <v>10</v>
      </c>
      <c r="H1752" t="s">
        <v>11</v>
      </c>
      <c r="I1752" t="s">
        <v>12</v>
      </c>
      <c r="J1752">
        <f t="shared" si="54"/>
        <v>8</v>
      </c>
      <c r="K1752" t="str">
        <f t="shared" si="55"/>
        <v>Budget</v>
      </c>
    </row>
    <row r="1753" spans="2:11" x14ac:dyDescent="0.25">
      <c r="B1753" t="s">
        <v>363</v>
      </c>
      <c r="C1753">
        <v>2012</v>
      </c>
      <c r="D1753" s="1">
        <v>120000</v>
      </c>
      <c r="E1753">
        <v>80000</v>
      </c>
      <c r="F1753" t="s">
        <v>15</v>
      </c>
      <c r="G1753" t="s">
        <v>10</v>
      </c>
      <c r="H1753" t="s">
        <v>11</v>
      </c>
      <c r="I1753" t="s">
        <v>49</v>
      </c>
      <c r="J1753">
        <f t="shared" si="54"/>
        <v>14</v>
      </c>
      <c r="K1753" t="str">
        <f t="shared" si="55"/>
        <v>Budget</v>
      </c>
    </row>
    <row r="1754" spans="2:11" x14ac:dyDescent="0.25">
      <c r="B1754" t="s">
        <v>985</v>
      </c>
      <c r="C1754">
        <v>2008</v>
      </c>
      <c r="D1754" s="1">
        <v>220000</v>
      </c>
      <c r="E1754">
        <v>54309</v>
      </c>
      <c r="F1754" t="s">
        <v>9</v>
      </c>
      <c r="G1754" t="s">
        <v>10</v>
      </c>
      <c r="H1754" t="s">
        <v>11</v>
      </c>
      <c r="I1754" t="s">
        <v>12</v>
      </c>
      <c r="J1754">
        <f t="shared" si="54"/>
        <v>18</v>
      </c>
      <c r="K1754" t="str">
        <f t="shared" si="55"/>
        <v>Budget</v>
      </c>
    </row>
    <row r="1755" spans="2:11" x14ac:dyDescent="0.25">
      <c r="B1755" t="s">
        <v>716</v>
      </c>
      <c r="C1755">
        <v>2011</v>
      </c>
      <c r="D1755" s="1">
        <v>180000</v>
      </c>
      <c r="E1755">
        <v>70000</v>
      </c>
      <c r="F1755" t="s">
        <v>15</v>
      </c>
      <c r="G1755" t="s">
        <v>10</v>
      </c>
      <c r="H1755" t="s">
        <v>11</v>
      </c>
      <c r="I1755" t="s">
        <v>18</v>
      </c>
      <c r="J1755">
        <f t="shared" si="54"/>
        <v>15</v>
      </c>
      <c r="K1755" t="str">
        <f t="shared" si="55"/>
        <v>Budget</v>
      </c>
    </row>
    <row r="1756" spans="2:11" x14ac:dyDescent="0.25">
      <c r="B1756" t="s">
        <v>986</v>
      </c>
      <c r="C1756">
        <v>2006</v>
      </c>
      <c r="D1756" s="1">
        <v>150000</v>
      </c>
      <c r="E1756">
        <v>34600</v>
      </c>
      <c r="F1756" t="s">
        <v>9</v>
      </c>
      <c r="G1756" t="s">
        <v>10</v>
      </c>
      <c r="H1756" t="s">
        <v>11</v>
      </c>
      <c r="I1756" t="s">
        <v>49</v>
      </c>
      <c r="J1756">
        <f t="shared" si="54"/>
        <v>20</v>
      </c>
      <c r="K1756" t="str">
        <f t="shared" si="55"/>
        <v>Budget</v>
      </c>
    </row>
    <row r="1757" spans="2:11" x14ac:dyDescent="0.25">
      <c r="B1757" t="s">
        <v>644</v>
      </c>
      <c r="C1757">
        <v>2016</v>
      </c>
      <c r="D1757" s="1">
        <v>520000</v>
      </c>
      <c r="E1757">
        <v>25000</v>
      </c>
      <c r="F1757" t="s">
        <v>9</v>
      </c>
      <c r="G1757" t="s">
        <v>10</v>
      </c>
      <c r="H1757" t="s">
        <v>11</v>
      </c>
      <c r="I1757" t="s">
        <v>12</v>
      </c>
      <c r="J1757">
        <f t="shared" si="54"/>
        <v>10</v>
      </c>
      <c r="K1757" t="str">
        <f t="shared" si="55"/>
        <v>Mid Range</v>
      </c>
    </row>
    <row r="1758" spans="2:11" x14ac:dyDescent="0.25">
      <c r="B1758" t="s">
        <v>983</v>
      </c>
      <c r="C1758">
        <v>2013</v>
      </c>
      <c r="D1758" s="1">
        <v>430000</v>
      </c>
      <c r="E1758">
        <v>80000</v>
      </c>
      <c r="F1758" t="s">
        <v>15</v>
      </c>
      <c r="G1758" t="s">
        <v>10</v>
      </c>
      <c r="H1758" t="s">
        <v>11</v>
      </c>
      <c r="I1758" t="s">
        <v>49</v>
      </c>
      <c r="J1758">
        <f t="shared" si="54"/>
        <v>13</v>
      </c>
      <c r="K1758" t="str">
        <f t="shared" si="55"/>
        <v>Budget</v>
      </c>
    </row>
    <row r="1759" spans="2:11" x14ac:dyDescent="0.25">
      <c r="B1759" t="s">
        <v>987</v>
      </c>
      <c r="C1759">
        <v>2009</v>
      </c>
      <c r="D1759" s="1">
        <v>300000</v>
      </c>
      <c r="E1759">
        <v>55000</v>
      </c>
      <c r="F1759" t="s">
        <v>15</v>
      </c>
      <c r="G1759" t="s">
        <v>10</v>
      </c>
      <c r="H1759" t="s">
        <v>11</v>
      </c>
      <c r="I1759" t="s">
        <v>18</v>
      </c>
      <c r="J1759">
        <f t="shared" si="54"/>
        <v>17</v>
      </c>
      <c r="K1759" t="str">
        <f t="shared" si="55"/>
        <v>Budget</v>
      </c>
    </row>
    <row r="1760" spans="2:11" x14ac:dyDescent="0.25">
      <c r="B1760" t="s">
        <v>30</v>
      </c>
      <c r="C1760">
        <v>2020</v>
      </c>
      <c r="D1760" s="1">
        <v>1000000</v>
      </c>
      <c r="E1760">
        <v>5000</v>
      </c>
      <c r="F1760" t="s">
        <v>15</v>
      </c>
      <c r="G1760" t="s">
        <v>10</v>
      </c>
      <c r="H1760" t="s">
        <v>11</v>
      </c>
      <c r="I1760" t="s">
        <v>12</v>
      </c>
      <c r="J1760">
        <f t="shared" si="54"/>
        <v>6</v>
      </c>
      <c r="K1760" t="str">
        <f t="shared" si="55"/>
        <v>Mid Range</v>
      </c>
    </row>
    <row r="1761" spans="2:11" x14ac:dyDescent="0.25">
      <c r="B1761" t="s">
        <v>771</v>
      </c>
      <c r="C1761">
        <v>2017</v>
      </c>
      <c r="D1761" s="1">
        <v>725000</v>
      </c>
      <c r="E1761">
        <v>30000</v>
      </c>
      <c r="F1761" t="s">
        <v>15</v>
      </c>
      <c r="G1761" t="s">
        <v>10</v>
      </c>
      <c r="H1761" t="s">
        <v>11</v>
      </c>
      <c r="I1761" t="s">
        <v>12</v>
      </c>
      <c r="J1761">
        <f t="shared" si="54"/>
        <v>9</v>
      </c>
      <c r="K1761" t="str">
        <f t="shared" si="55"/>
        <v>Mid Range</v>
      </c>
    </row>
    <row r="1762" spans="2:11" x14ac:dyDescent="0.25">
      <c r="B1762" t="s">
        <v>988</v>
      </c>
      <c r="C1762">
        <v>2011</v>
      </c>
      <c r="D1762" s="1">
        <v>500000</v>
      </c>
      <c r="E1762">
        <v>31000</v>
      </c>
      <c r="F1762" t="s">
        <v>15</v>
      </c>
      <c r="G1762" t="s">
        <v>10</v>
      </c>
      <c r="H1762" t="s">
        <v>11</v>
      </c>
      <c r="I1762" t="s">
        <v>12</v>
      </c>
      <c r="J1762">
        <f t="shared" si="54"/>
        <v>15</v>
      </c>
      <c r="K1762" t="str">
        <f t="shared" si="55"/>
        <v>Mid Range</v>
      </c>
    </row>
    <row r="1763" spans="2:11" x14ac:dyDescent="0.25">
      <c r="B1763" t="s">
        <v>500</v>
      </c>
      <c r="C1763">
        <v>2011</v>
      </c>
      <c r="D1763" s="1">
        <v>250000</v>
      </c>
      <c r="E1763">
        <v>50000</v>
      </c>
      <c r="F1763" t="s">
        <v>9</v>
      </c>
      <c r="G1763" t="s">
        <v>10</v>
      </c>
      <c r="H1763" t="s">
        <v>11</v>
      </c>
      <c r="I1763" t="s">
        <v>12</v>
      </c>
      <c r="J1763">
        <f t="shared" si="54"/>
        <v>15</v>
      </c>
      <c r="K1763" t="str">
        <f t="shared" si="55"/>
        <v>Budget</v>
      </c>
    </row>
    <row r="1764" spans="2:11" x14ac:dyDescent="0.25">
      <c r="B1764" t="s">
        <v>114</v>
      </c>
      <c r="C1764">
        <v>2018</v>
      </c>
      <c r="D1764" s="1">
        <v>700000</v>
      </c>
      <c r="E1764">
        <v>38217</v>
      </c>
      <c r="F1764" t="s">
        <v>15</v>
      </c>
      <c r="G1764" t="s">
        <v>10</v>
      </c>
      <c r="H1764" t="s">
        <v>11</v>
      </c>
      <c r="I1764" t="s">
        <v>12</v>
      </c>
      <c r="J1764">
        <f t="shared" si="54"/>
        <v>8</v>
      </c>
      <c r="K1764" t="str">
        <f t="shared" si="55"/>
        <v>Mid Range</v>
      </c>
    </row>
    <row r="1765" spans="2:11" x14ac:dyDescent="0.25">
      <c r="B1765" t="s">
        <v>989</v>
      </c>
      <c r="C1765">
        <v>2011</v>
      </c>
      <c r="D1765" s="1">
        <v>185000</v>
      </c>
      <c r="E1765">
        <v>50000</v>
      </c>
      <c r="F1765" t="s">
        <v>9</v>
      </c>
      <c r="G1765" t="s">
        <v>10</v>
      </c>
      <c r="H1765" t="s">
        <v>11</v>
      </c>
      <c r="I1765" t="s">
        <v>49</v>
      </c>
      <c r="J1765">
        <f t="shared" si="54"/>
        <v>15</v>
      </c>
      <c r="K1765" t="str">
        <f t="shared" si="55"/>
        <v>Budget</v>
      </c>
    </row>
    <row r="1766" spans="2:11" x14ac:dyDescent="0.25">
      <c r="B1766" t="s">
        <v>295</v>
      </c>
      <c r="C1766">
        <v>2011</v>
      </c>
      <c r="D1766" s="1">
        <v>200000</v>
      </c>
      <c r="E1766">
        <v>120000</v>
      </c>
      <c r="F1766" t="s">
        <v>15</v>
      </c>
      <c r="G1766" t="s">
        <v>10</v>
      </c>
      <c r="H1766" t="s">
        <v>11</v>
      </c>
      <c r="I1766" t="s">
        <v>12</v>
      </c>
      <c r="J1766">
        <f t="shared" si="54"/>
        <v>15</v>
      </c>
      <c r="K1766" t="str">
        <f t="shared" si="55"/>
        <v>Budget</v>
      </c>
    </row>
    <row r="1767" spans="2:11" x14ac:dyDescent="0.25">
      <c r="B1767" t="s">
        <v>662</v>
      </c>
      <c r="C1767">
        <v>2004</v>
      </c>
      <c r="D1767" s="1">
        <v>315000</v>
      </c>
      <c r="E1767">
        <v>110000</v>
      </c>
      <c r="F1767" t="s">
        <v>15</v>
      </c>
      <c r="G1767" t="s">
        <v>10</v>
      </c>
      <c r="H1767" t="s">
        <v>11</v>
      </c>
      <c r="I1767" t="s">
        <v>49</v>
      </c>
      <c r="J1767">
        <f t="shared" si="54"/>
        <v>22</v>
      </c>
      <c r="K1767" t="str">
        <f t="shared" si="55"/>
        <v>Budget</v>
      </c>
    </row>
    <row r="1768" spans="2:11" x14ac:dyDescent="0.25">
      <c r="B1768" t="s">
        <v>990</v>
      </c>
      <c r="C1768">
        <v>2019</v>
      </c>
      <c r="D1768" s="1">
        <v>1700000</v>
      </c>
      <c r="E1768">
        <v>10000</v>
      </c>
      <c r="F1768" t="s">
        <v>15</v>
      </c>
      <c r="G1768" t="s">
        <v>10</v>
      </c>
      <c r="H1768" t="s">
        <v>11</v>
      </c>
      <c r="I1768" t="s">
        <v>12</v>
      </c>
      <c r="J1768">
        <f t="shared" si="54"/>
        <v>7</v>
      </c>
      <c r="K1768" t="str">
        <f t="shared" si="55"/>
        <v>Premium</v>
      </c>
    </row>
    <row r="1769" spans="2:11" x14ac:dyDescent="0.25">
      <c r="B1769" t="s">
        <v>991</v>
      </c>
      <c r="C1769">
        <v>2016</v>
      </c>
      <c r="D1769" s="1">
        <v>370000</v>
      </c>
      <c r="E1769">
        <v>60000</v>
      </c>
      <c r="F1769" t="s">
        <v>9</v>
      </c>
      <c r="G1769" t="s">
        <v>10</v>
      </c>
      <c r="H1769" t="s">
        <v>11</v>
      </c>
      <c r="I1769" t="s">
        <v>12</v>
      </c>
      <c r="J1769">
        <f t="shared" si="54"/>
        <v>10</v>
      </c>
      <c r="K1769" t="str">
        <f t="shared" si="55"/>
        <v>Budget</v>
      </c>
    </row>
    <row r="1770" spans="2:11" x14ac:dyDescent="0.25">
      <c r="B1770" t="s">
        <v>992</v>
      </c>
      <c r="C1770">
        <v>2011</v>
      </c>
      <c r="D1770" s="1">
        <v>250000</v>
      </c>
      <c r="E1770">
        <v>50000</v>
      </c>
      <c r="F1770" t="s">
        <v>9</v>
      </c>
      <c r="G1770" t="s">
        <v>10</v>
      </c>
      <c r="H1770" t="s">
        <v>11</v>
      </c>
      <c r="I1770" t="s">
        <v>12</v>
      </c>
      <c r="J1770">
        <f t="shared" si="54"/>
        <v>15</v>
      </c>
      <c r="K1770" t="str">
        <f t="shared" si="55"/>
        <v>Budget</v>
      </c>
    </row>
    <row r="1771" spans="2:11" x14ac:dyDescent="0.25">
      <c r="B1771" t="s">
        <v>993</v>
      </c>
      <c r="C1771">
        <v>2019</v>
      </c>
      <c r="D1771" s="1">
        <v>500000</v>
      </c>
      <c r="E1771">
        <v>15000</v>
      </c>
      <c r="F1771" t="s">
        <v>9</v>
      </c>
      <c r="G1771" t="s">
        <v>10</v>
      </c>
      <c r="H1771" t="s">
        <v>11</v>
      </c>
      <c r="I1771" t="s">
        <v>12</v>
      </c>
      <c r="J1771">
        <f t="shared" si="54"/>
        <v>7</v>
      </c>
      <c r="K1771" t="str">
        <f t="shared" si="55"/>
        <v>Mid Range</v>
      </c>
    </row>
    <row r="1772" spans="2:11" x14ac:dyDescent="0.25">
      <c r="B1772" t="s">
        <v>994</v>
      </c>
      <c r="C1772">
        <v>2008</v>
      </c>
      <c r="D1772" s="1">
        <v>400000</v>
      </c>
      <c r="E1772">
        <v>35000</v>
      </c>
      <c r="F1772" t="s">
        <v>9</v>
      </c>
      <c r="G1772" t="s">
        <v>10</v>
      </c>
      <c r="H1772" t="s">
        <v>11</v>
      </c>
      <c r="I1772" t="s">
        <v>18</v>
      </c>
      <c r="J1772">
        <f t="shared" si="54"/>
        <v>18</v>
      </c>
      <c r="K1772" t="str">
        <f t="shared" si="55"/>
        <v>Budget</v>
      </c>
    </row>
    <row r="1773" spans="2:11" x14ac:dyDescent="0.25">
      <c r="B1773" t="s">
        <v>995</v>
      </c>
      <c r="C1773">
        <v>2014</v>
      </c>
      <c r="D1773" s="1">
        <v>200000</v>
      </c>
      <c r="E1773">
        <v>100000</v>
      </c>
      <c r="F1773" t="s">
        <v>15</v>
      </c>
      <c r="G1773" t="s">
        <v>10</v>
      </c>
      <c r="H1773" t="s">
        <v>11</v>
      </c>
      <c r="I1773" t="s">
        <v>12</v>
      </c>
      <c r="J1773">
        <f t="shared" si="54"/>
        <v>12</v>
      </c>
      <c r="K1773" t="str">
        <f t="shared" si="55"/>
        <v>Budget</v>
      </c>
    </row>
    <row r="1774" spans="2:11" x14ac:dyDescent="0.25">
      <c r="B1774" t="s">
        <v>114</v>
      </c>
      <c r="C1774">
        <v>2016</v>
      </c>
      <c r="D1774" s="1">
        <v>284000</v>
      </c>
      <c r="E1774">
        <v>40000</v>
      </c>
      <c r="F1774" t="s">
        <v>15</v>
      </c>
      <c r="G1774" t="s">
        <v>10</v>
      </c>
      <c r="H1774" t="s">
        <v>11</v>
      </c>
      <c r="I1774" t="s">
        <v>18</v>
      </c>
      <c r="J1774">
        <f t="shared" si="54"/>
        <v>10</v>
      </c>
      <c r="K1774" t="str">
        <f t="shared" si="55"/>
        <v>Budget</v>
      </c>
    </row>
    <row r="1775" spans="2:11" x14ac:dyDescent="0.25">
      <c r="B1775" t="s">
        <v>996</v>
      </c>
      <c r="C1775">
        <v>2007</v>
      </c>
      <c r="D1775" s="1">
        <v>80000</v>
      </c>
      <c r="E1775">
        <v>60000</v>
      </c>
      <c r="F1775" t="s">
        <v>9</v>
      </c>
      <c r="G1775" t="s">
        <v>10</v>
      </c>
      <c r="H1775" t="s">
        <v>11</v>
      </c>
      <c r="I1775" t="s">
        <v>49</v>
      </c>
      <c r="J1775">
        <f t="shared" si="54"/>
        <v>19</v>
      </c>
      <c r="K1775" t="str">
        <f t="shared" si="55"/>
        <v>Budget</v>
      </c>
    </row>
    <row r="1776" spans="2:11" x14ac:dyDescent="0.25">
      <c r="B1776" t="s">
        <v>703</v>
      </c>
      <c r="C1776">
        <v>2014</v>
      </c>
      <c r="D1776" s="1">
        <v>170000</v>
      </c>
      <c r="E1776">
        <v>77000</v>
      </c>
      <c r="F1776" t="s">
        <v>9</v>
      </c>
      <c r="G1776" t="s">
        <v>10</v>
      </c>
      <c r="H1776" t="s">
        <v>11</v>
      </c>
      <c r="I1776" t="s">
        <v>12</v>
      </c>
      <c r="J1776">
        <f t="shared" si="54"/>
        <v>12</v>
      </c>
      <c r="K1776" t="str">
        <f t="shared" si="55"/>
        <v>Budget</v>
      </c>
    </row>
    <row r="1777" spans="2:11" x14ac:dyDescent="0.25">
      <c r="B1777" t="s">
        <v>470</v>
      </c>
      <c r="C1777">
        <v>2011</v>
      </c>
      <c r="D1777" s="1">
        <v>150000</v>
      </c>
      <c r="E1777">
        <v>60000</v>
      </c>
      <c r="F1777" t="s">
        <v>9</v>
      </c>
      <c r="G1777" t="s">
        <v>10</v>
      </c>
      <c r="H1777" t="s">
        <v>11</v>
      </c>
      <c r="I1777" t="s">
        <v>12</v>
      </c>
      <c r="J1777">
        <f t="shared" si="54"/>
        <v>15</v>
      </c>
      <c r="K1777" t="str">
        <f t="shared" si="55"/>
        <v>Budget</v>
      </c>
    </row>
    <row r="1778" spans="2:11" x14ac:dyDescent="0.25">
      <c r="B1778" t="s">
        <v>842</v>
      </c>
      <c r="C1778">
        <v>2010</v>
      </c>
      <c r="D1778" s="1">
        <v>110000</v>
      </c>
      <c r="E1778">
        <v>77073</v>
      </c>
      <c r="F1778" t="s">
        <v>9</v>
      </c>
      <c r="G1778" t="s">
        <v>10</v>
      </c>
      <c r="H1778" t="s">
        <v>11</v>
      </c>
      <c r="I1778" t="s">
        <v>18</v>
      </c>
      <c r="J1778">
        <f t="shared" si="54"/>
        <v>16</v>
      </c>
      <c r="K1778" t="str">
        <f t="shared" si="55"/>
        <v>Budget</v>
      </c>
    </row>
    <row r="1779" spans="2:11" x14ac:dyDescent="0.25">
      <c r="B1779" t="s">
        <v>281</v>
      </c>
      <c r="C1779">
        <v>2016</v>
      </c>
      <c r="D1779" s="1">
        <v>400000</v>
      </c>
      <c r="E1779">
        <v>70000</v>
      </c>
      <c r="F1779" t="s">
        <v>15</v>
      </c>
      <c r="G1779" t="s">
        <v>10</v>
      </c>
      <c r="H1779" t="s">
        <v>11</v>
      </c>
      <c r="I1779" t="s">
        <v>12</v>
      </c>
      <c r="J1779">
        <f t="shared" si="54"/>
        <v>10</v>
      </c>
      <c r="K1779" t="str">
        <f t="shared" si="55"/>
        <v>Budget</v>
      </c>
    </row>
    <row r="1780" spans="2:11" x14ac:dyDescent="0.25">
      <c r="B1780" t="s">
        <v>445</v>
      </c>
      <c r="C1780">
        <v>2013</v>
      </c>
      <c r="D1780" s="1">
        <v>275000</v>
      </c>
      <c r="E1780">
        <v>90000</v>
      </c>
      <c r="F1780" t="s">
        <v>152</v>
      </c>
      <c r="G1780" t="s">
        <v>10</v>
      </c>
      <c r="H1780" t="s">
        <v>11</v>
      </c>
      <c r="I1780" t="s">
        <v>18</v>
      </c>
      <c r="J1780">
        <f t="shared" si="54"/>
        <v>13</v>
      </c>
      <c r="K1780" t="str">
        <f t="shared" si="55"/>
        <v>Budget</v>
      </c>
    </row>
    <row r="1781" spans="2:11" x14ac:dyDescent="0.25">
      <c r="B1781" t="s">
        <v>42</v>
      </c>
      <c r="C1781">
        <v>2013</v>
      </c>
      <c r="D1781" s="1">
        <v>800000</v>
      </c>
      <c r="E1781">
        <v>186000</v>
      </c>
      <c r="F1781" t="s">
        <v>15</v>
      </c>
      <c r="G1781" t="s">
        <v>10</v>
      </c>
      <c r="H1781" t="s">
        <v>11</v>
      </c>
      <c r="I1781" t="s">
        <v>49</v>
      </c>
      <c r="J1781">
        <f t="shared" si="54"/>
        <v>13</v>
      </c>
      <c r="K1781" t="str">
        <f t="shared" si="55"/>
        <v>Mid Range</v>
      </c>
    </row>
    <row r="1782" spans="2:11" x14ac:dyDescent="0.25">
      <c r="B1782" t="s">
        <v>589</v>
      </c>
      <c r="C1782">
        <v>2014</v>
      </c>
      <c r="D1782" s="1">
        <v>550000</v>
      </c>
      <c r="E1782">
        <v>90000</v>
      </c>
      <c r="F1782" t="s">
        <v>15</v>
      </c>
      <c r="G1782" t="s">
        <v>10</v>
      </c>
      <c r="H1782" t="s">
        <v>11</v>
      </c>
      <c r="I1782" t="s">
        <v>12</v>
      </c>
      <c r="J1782">
        <f t="shared" si="54"/>
        <v>12</v>
      </c>
      <c r="K1782" t="str">
        <f t="shared" si="55"/>
        <v>Mid Range</v>
      </c>
    </row>
    <row r="1783" spans="2:11" x14ac:dyDescent="0.25">
      <c r="B1783" t="s">
        <v>19</v>
      </c>
      <c r="C1783">
        <v>2007</v>
      </c>
      <c r="D1783" s="1">
        <v>125000</v>
      </c>
      <c r="E1783">
        <v>100000</v>
      </c>
      <c r="F1783" t="s">
        <v>9</v>
      </c>
      <c r="G1783" t="s">
        <v>10</v>
      </c>
      <c r="H1783" t="s">
        <v>11</v>
      </c>
      <c r="I1783" t="s">
        <v>18</v>
      </c>
      <c r="J1783">
        <f t="shared" si="54"/>
        <v>19</v>
      </c>
      <c r="K1783" t="str">
        <f t="shared" si="55"/>
        <v>Budget</v>
      </c>
    </row>
    <row r="1784" spans="2:11" x14ac:dyDescent="0.25">
      <c r="B1784" t="s">
        <v>161</v>
      </c>
      <c r="C1784">
        <v>2010</v>
      </c>
      <c r="D1784" s="1">
        <v>135000</v>
      </c>
      <c r="E1784">
        <v>80000</v>
      </c>
      <c r="F1784" t="s">
        <v>9</v>
      </c>
      <c r="G1784" t="s">
        <v>10</v>
      </c>
      <c r="H1784" t="s">
        <v>11</v>
      </c>
      <c r="I1784" t="s">
        <v>18</v>
      </c>
      <c r="J1784">
        <f t="shared" si="54"/>
        <v>16</v>
      </c>
      <c r="K1784" t="str">
        <f t="shared" si="55"/>
        <v>Budget</v>
      </c>
    </row>
    <row r="1785" spans="2:11" x14ac:dyDescent="0.25">
      <c r="B1785" t="s">
        <v>116</v>
      </c>
      <c r="C1785">
        <v>2012</v>
      </c>
      <c r="D1785" s="1">
        <v>349000</v>
      </c>
      <c r="E1785">
        <v>150000</v>
      </c>
      <c r="F1785" t="s">
        <v>15</v>
      </c>
      <c r="G1785" t="s">
        <v>10</v>
      </c>
      <c r="H1785" t="s">
        <v>11</v>
      </c>
      <c r="I1785" t="s">
        <v>12</v>
      </c>
      <c r="J1785">
        <f t="shared" si="54"/>
        <v>14</v>
      </c>
      <c r="K1785" t="str">
        <f t="shared" si="55"/>
        <v>Budget</v>
      </c>
    </row>
    <row r="1786" spans="2:11" x14ac:dyDescent="0.25">
      <c r="B1786" t="s">
        <v>162</v>
      </c>
      <c r="C1786">
        <v>2014</v>
      </c>
      <c r="D1786" s="1">
        <v>458000</v>
      </c>
      <c r="E1786">
        <v>80000</v>
      </c>
      <c r="F1786" t="s">
        <v>15</v>
      </c>
      <c r="G1786" t="s">
        <v>10</v>
      </c>
      <c r="H1786" t="s">
        <v>11</v>
      </c>
      <c r="I1786" t="s">
        <v>12</v>
      </c>
      <c r="J1786">
        <f t="shared" si="54"/>
        <v>12</v>
      </c>
      <c r="K1786" t="str">
        <f t="shared" si="55"/>
        <v>Budget</v>
      </c>
    </row>
    <row r="1787" spans="2:11" x14ac:dyDescent="0.25">
      <c r="B1787" t="s">
        <v>170</v>
      </c>
      <c r="C1787">
        <v>2018</v>
      </c>
      <c r="D1787" s="1">
        <v>300000</v>
      </c>
      <c r="E1787">
        <v>35000</v>
      </c>
      <c r="F1787" t="s">
        <v>9</v>
      </c>
      <c r="G1787" t="s">
        <v>10</v>
      </c>
      <c r="H1787" t="s">
        <v>11</v>
      </c>
      <c r="I1787" t="s">
        <v>12</v>
      </c>
      <c r="J1787">
        <f t="shared" si="54"/>
        <v>8</v>
      </c>
      <c r="K1787" t="str">
        <f t="shared" si="55"/>
        <v>Budget</v>
      </c>
    </row>
    <row r="1788" spans="2:11" x14ac:dyDescent="0.25">
      <c r="B1788" t="s">
        <v>58</v>
      </c>
      <c r="C1788">
        <v>2008</v>
      </c>
      <c r="D1788" s="1">
        <v>95000</v>
      </c>
      <c r="E1788">
        <v>70000</v>
      </c>
      <c r="F1788" t="s">
        <v>9</v>
      </c>
      <c r="G1788" t="s">
        <v>10</v>
      </c>
      <c r="H1788" t="s">
        <v>11</v>
      </c>
      <c r="I1788" t="s">
        <v>12</v>
      </c>
      <c r="J1788">
        <f t="shared" si="54"/>
        <v>18</v>
      </c>
      <c r="K1788" t="str">
        <f t="shared" si="55"/>
        <v>Budget</v>
      </c>
    </row>
    <row r="1789" spans="2:11" x14ac:dyDescent="0.25">
      <c r="B1789" t="s">
        <v>408</v>
      </c>
      <c r="C1789">
        <v>2018</v>
      </c>
      <c r="D1789" s="1">
        <v>850000</v>
      </c>
      <c r="E1789">
        <v>50000</v>
      </c>
      <c r="F1789" t="s">
        <v>15</v>
      </c>
      <c r="G1789" t="s">
        <v>10</v>
      </c>
      <c r="H1789" t="s">
        <v>11</v>
      </c>
      <c r="I1789" t="s">
        <v>12</v>
      </c>
      <c r="J1789">
        <f t="shared" si="54"/>
        <v>8</v>
      </c>
      <c r="K1789" t="str">
        <f t="shared" si="55"/>
        <v>Mid Range</v>
      </c>
    </row>
    <row r="1790" spans="2:11" x14ac:dyDescent="0.25">
      <c r="B1790" t="s">
        <v>910</v>
      </c>
      <c r="C1790">
        <v>2019</v>
      </c>
      <c r="D1790" s="1">
        <v>750000</v>
      </c>
      <c r="E1790">
        <v>25000</v>
      </c>
      <c r="F1790" t="s">
        <v>15</v>
      </c>
      <c r="G1790" t="s">
        <v>10</v>
      </c>
      <c r="H1790" t="s">
        <v>11</v>
      </c>
      <c r="I1790" t="s">
        <v>12</v>
      </c>
      <c r="J1790">
        <f t="shared" si="54"/>
        <v>7</v>
      </c>
      <c r="K1790" t="str">
        <f t="shared" si="55"/>
        <v>Mid Range</v>
      </c>
    </row>
    <row r="1791" spans="2:11" x14ac:dyDescent="0.25">
      <c r="B1791" t="s">
        <v>304</v>
      </c>
      <c r="C1791">
        <v>2013</v>
      </c>
      <c r="D1791" s="1">
        <v>190000</v>
      </c>
      <c r="E1791">
        <v>120000</v>
      </c>
      <c r="F1791" t="s">
        <v>15</v>
      </c>
      <c r="G1791" t="s">
        <v>10</v>
      </c>
      <c r="H1791" t="s">
        <v>11</v>
      </c>
      <c r="I1791" t="s">
        <v>12</v>
      </c>
      <c r="J1791">
        <f t="shared" si="54"/>
        <v>13</v>
      </c>
      <c r="K1791" t="str">
        <f t="shared" si="55"/>
        <v>Budget</v>
      </c>
    </row>
    <row r="1792" spans="2:11" x14ac:dyDescent="0.25">
      <c r="B1792" t="s">
        <v>13</v>
      </c>
      <c r="C1792">
        <v>2009</v>
      </c>
      <c r="D1792" s="1">
        <v>150000</v>
      </c>
      <c r="E1792">
        <v>70000</v>
      </c>
      <c r="F1792" t="s">
        <v>9</v>
      </c>
      <c r="G1792" t="s">
        <v>10</v>
      </c>
      <c r="H1792" t="s">
        <v>11</v>
      </c>
      <c r="I1792" t="s">
        <v>12</v>
      </c>
      <c r="J1792">
        <f t="shared" si="54"/>
        <v>17</v>
      </c>
      <c r="K1792" t="str">
        <f t="shared" si="55"/>
        <v>Budget</v>
      </c>
    </row>
    <row r="1793" spans="2:11" x14ac:dyDescent="0.25">
      <c r="B1793" t="s">
        <v>997</v>
      </c>
      <c r="C1793">
        <v>2009</v>
      </c>
      <c r="D1793" s="1">
        <v>114999</v>
      </c>
      <c r="E1793">
        <v>106000</v>
      </c>
      <c r="F1793" t="s">
        <v>9</v>
      </c>
      <c r="G1793" t="s">
        <v>10</v>
      </c>
      <c r="H1793" t="s">
        <v>11</v>
      </c>
      <c r="I1793" t="s">
        <v>49</v>
      </c>
      <c r="J1793">
        <f t="shared" si="54"/>
        <v>17</v>
      </c>
      <c r="K1793" t="str">
        <f t="shared" si="55"/>
        <v>Budget</v>
      </c>
    </row>
    <row r="1794" spans="2:11" x14ac:dyDescent="0.25">
      <c r="B1794" t="s">
        <v>998</v>
      </c>
      <c r="C1794">
        <v>2010</v>
      </c>
      <c r="D1794" s="1">
        <v>320000</v>
      </c>
      <c r="E1794">
        <v>120000</v>
      </c>
      <c r="F1794" t="s">
        <v>9</v>
      </c>
      <c r="G1794" t="s">
        <v>10</v>
      </c>
      <c r="H1794" t="s">
        <v>11</v>
      </c>
      <c r="I1794" t="s">
        <v>49</v>
      </c>
      <c r="J1794">
        <f t="shared" si="54"/>
        <v>16</v>
      </c>
      <c r="K1794" t="str">
        <f t="shared" si="55"/>
        <v>Budget</v>
      </c>
    </row>
    <row r="1795" spans="2:11" x14ac:dyDescent="0.25">
      <c r="B1795" t="s">
        <v>999</v>
      </c>
      <c r="C1795">
        <v>2019</v>
      </c>
      <c r="D1795" s="1">
        <v>300000</v>
      </c>
      <c r="E1795">
        <v>120000</v>
      </c>
      <c r="F1795" t="s">
        <v>24</v>
      </c>
      <c r="G1795" t="s">
        <v>10</v>
      </c>
      <c r="H1795" t="s">
        <v>11</v>
      </c>
      <c r="I1795" t="s">
        <v>12</v>
      </c>
      <c r="J1795">
        <f t="shared" si="54"/>
        <v>7</v>
      </c>
      <c r="K1795" t="str">
        <f t="shared" si="55"/>
        <v>Budget</v>
      </c>
    </row>
    <row r="1796" spans="2:11" x14ac:dyDescent="0.25">
      <c r="B1796" t="s">
        <v>1000</v>
      </c>
      <c r="C1796">
        <v>2016</v>
      </c>
      <c r="D1796" s="1">
        <v>275000</v>
      </c>
      <c r="E1796">
        <v>160000</v>
      </c>
      <c r="F1796" t="s">
        <v>9</v>
      </c>
      <c r="G1796" t="s">
        <v>10</v>
      </c>
      <c r="H1796" t="s">
        <v>11</v>
      </c>
      <c r="I1796" t="s">
        <v>12</v>
      </c>
      <c r="J1796">
        <f t="shared" si="54"/>
        <v>10</v>
      </c>
      <c r="K1796" t="str">
        <f t="shared" si="55"/>
        <v>Budget</v>
      </c>
    </row>
    <row r="1797" spans="2:11" x14ac:dyDescent="0.25">
      <c r="B1797" t="s">
        <v>1001</v>
      </c>
      <c r="C1797">
        <v>2010</v>
      </c>
      <c r="D1797" s="1">
        <v>140000</v>
      </c>
      <c r="E1797">
        <v>120000</v>
      </c>
      <c r="F1797" t="s">
        <v>9</v>
      </c>
      <c r="G1797" t="s">
        <v>10</v>
      </c>
      <c r="H1797" t="s">
        <v>11</v>
      </c>
      <c r="I1797" t="s">
        <v>18</v>
      </c>
      <c r="J1797">
        <f t="shared" si="54"/>
        <v>16</v>
      </c>
      <c r="K1797" t="str">
        <f t="shared" si="55"/>
        <v>Budget</v>
      </c>
    </row>
    <row r="1798" spans="2:11" x14ac:dyDescent="0.25">
      <c r="B1798" t="s">
        <v>1002</v>
      </c>
      <c r="C1798">
        <v>2020</v>
      </c>
      <c r="D1798" s="1">
        <v>830000</v>
      </c>
      <c r="E1798">
        <v>10000</v>
      </c>
      <c r="F1798" t="s">
        <v>9</v>
      </c>
      <c r="G1798" t="s">
        <v>10</v>
      </c>
      <c r="H1798" t="s">
        <v>11</v>
      </c>
      <c r="I1798" t="s">
        <v>12</v>
      </c>
      <c r="J1798">
        <f t="shared" ref="J1798:J1861" si="56">2026 - C1798</f>
        <v>6</v>
      </c>
      <c r="K1798" t="str">
        <f t="shared" ref="K1798:K1861" si="57">IF(D1798&lt;500000,"Budget",IF(D1798&lt;=1000000,"Mid Range","Premium"))</f>
        <v>Mid Range</v>
      </c>
    </row>
    <row r="1799" spans="2:11" x14ac:dyDescent="0.25">
      <c r="B1799" t="s">
        <v>1003</v>
      </c>
      <c r="C1799">
        <v>2013</v>
      </c>
      <c r="D1799" s="1">
        <v>380000</v>
      </c>
      <c r="E1799">
        <v>50000</v>
      </c>
      <c r="F1799" t="s">
        <v>9</v>
      </c>
      <c r="G1799" t="s">
        <v>10</v>
      </c>
      <c r="H1799" t="s">
        <v>11</v>
      </c>
      <c r="I1799" t="s">
        <v>12</v>
      </c>
      <c r="J1799">
        <f t="shared" si="56"/>
        <v>13</v>
      </c>
      <c r="K1799" t="str">
        <f t="shared" si="57"/>
        <v>Budget</v>
      </c>
    </row>
    <row r="1800" spans="2:11" x14ac:dyDescent="0.25">
      <c r="B1800" t="s">
        <v>928</v>
      </c>
      <c r="C1800">
        <v>2010</v>
      </c>
      <c r="D1800" s="1">
        <v>150000</v>
      </c>
      <c r="E1800">
        <v>90000</v>
      </c>
      <c r="F1800" t="s">
        <v>9</v>
      </c>
      <c r="G1800" t="s">
        <v>10</v>
      </c>
      <c r="H1800" t="s">
        <v>11</v>
      </c>
      <c r="I1800" t="s">
        <v>18</v>
      </c>
      <c r="J1800">
        <f t="shared" si="56"/>
        <v>16</v>
      </c>
      <c r="K1800" t="str">
        <f t="shared" si="57"/>
        <v>Budget</v>
      </c>
    </row>
    <row r="1801" spans="2:11" x14ac:dyDescent="0.25">
      <c r="B1801" t="s">
        <v>135</v>
      </c>
      <c r="C1801">
        <v>2008</v>
      </c>
      <c r="D1801" s="1">
        <v>50000</v>
      </c>
      <c r="E1801">
        <v>70000</v>
      </c>
      <c r="F1801" t="s">
        <v>9</v>
      </c>
      <c r="G1801" t="s">
        <v>10</v>
      </c>
      <c r="H1801" t="s">
        <v>11</v>
      </c>
      <c r="I1801" t="s">
        <v>12</v>
      </c>
      <c r="J1801">
        <f t="shared" si="56"/>
        <v>18</v>
      </c>
      <c r="K1801" t="str">
        <f t="shared" si="57"/>
        <v>Budget</v>
      </c>
    </row>
    <row r="1802" spans="2:11" x14ac:dyDescent="0.25">
      <c r="B1802" t="s">
        <v>252</v>
      </c>
      <c r="C1802">
        <v>2008</v>
      </c>
      <c r="D1802" s="1">
        <v>155000</v>
      </c>
      <c r="E1802">
        <v>100000</v>
      </c>
      <c r="F1802" t="s">
        <v>15</v>
      </c>
      <c r="G1802" t="s">
        <v>10</v>
      </c>
      <c r="H1802" t="s">
        <v>11</v>
      </c>
      <c r="I1802" t="s">
        <v>12</v>
      </c>
      <c r="J1802">
        <f t="shared" si="56"/>
        <v>18</v>
      </c>
      <c r="K1802" t="str">
        <f t="shared" si="57"/>
        <v>Budget</v>
      </c>
    </row>
    <row r="1803" spans="2:11" x14ac:dyDescent="0.25">
      <c r="B1803" t="s">
        <v>1004</v>
      </c>
      <c r="C1803">
        <v>2010</v>
      </c>
      <c r="D1803" s="1">
        <v>300000</v>
      </c>
      <c r="E1803">
        <v>80000</v>
      </c>
      <c r="F1803" t="s">
        <v>9</v>
      </c>
      <c r="G1803" t="s">
        <v>10</v>
      </c>
      <c r="H1803" t="s">
        <v>11</v>
      </c>
      <c r="I1803" t="s">
        <v>12</v>
      </c>
      <c r="J1803">
        <f t="shared" si="56"/>
        <v>16</v>
      </c>
      <c r="K1803" t="str">
        <f t="shared" si="57"/>
        <v>Budget</v>
      </c>
    </row>
    <row r="1804" spans="2:11" x14ac:dyDescent="0.25">
      <c r="B1804" t="s">
        <v>249</v>
      </c>
      <c r="C1804">
        <v>2018</v>
      </c>
      <c r="D1804" s="1">
        <v>300000</v>
      </c>
      <c r="E1804">
        <v>16584</v>
      </c>
      <c r="F1804" t="s">
        <v>9</v>
      </c>
      <c r="G1804" t="s">
        <v>27</v>
      </c>
      <c r="H1804" t="s">
        <v>11</v>
      </c>
      <c r="I1804" t="s">
        <v>12</v>
      </c>
      <c r="J1804">
        <f t="shared" si="56"/>
        <v>8</v>
      </c>
      <c r="K1804" t="str">
        <f t="shared" si="57"/>
        <v>Budget</v>
      </c>
    </row>
    <row r="1805" spans="2:11" x14ac:dyDescent="0.25">
      <c r="B1805" t="s">
        <v>1005</v>
      </c>
      <c r="C1805">
        <v>2016</v>
      </c>
      <c r="D1805" s="1">
        <v>385000</v>
      </c>
      <c r="E1805">
        <v>38000</v>
      </c>
      <c r="F1805" t="s">
        <v>15</v>
      </c>
      <c r="G1805" t="s">
        <v>27</v>
      </c>
      <c r="H1805" t="s">
        <v>11</v>
      </c>
      <c r="I1805" t="s">
        <v>12</v>
      </c>
      <c r="J1805">
        <f t="shared" si="56"/>
        <v>10</v>
      </c>
      <c r="K1805" t="str">
        <f t="shared" si="57"/>
        <v>Budget</v>
      </c>
    </row>
    <row r="1806" spans="2:11" x14ac:dyDescent="0.25">
      <c r="B1806" t="s">
        <v>153</v>
      </c>
      <c r="C1806">
        <v>2010</v>
      </c>
      <c r="D1806" s="1">
        <v>221000</v>
      </c>
      <c r="E1806">
        <v>51000</v>
      </c>
      <c r="F1806" t="s">
        <v>9</v>
      </c>
      <c r="G1806" t="s">
        <v>27</v>
      </c>
      <c r="H1806" t="s">
        <v>11</v>
      </c>
      <c r="I1806" t="s">
        <v>12</v>
      </c>
      <c r="J1806">
        <f t="shared" si="56"/>
        <v>16</v>
      </c>
      <c r="K1806" t="str">
        <f t="shared" si="57"/>
        <v>Budget</v>
      </c>
    </row>
    <row r="1807" spans="2:11" x14ac:dyDescent="0.25">
      <c r="B1807" t="s">
        <v>1006</v>
      </c>
      <c r="C1807">
        <v>2016</v>
      </c>
      <c r="D1807" s="1">
        <v>381000</v>
      </c>
      <c r="E1807">
        <v>38000</v>
      </c>
      <c r="F1807" t="s">
        <v>15</v>
      </c>
      <c r="G1807" t="s">
        <v>27</v>
      </c>
      <c r="H1807" t="s">
        <v>11</v>
      </c>
      <c r="I1807" t="s">
        <v>12</v>
      </c>
      <c r="J1807">
        <f t="shared" si="56"/>
        <v>10</v>
      </c>
      <c r="K1807" t="str">
        <f t="shared" si="57"/>
        <v>Budget</v>
      </c>
    </row>
    <row r="1808" spans="2:11" x14ac:dyDescent="0.25">
      <c r="B1808" t="s">
        <v>249</v>
      </c>
      <c r="C1808">
        <v>2015</v>
      </c>
      <c r="D1808" s="1">
        <v>250999</v>
      </c>
      <c r="E1808">
        <v>35000</v>
      </c>
      <c r="F1808" t="s">
        <v>9</v>
      </c>
      <c r="G1808" t="s">
        <v>27</v>
      </c>
      <c r="H1808" t="s">
        <v>11</v>
      </c>
      <c r="I1808" t="s">
        <v>12</v>
      </c>
      <c r="J1808">
        <f t="shared" si="56"/>
        <v>11</v>
      </c>
      <c r="K1808" t="str">
        <f t="shared" si="57"/>
        <v>Budget</v>
      </c>
    </row>
    <row r="1809" spans="2:11" x14ac:dyDescent="0.25">
      <c r="B1809" t="s">
        <v>1007</v>
      </c>
      <c r="C1809">
        <v>2002</v>
      </c>
      <c r="D1809" s="1">
        <v>60000</v>
      </c>
      <c r="E1809">
        <v>120000</v>
      </c>
      <c r="F1809" t="s">
        <v>9</v>
      </c>
      <c r="G1809" t="s">
        <v>10</v>
      </c>
      <c r="H1809" t="s">
        <v>11</v>
      </c>
      <c r="I1809" t="s">
        <v>49</v>
      </c>
      <c r="J1809">
        <f t="shared" si="56"/>
        <v>24</v>
      </c>
      <c r="K1809" t="str">
        <f t="shared" si="57"/>
        <v>Budget</v>
      </c>
    </row>
    <row r="1810" spans="2:11" x14ac:dyDescent="0.25">
      <c r="B1810" t="s">
        <v>1006</v>
      </c>
      <c r="C1810">
        <v>2016</v>
      </c>
      <c r="D1810" s="1">
        <v>380000</v>
      </c>
      <c r="E1810">
        <v>38000</v>
      </c>
      <c r="F1810" t="s">
        <v>15</v>
      </c>
      <c r="G1810" t="s">
        <v>27</v>
      </c>
      <c r="H1810" t="s">
        <v>11</v>
      </c>
      <c r="I1810" t="s">
        <v>12</v>
      </c>
      <c r="J1810">
        <f t="shared" si="56"/>
        <v>10</v>
      </c>
      <c r="K1810" t="str">
        <f t="shared" si="57"/>
        <v>Budget</v>
      </c>
    </row>
    <row r="1811" spans="2:11" x14ac:dyDescent="0.25">
      <c r="B1811" t="s">
        <v>388</v>
      </c>
      <c r="C1811">
        <v>2008</v>
      </c>
      <c r="D1811" s="1">
        <v>180000</v>
      </c>
      <c r="E1811">
        <v>144000</v>
      </c>
      <c r="F1811" t="s">
        <v>15</v>
      </c>
      <c r="G1811" t="s">
        <v>10</v>
      </c>
      <c r="H1811" t="s">
        <v>11</v>
      </c>
      <c r="I1811" t="s">
        <v>49</v>
      </c>
      <c r="J1811">
        <f t="shared" si="56"/>
        <v>18</v>
      </c>
      <c r="K1811" t="str">
        <f t="shared" si="57"/>
        <v>Budget</v>
      </c>
    </row>
    <row r="1812" spans="2:11" x14ac:dyDescent="0.25">
      <c r="B1812" t="s">
        <v>876</v>
      </c>
      <c r="C1812">
        <v>2017</v>
      </c>
      <c r="D1812" s="1">
        <v>751000</v>
      </c>
      <c r="E1812">
        <v>64000</v>
      </c>
      <c r="F1812" t="s">
        <v>15</v>
      </c>
      <c r="G1812" t="s">
        <v>27</v>
      </c>
      <c r="H1812" t="s">
        <v>11</v>
      </c>
      <c r="I1812" t="s">
        <v>12</v>
      </c>
      <c r="J1812">
        <f t="shared" si="56"/>
        <v>9</v>
      </c>
      <c r="K1812" t="str">
        <f t="shared" si="57"/>
        <v>Mid Range</v>
      </c>
    </row>
    <row r="1813" spans="2:11" x14ac:dyDescent="0.25">
      <c r="B1813" t="s">
        <v>1008</v>
      </c>
      <c r="C1813">
        <v>2015</v>
      </c>
      <c r="D1813" s="1">
        <v>1250000</v>
      </c>
      <c r="E1813">
        <v>60000</v>
      </c>
      <c r="F1813" t="s">
        <v>15</v>
      </c>
      <c r="G1813" t="s">
        <v>27</v>
      </c>
      <c r="H1813" t="s">
        <v>28</v>
      </c>
      <c r="I1813" t="s">
        <v>12</v>
      </c>
      <c r="J1813">
        <f t="shared" si="56"/>
        <v>11</v>
      </c>
      <c r="K1813" t="str">
        <f t="shared" si="57"/>
        <v>Premium</v>
      </c>
    </row>
    <row r="1814" spans="2:11" x14ac:dyDescent="0.25">
      <c r="B1814" t="s">
        <v>529</v>
      </c>
      <c r="C1814">
        <v>2014</v>
      </c>
      <c r="D1814" s="1">
        <v>229999</v>
      </c>
      <c r="E1814">
        <v>65000</v>
      </c>
      <c r="F1814" t="s">
        <v>9</v>
      </c>
      <c r="G1814" t="s">
        <v>27</v>
      </c>
      <c r="H1814" t="s">
        <v>11</v>
      </c>
      <c r="I1814" t="s">
        <v>12</v>
      </c>
      <c r="J1814">
        <f t="shared" si="56"/>
        <v>12</v>
      </c>
      <c r="K1814" t="str">
        <f t="shared" si="57"/>
        <v>Budget</v>
      </c>
    </row>
    <row r="1815" spans="2:11" x14ac:dyDescent="0.25">
      <c r="B1815" t="s">
        <v>983</v>
      </c>
      <c r="C1815">
        <v>2019</v>
      </c>
      <c r="D1815" s="1">
        <v>1250000</v>
      </c>
      <c r="E1815">
        <v>24000</v>
      </c>
      <c r="F1815" t="s">
        <v>15</v>
      </c>
      <c r="G1815" t="s">
        <v>10</v>
      </c>
      <c r="H1815" t="s">
        <v>11</v>
      </c>
      <c r="I1815" t="s">
        <v>12</v>
      </c>
      <c r="J1815">
        <f t="shared" si="56"/>
        <v>7</v>
      </c>
      <c r="K1815" t="str">
        <f t="shared" si="57"/>
        <v>Premium</v>
      </c>
    </row>
    <row r="1816" spans="2:11" x14ac:dyDescent="0.25">
      <c r="B1816" t="s">
        <v>1009</v>
      </c>
      <c r="C1816">
        <v>2014</v>
      </c>
      <c r="D1816" s="1">
        <v>782000</v>
      </c>
      <c r="E1816">
        <v>58000</v>
      </c>
      <c r="F1816" t="s">
        <v>15</v>
      </c>
      <c r="G1816" t="s">
        <v>27</v>
      </c>
      <c r="H1816" t="s">
        <v>11</v>
      </c>
      <c r="I1816" t="s">
        <v>18</v>
      </c>
      <c r="J1816">
        <f t="shared" si="56"/>
        <v>12</v>
      </c>
      <c r="K1816" t="str">
        <f t="shared" si="57"/>
        <v>Mid Range</v>
      </c>
    </row>
    <row r="1817" spans="2:11" x14ac:dyDescent="0.25">
      <c r="B1817" t="s">
        <v>1010</v>
      </c>
      <c r="C1817">
        <v>2014</v>
      </c>
      <c r="D1817" s="1">
        <v>780000</v>
      </c>
      <c r="E1817">
        <v>58000</v>
      </c>
      <c r="F1817" t="s">
        <v>15</v>
      </c>
      <c r="G1817" t="s">
        <v>27</v>
      </c>
      <c r="H1817" t="s">
        <v>11</v>
      </c>
      <c r="I1817" t="s">
        <v>18</v>
      </c>
      <c r="J1817">
        <f t="shared" si="56"/>
        <v>12</v>
      </c>
      <c r="K1817" t="str">
        <f t="shared" si="57"/>
        <v>Mid Range</v>
      </c>
    </row>
    <row r="1818" spans="2:11" x14ac:dyDescent="0.25">
      <c r="B1818" t="s">
        <v>249</v>
      </c>
      <c r="C1818">
        <v>2016</v>
      </c>
      <c r="D1818" s="1">
        <v>245000</v>
      </c>
      <c r="E1818">
        <v>68000</v>
      </c>
      <c r="F1818" t="s">
        <v>9</v>
      </c>
      <c r="G1818" t="s">
        <v>27</v>
      </c>
      <c r="H1818" t="s">
        <v>11</v>
      </c>
      <c r="I1818" t="s">
        <v>12</v>
      </c>
      <c r="J1818">
        <f t="shared" si="56"/>
        <v>10</v>
      </c>
      <c r="K1818" t="str">
        <f t="shared" si="57"/>
        <v>Budget</v>
      </c>
    </row>
    <row r="1819" spans="2:11" x14ac:dyDescent="0.25">
      <c r="B1819" t="s">
        <v>837</v>
      </c>
      <c r="C1819">
        <v>2011</v>
      </c>
      <c r="D1819" s="1">
        <v>321000</v>
      </c>
      <c r="E1819">
        <v>81257</v>
      </c>
      <c r="F1819" t="s">
        <v>15</v>
      </c>
      <c r="G1819" t="s">
        <v>27</v>
      </c>
      <c r="H1819" t="s">
        <v>11</v>
      </c>
      <c r="I1819" t="s">
        <v>12</v>
      </c>
      <c r="J1819">
        <f t="shared" si="56"/>
        <v>15</v>
      </c>
      <c r="K1819" t="str">
        <f t="shared" si="57"/>
        <v>Budget</v>
      </c>
    </row>
    <row r="1820" spans="2:11" x14ac:dyDescent="0.25">
      <c r="B1820" t="s">
        <v>921</v>
      </c>
      <c r="C1820">
        <v>2017</v>
      </c>
      <c r="D1820" s="1">
        <v>509999</v>
      </c>
      <c r="E1820">
        <v>44000</v>
      </c>
      <c r="F1820" t="s">
        <v>15</v>
      </c>
      <c r="G1820" t="s">
        <v>27</v>
      </c>
      <c r="H1820" t="s">
        <v>11</v>
      </c>
      <c r="I1820" t="s">
        <v>12</v>
      </c>
      <c r="J1820">
        <f t="shared" si="56"/>
        <v>9</v>
      </c>
      <c r="K1820" t="str">
        <f t="shared" si="57"/>
        <v>Mid Range</v>
      </c>
    </row>
    <row r="1821" spans="2:11" x14ac:dyDescent="0.25">
      <c r="B1821" t="s">
        <v>736</v>
      </c>
      <c r="C1821">
        <v>2015</v>
      </c>
      <c r="D1821" s="1">
        <v>110000</v>
      </c>
      <c r="E1821">
        <v>45000</v>
      </c>
      <c r="F1821" t="s">
        <v>9</v>
      </c>
      <c r="G1821" t="s">
        <v>27</v>
      </c>
      <c r="H1821" t="s">
        <v>11</v>
      </c>
      <c r="I1821" t="s">
        <v>12</v>
      </c>
      <c r="J1821">
        <f t="shared" si="56"/>
        <v>11</v>
      </c>
      <c r="K1821" t="str">
        <f t="shared" si="57"/>
        <v>Budget</v>
      </c>
    </row>
    <row r="1822" spans="2:11" x14ac:dyDescent="0.25">
      <c r="B1822" t="s">
        <v>478</v>
      </c>
      <c r="C1822">
        <v>2013</v>
      </c>
      <c r="D1822" s="1">
        <v>400000</v>
      </c>
      <c r="E1822">
        <v>75000</v>
      </c>
      <c r="F1822" t="s">
        <v>15</v>
      </c>
      <c r="G1822" t="s">
        <v>27</v>
      </c>
      <c r="H1822" t="s">
        <v>11</v>
      </c>
      <c r="I1822" t="s">
        <v>12</v>
      </c>
      <c r="J1822">
        <f t="shared" si="56"/>
        <v>13</v>
      </c>
      <c r="K1822" t="str">
        <f t="shared" si="57"/>
        <v>Budget</v>
      </c>
    </row>
    <row r="1823" spans="2:11" x14ac:dyDescent="0.25">
      <c r="B1823" t="s">
        <v>443</v>
      </c>
      <c r="C1823">
        <v>2013</v>
      </c>
      <c r="D1823" s="1">
        <v>370000</v>
      </c>
      <c r="E1823">
        <v>90000</v>
      </c>
      <c r="F1823" t="s">
        <v>9</v>
      </c>
      <c r="G1823" t="s">
        <v>10</v>
      </c>
      <c r="H1823" t="s">
        <v>11</v>
      </c>
      <c r="I1823" t="s">
        <v>12</v>
      </c>
      <c r="J1823">
        <f t="shared" si="56"/>
        <v>13</v>
      </c>
      <c r="K1823" t="str">
        <f t="shared" si="57"/>
        <v>Budget</v>
      </c>
    </row>
    <row r="1824" spans="2:11" x14ac:dyDescent="0.25">
      <c r="B1824" t="s">
        <v>1011</v>
      </c>
      <c r="C1824">
        <v>2007</v>
      </c>
      <c r="D1824" s="1">
        <v>175000</v>
      </c>
      <c r="E1824">
        <v>80000</v>
      </c>
      <c r="F1824" t="s">
        <v>15</v>
      </c>
      <c r="G1824" t="s">
        <v>10</v>
      </c>
      <c r="H1824" t="s">
        <v>11</v>
      </c>
      <c r="I1824" t="s">
        <v>18</v>
      </c>
      <c r="J1824">
        <f t="shared" si="56"/>
        <v>19</v>
      </c>
      <c r="K1824" t="str">
        <f t="shared" si="57"/>
        <v>Budget</v>
      </c>
    </row>
    <row r="1825" spans="2:11" x14ac:dyDescent="0.25">
      <c r="B1825" t="s">
        <v>1012</v>
      </c>
      <c r="C1825">
        <v>1998</v>
      </c>
      <c r="D1825" s="1">
        <v>1000000</v>
      </c>
      <c r="E1825">
        <v>35000</v>
      </c>
      <c r="F1825" t="s">
        <v>9</v>
      </c>
      <c r="G1825" t="s">
        <v>10</v>
      </c>
      <c r="H1825" t="s">
        <v>28</v>
      </c>
      <c r="I1825" t="s">
        <v>18</v>
      </c>
      <c r="J1825">
        <f t="shared" si="56"/>
        <v>28</v>
      </c>
      <c r="K1825" t="str">
        <f t="shared" si="57"/>
        <v>Mid Range</v>
      </c>
    </row>
    <row r="1826" spans="2:11" x14ac:dyDescent="0.25">
      <c r="B1826" t="s">
        <v>249</v>
      </c>
      <c r="C1826">
        <v>2013</v>
      </c>
      <c r="D1826" s="1">
        <v>92800</v>
      </c>
      <c r="E1826">
        <v>25000</v>
      </c>
      <c r="F1826" t="s">
        <v>9</v>
      </c>
      <c r="G1826" t="s">
        <v>10</v>
      </c>
      <c r="H1826" t="s">
        <v>11</v>
      </c>
      <c r="I1826" t="s">
        <v>18</v>
      </c>
      <c r="J1826">
        <f t="shared" si="56"/>
        <v>13</v>
      </c>
      <c r="K1826" t="str">
        <f t="shared" si="57"/>
        <v>Budget</v>
      </c>
    </row>
    <row r="1827" spans="2:11" x14ac:dyDescent="0.25">
      <c r="B1827" t="s">
        <v>622</v>
      </c>
      <c r="C1827">
        <v>2014</v>
      </c>
      <c r="D1827" s="1">
        <v>291000</v>
      </c>
      <c r="E1827">
        <v>90000</v>
      </c>
      <c r="F1827" t="s">
        <v>15</v>
      </c>
      <c r="G1827" t="s">
        <v>10</v>
      </c>
      <c r="H1827" t="s">
        <v>11</v>
      </c>
      <c r="I1827" t="s">
        <v>12</v>
      </c>
      <c r="J1827">
        <f t="shared" si="56"/>
        <v>12</v>
      </c>
      <c r="K1827" t="str">
        <f t="shared" si="57"/>
        <v>Budget</v>
      </c>
    </row>
    <row r="1828" spans="2:11" x14ac:dyDescent="0.25">
      <c r="B1828" t="s">
        <v>243</v>
      </c>
      <c r="C1828">
        <v>2013</v>
      </c>
      <c r="D1828" s="1">
        <v>335000</v>
      </c>
      <c r="E1828">
        <v>110000</v>
      </c>
      <c r="F1828" t="s">
        <v>15</v>
      </c>
      <c r="G1828" t="s">
        <v>10</v>
      </c>
      <c r="H1828" t="s">
        <v>11</v>
      </c>
      <c r="I1828" t="s">
        <v>49</v>
      </c>
      <c r="J1828">
        <f t="shared" si="56"/>
        <v>13</v>
      </c>
      <c r="K1828" t="str">
        <f t="shared" si="57"/>
        <v>Budget</v>
      </c>
    </row>
    <row r="1829" spans="2:11" x14ac:dyDescent="0.25">
      <c r="B1829" t="s">
        <v>1013</v>
      </c>
      <c r="C1829">
        <v>2013</v>
      </c>
      <c r="D1829" s="1">
        <v>170000</v>
      </c>
      <c r="E1829">
        <v>35000</v>
      </c>
      <c r="F1829" t="s">
        <v>9</v>
      </c>
      <c r="G1829" t="s">
        <v>10</v>
      </c>
      <c r="H1829" t="s">
        <v>11</v>
      </c>
      <c r="I1829" t="s">
        <v>12</v>
      </c>
      <c r="J1829">
        <f t="shared" si="56"/>
        <v>13</v>
      </c>
      <c r="K1829" t="str">
        <f t="shared" si="57"/>
        <v>Budget</v>
      </c>
    </row>
    <row r="1830" spans="2:11" x14ac:dyDescent="0.25">
      <c r="B1830" t="s">
        <v>249</v>
      </c>
      <c r="C1830">
        <v>2019</v>
      </c>
      <c r="D1830" s="1">
        <v>295000</v>
      </c>
      <c r="E1830">
        <v>10000</v>
      </c>
      <c r="F1830" t="s">
        <v>9</v>
      </c>
      <c r="G1830" t="s">
        <v>10</v>
      </c>
      <c r="H1830" t="s">
        <v>11</v>
      </c>
      <c r="I1830" t="s">
        <v>12</v>
      </c>
      <c r="J1830">
        <f t="shared" si="56"/>
        <v>7</v>
      </c>
      <c r="K1830" t="str">
        <f t="shared" si="57"/>
        <v>Budget</v>
      </c>
    </row>
    <row r="1831" spans="2:11" x14ac:dyDescent="0.25">
      <c r="B1831" t="s">
        <v>534</v>
      </c>
      <c r="C1831">
        <v>2019</v>
      </c>
      <c r="D1831" s="1">
        <v>375000</v>
      </c>
      <c r="E1831">
        <v>10000</v>
      </c>
      <c r="F1831" t="s">
        <v>9</v>
      </c>
      <c r="G1831" t="s">
        <v>10</v>
      </c>
      <c r="H1831" t="s">
        <v>11</v>
      </c>
      <c r="I1831" t="s">
        <v>12</v>
      </c>
      <c r="J1831">
        <f t="shared" si="56"/>
        <v>7</v>
      </c>
      <c r="K1831" t="str">
        <f t="shared" si="57"/>
        <v>Budget</v>
      </c>
    </row>
    <row r="1832" spans="2:11" x14ac:dyDescent="0.25">
      <c r="B1832" t="s">
        <v>136</v>
      </c>
      <c r="C1832">
        <v>2012</v>
      </c>
      <c r="D1832" s="1">
        <v>215000</v>
      </c>
      <c r="E1832">
        <v>70000</v>
      </c>
      <c r="F1832" t="s">
        <v>9</v>
      </c>
      <c r="G1832" t="s">
        <v>10</v>
      </c>
      <c r="H1832" t="s">
        <v>11</v>
      </c>
      <c r="I1832" t="s">
        <v>18</v>
      </c>
      <c r="J1832">
        <f t="shared" si="56"/>
        <v>14</v>
      </c>
      <c r="K1832" t="str">
        <f t="shared" si="57"/>
        <v>Budget</v>
      </c>
    </row>
    <row r="1833" spans="2:11" x14ac:dyDescent="0.25">
      <c r="B1833" t="s">
        <v>1014</v>
      </c>
      <c r="C1833">
        <v>2009</v>
      </c>
      <c r="D1833" s="1">
        <v>150000</v>
      </c>
      <c r="E1833">
        <v>110000</v>
      </c>
      <c r="F1833" t="s">
        <v>15</v>
      </c>
      <c r="G1833" t="s">
        <v>10</v>
      </c>
      <c r="H1833" t="s">
        <v>11</v>
      </c>
      <c r="I1833" t="s">
        <v>18</v>
      </c>
      <c r="J1833">
        <f t="shared" si="56"/>
        <v>17</v>
      </c>
      <c r="K1833" t="str">
        <f t="shared" si="57"/>
        <v>Budget</v>
      </c>
    </row>
    <row r="1834" spans="2:11" x14ac:dyDescent="0.25">
      <c r="B1834" t="s">
        <v>927</v>
      </c>
      <c r="C1834">
        <v>2003</v>
      </c>
      <c r="D1834" s="1">
        <v>60000</v>
      </c>
      <c r="E1834">
        <v>5000</v>
      </c>
      <c r="F1834" t="s">
        <v>9</v>
      </c>
      <c r="G1834" t="s">
        <v>10</v>
      </c>
      <c r="H1834" t="s">
        <v>11</v>
      </c>
      <c r="I1834" t="s">
        <v>18</v>
      </c>
      <c r="J1834">
        <f t="shared" si="56"/>
        <v>23</v>
      </c>
      <c r="K1834" t="str">
        <f t="shared" si="57"/>
        <v>Budget</v>
      </c>
    </row>
    <row r="1835" spans="2:11" x14ac:dyDescent="0.25">
      <c r="B1835" t="s">
        <v>1015</v>
      </c>
      <c r="C1835">
        <v>2012</v>
      </c>
      <c r="D1835" s="1">
        <v>280000</v>
      </c>
      <c r="E1835">
        <v>110000</v>
      </c>
      <c r="F1835" t="s">
        <v>15</v>
      </c>
      <c r="G1835" t="s">
        <v>10</v>
      </c>
      <c r="H1835" t="s">
        <v>11</v>
      </c>
      <c r="I1835" t="s">
        <v>46</v>
      </c>
      <c r="J1835">
        <f t="shared" si="56"/>
        <v>14</v>
      </c>
      <c r="K1835" t="str">
        <f t="shared" si="57"/>
        <v>Budget</v>
      </c>
    </row>
    <row r="1836" spans="2:11" x14ac:dyDescent="0.25">
      <c r="B1836" t="s">
        <v>377</v>
      </c>
      <c r="C1836">
        <v>2016</v>
      </c>
      <c r="D1836" s="1">
        <v>450000</v>
      </c>
      <c r="E1836">
        <v>50000</v>
      </c>
      <c r="F1836" t="s">
        <v>15</v>
      </c>
      <c r="G1836" t="s">
        <v>10</v>
      </c>
      <c r="H1836" t="s">
        <v>11</v>
      </c>
      <c r="I1836" t="s">
        <v>18</v>
      </c>
      <c r="J1836">
        <f t="shared" si="56"/>
        <v>10</v>
      </c>
      <c r="K1836" t="str">
        <f t="shared" si="57"/>
        <v>Budget</v>
      </c>
    </row>
    <row r="1837" spans="2:11" x14ac:dyDescent="0.25">
      <c r="B1837" t="s">
        <v>1016</v>
      </c>
      <c r="C1837">
        <v>2018</v>
      </c>
      <c r="D1837" s="1">
        <v>1150000</v>
      </c>
      <c r="E1837">
        <v>58000</v>
      </c>
      <c r="F1837" t="s">
        <v>15</v>
      </c>
      <c r="G1837" t="s">
        <v>10</v>
      </c>
      <c r="H1837" t="s">
        <v>11</v>
      </c>
      <c r="I1837" t="s">
        <v>12</v>
      </c>
      <c r="J1837">
        <f t="shared" si="56"/>
        <v>8</v>
      </c>
      <c r="K1837" t="str">
        <f t="shared" si="57"/>
        <v>Premium</v>
      </c>
    </row>
    <row r="1838" spans="2:11" x14ac:dyDescent="0.25">
      <c r="B1838" t="s">
        <v>1017</v>
      </c>
      <c r="C1838">
        <v>2018</v>
      </c>
      <c r="D1838" s="1">
        <v>650000</v>
      </c>
      <c r="E1838">
        <v>15000</v>
      </c>
      <c r="F1838" t="s">
        <v>15</v>
      </c>
      <c r="G1838" t="s">
        <v>10</v>
      </c>
      <c r="H1838" t="s">
        <v>11</v>
      </c>
      <c r="I1838" t="s">
        <v>12</v>
      </c>
      <c r="J1838">
        <f t="shared" si="56"/>
        <v>8</v>
      </c>
      <c r="K1838" t="str">
        <f t="shared" si="57"/>
        <v>Mid Range</v>
      </c>
    </row>
    <row r="1839" spans="2:11" x14ac:dyDescent="0.25">
      <c r="B1839" t="s">
        <v>542</v>
      </c>
      <c r="C1839">
        <v>2015</v>
      </c>
      <c r="D1839" s="1">
        <v>300000</v>
      </c>
      <c r="E1839">
        <v>60000</v>
      </c>
      <c r="F1839" t="s">
        <v>9</v>
      </c>
      <c r="G1839" t="s">
        <v>10</v>
      </c>
      <c r="H1839" t="s">
        <v>11</v>
      </c>
      <c r="I1839" t="s">
        <v>18</v>
      </c>
      <c r="J1839">
        <f t="shared" si="56"/>
        <v>11</v>
      </c>
      <c r="K1839" t="str">
        <f t="shared" si="57"/>
        <v>Budget</v>
      </c>
    </row>
    <row r="1840" spans="2:11" x14ac:dyDescent="0.25">
      <c r="B1840" t="s">
        <v>1018</v>
      </c>
      <c r="C1840">
        <v>2015</v>
      </c>
      <c r="D1840" s="1">
        <v>73000</v>
      </c>
      <c r="E1840">
        <v>57000</v>
      </c>
      <c r="F1840" t="s">
        <v>9</v>
      </c>
      <c r="G1840" t="s">
        <v>10</v>
      </c>
      <c r="H1840" t="s">
        <v>11</v>
      </c>
      <c r="I1840" t="s">
        <v>12</v>
      </c>
      <c r="J1840">
        <f t="shared" si="56"/>
        <v>11</v>
      </c>
      <c r="K1840" t="str">
        <f t="shared" si="57"/>
        <v>Budget</v>
      </c>
    </row>
    <row r="1841" spans="2:11" x14ac:dyDescent="0.25">
      <c r="B1841" t="s">
        <v>162</v>
      </c>
      <c r="C1841">
        <v>2015</v>
      </c>
      <c r="D1841" s="1">
        <v>400000</v>
      </c>
      <c r="E1841">
        <v>87000</v>
      </c>
      <c r="F1841" t="s">
        <v>15</v>
      </c>
      <c r="G1841" t="s">
        <v>10</v>
      </c>
      <c r="H1841" t="s">
        <v>11</v>
      </c>
      <c r="I1841" t="s">
        <v>49</v>
      </c>
      <c r="J1841">
        <f t="shared" si="56"/>
        <v>11</v>
      </c>
      <c r="K1841" t="str">
        <f t="shared" si="57"/>
        <v>Budget</v>
      </c>
    </row>
    <row r="1842" spans="2:11" x14ac:dyDescent="0.25">
      <c r="B1842" t="s">
        <v>306</v>
      </c>
      <c r="C1842">
        <v>2017</v>
      </c>
      <c r="D1842" s="1">
        <v>300000</v>
      </c>
      <c r="E1842">
        <v>70000</v>
      </c>
      <c r="F1842" t="s">
        <v>9</v>
      </c>
      <c r="G1842" t="s">
        <v>10</v>
      </c>
      <c r="H1842" t="s">
        <v>11</v>
      </c>
      <c r="I1842" t="s">
        <v>12</v>
      </c>
      <c r="J1842">
        <f t="shared" si="56"/>
        <v>9</v>
      </c>
      <c r="K1842" t="str">
        <f t="shared" si="57"/>
        <v>Budget</v>
      </c>
    </row>
    <row r="1843" spans="2:11" x14ac:dyDescent="0.25">
      <c r="B1843" t="s">
        <v>1019</v>
      </c>
      <c r="C1843">
        <v>2012</v>
      </c>
      <c r="D1843" s="1">
        <v>300000</v>
      </c>
      <c r="E1843">
        <v>30000</v>
      </c>
      <c r="F1843" t="s">
        <v>9</v>
      </c>
      <c r="G1843" t="s">
        <v>10</v>
      </c>
      <c r="H1843" t="s">
        <v>28</v>
      </c>
      <c r="I1843" t="s">
        <v>18</v>
      </c>
      <c r="J1843">
        <f t="shared" si="56"/>
        <v>14</v>
      </c>
      <c r="K1843" t="str">
        <f t="shared" si="57"/>
        <v>Budget</v>
      </c>
    </row>
    <row r="1844" spans="2:11" x14ac:dyDescent="0.25">
      <c r="B1844" t="s">
        <v>114</v>
      </c>
      <c r="C1844">
        <v>2012</v>
      </c>
      <c r="D1844" s="1">
        <v>450000</v>
      </c>
      <c r="E1844">
        <v>80000</v>
      </c>
      <c r="F1844" t="s">
        <v>15</v>
      </c>
      <c r="G1844" t="s">
        <v>10</v>
      </c>
      <c r="H1844" t="s">
        <v>11</v>
      </c>
      <c r="I1844" t="s">
        <v>12</v>
      </c>
      <c r="J1844">
        <f t="shared" si="56"/>
        <v>14</v>
      </c>
      <c r="K1844" t="str">
        <f t="shared" si="57"/>
        <v>Budget</v>
      </c>
    </row>
    <row r="1845" spans="2:11" x14ac:dyDescent="0.25">
      <c r="B1845" t="s">
        <v>56</v>
      </c>
      <c r="C1845">
        <v>2009</v>
      </c>
      <c r="D1845" s="1">
        <v>200000</v>
      </c>
      <c r="E1845">
        <v>100000</v>
      </c>
      <c r="F1845" t="s">
        <v>9</v>
      </c>
      <c r="G1845" t="s">
        <v>10</v>
      </c>
      <c r="H1845" t="s">
        <v>11</v>
      </c>
      <c r="I1845" t="s">
        <v>18</v>
      </c>
      <c r="J1845">
        <f t="shared" si="56"/>
        <v>17</v>
      </c>
      <c r="K1845" t="str">
        <f t="shared" si="57"/>
        <v>Budget</v>
      </c>
    </row>
    <row r="1846" spans="2:11" x14ac:dyDescent="0.25">
      <c r="B1846" t="s">
        <v>443</v>
      </c>
      <c r="C1846">
        <v>2019</v>
      </c>
      <c r="D1846" s="1">
        <v>580000</v>
      </c>
      <c r="E1846">
        <v>40000</v>
      </c>
      <c r="F1846" t="s">
        <v>9</v>
      </c>
      <c r="G1846" t="s">
        <v>10</v>
      </c>
      <c r="H1846" t="s">
        <v>11</v>
      </c>
      <c r="I1846" t="s">
        <v>12</v>
      </c>
      <c r="J1846">
        <f t="shared" si="56"/>
        <v>7</v>
      </c>
      <c r="K1846" t="str">
        <f t="shared" si="57"/>
        <v>Mid Range</v>
      </c>
    </row>
    <row r="1847" spans="2:11" x14ac:dyDescent="0.25">
      <c r="B1847" t="s">
        <v>57</v>
      </c>
      <c r="C1847">
        <v>2017</v>
      </c>
      <c r="D1847" s="1">
        <v>550000</v>
      </c>
      <c r="E1847">
        <v>3917</v>
      </c>
      <c r="F1847" t="s">
        <v>9</v>
      </c>
      <c r="G1847" t="s">
        <v>10</v>
      </c>
      <c r="H1847" t="s">
        <v>11</v>
      </c>
      <c r="I1847" t="s">
        <v>12</v>
      </c>
      <c r="J1847">
        <f t="shared" si="56"/>
        <v>9</v>
      </c>
      <c r="K1847" t="str">
        <f t="shared" si="57"/>
        <v>Mid Range</v>
      </c>
    </row>
    <row r="1848" spans="2:11" x14ac:dyDescent="0.25">
      <c r="B1848" t="s">
        <v>1020</v>
      </c>
      <c r="C1848">
        <v>2007</v>
      </c>
      <c r="D1848" s="1">
        <v>190000</v>
      </c>
      <c r="E1848">
        <v>160000</v>
      </c>
      <c r="F1848" t="s">
        <v>15</v>
      </c>
      <c r="G1848" t="s">
        <v>10</v>
      </c>
      <c r="H1848" t="s">
        <v>11</v>
      </c>
      <c r="I1848" t="s">
        <v>18</v>
      </c>
      <c r="J1848">
        <f t="shared" si="56"/>
        <v>19</v>
      </c>
      <c r="K1848" t="str">
        <f t="shared" si="57"/>
        <v>Budget</v>
      </c>
    </row>
    <row r="1849" spans="2:11" x14ac:dyDescent="0.25">
      <c r="B1849" t="s">
        <v>1021</v>
      </c>
      <c r="C1849">
        <v>2017</v>
      </c>
      <c r="D1849" s="1">
        <v>450000</v>
      </c>
      <c r="E1849">
        <v>35000</v>
      </c>
      <c r="F1849" t="s">
        <v>15</v>
      </c>
      <c r="G1849" t="s">
        <v>10</v>
      </c>
      <c r="H1849" t="s">
        <v>11</v>
      </c>
      <c r="I1849" t="s">
        <v>12</v>
      </c>
      <c r="J1849">
        <f t="shared" si="56"/>
        <v>9</v>
      </c>
      <c r="K1849" t="str">
        <f t="shared" si="57"/>
        <v>Budget</v>
      </c>
    </row>
    <row r="1850" spans="2:11" x14ac:dyDescent="0.25">
      <c r="B1850" t="s">
        <v>135</v>
      </c>
      <c r="C1850">
        <v>2014</v>
      </c>
      <c r="D1850" s="1">
        <v>220000</v>
      </c>
      <c r="E1850">
        <v>70000</v>
      </c>
      <c r="F1850" t="s">
        <v>9</v>
      </c>
      <c r="G1850" t="s">
        <v>10</v>
      </c>
      <c r="H1850" t="s">
        <v>11</v>
      </c>
      <c r="I1850" t="s">
        <v>12</v>
      </c>
      <c r="J1850">
        <f t="shared" si="56"/>
        <v>12</v>
      </c>
      <c r="K1850" t="str">
        <f t="shared" si="57"/>
        <v>Budget</v>
      </c>
    </row>
    <row r="1851" spans="2:11" x14ac:dyDescent="0.25">
      <c r="B1851" t="s">
        <v>112</v>
      </c>
      <c r="C1851">
        <v>2012</v>
      </c>
      <c r="D1851" s="1">
        <v>310000</v>
      </c>
      <c r="E1851">
        <v>69069</v>
      </c>
      <c r="F1851" t="s">
        <v>9</v>
      </c>
      <c r="G1851" t="s">
        <v>27</v>
      </c>
      <c r="H1851" t="s">
        <v>11</v>
      </c>
      <c r="I1851" t="s">
        <v>12</v>
      </c>
      <c r="J1851">
        <f t="shared" si="56"/>
        <v>14</v>
      </c>
      <c r="K1851" t="str">
        <f t="shared" si="57"/>
        <v>Budget</v>
      </c>
    </row>
    <row r="1852" spans="2:11" x14ac:dyDescent="0.25">
      <c r="B1852" t="s">
        <v>1022</v>
      </c>
      <c r="C1852">
        <v>2019</v>
      </c>
      <c r="D1852" s="1">
        <v>650000</v>
      </c>
      <c r="E1852">
        <v>13500</v>
      </c>
      <c r="F1852" t="s">
        <v>9</v>
      </c>
      <c r="G1852" t="s">
        <v>10</v>
      </c>
      <c r="H1852" t="s">
        <v>11</v>
      </c>
      <c r="I1852" t="s">
        <v>12</v>
      </c>
      <c r="J1852">
        <f t="shared" si="56"/>
        <v>7</v>
      </c>
      <c r="K1852" t="str">
        <f t="shared" si="57"/>
        <v>Mid Range</v>
      </c>
    </row>
    <row r="1853" spans="2:11" x14ac:dyDescent="0.25">
      <c r="B1853" t="s">
        <v>519</v>
      </c>
      <c r="C1853">
        <v>2014</v>
      </c>
      <c r="D1853" s="1">
        <v>300000</v>
      </c>
      <c r="E1853">
        <v>59059</v>
      </c>
      <c r="F1853" t="s">
        <v>9</v>
      </c>
      <c r="G1853" t="s">
        <v>27</v>
      </c>
      <c r="H1853" t="s">
        <v>11</v>
      </c>
      <c r="I1853" t="s">
        <v>12</v>
      </c>
      <c r="J1853">
        <f t="shared" si="56"/>
        <v>12</v>
      </c>
      <c r="K1853" t="str">
        <f t="shared" si="57"/>
        <v>Budget</v>
      </c>
    </row>
    <row r="1854" spans="2:11" x14ac:dyDescent="0.25">
      <c r="B1854" t="s">
        <v>470</v>
      </c>
      <c r="C1854">
        <v>2013</v>
      </c>
      <c r="D1854" s="1">
        <v>200000</v>
      </c>
      <c r="E1854">
        <v>70000</v>
      </c>
      <c r="F1854" t="s">
        <v>9</v>
      </c>
      <c r="G1854" t="s">
        <v>10</v>
      </c>
      <c r="H1854" t="s">
        <v>11</v>
      </c>
      <c r="I1854" t="s">
        <v>12</v>
      </c>
      <c r="J1854">
        <f t="shared" si="56"/>
        <v>13</v>
      </c>
      <c r="K1854" t="str">
        <f t="shared" si="57"/>
        <v>Budget</v>
      </c>
    </row>
    <row r="1855" spans="2:11" x14ac:dyDescent="0.25">
      <c r="B1855" t="s">
        <v>87</v>
      </c>
      <c r="C1855">
        <v>2012</v>
      </c>
      <c r="D1855" s="1">
        <v>285000</v>
      </c>
      <c r="E1855">
        <v>39039</v>
      </c>
      <c r="F1855" t="s">
        <v>9</v>
      </c>
      <c r="G1855" t="s">
        <v>27</v>
      </c>
      <c r="H1855" t="s">
        <v>11</v>
      </c>
      <c r="I1855" t="s">
        <v>12</v>
      </c>
      <c r="J1855">
        <f t="shared" si="56"/>
        <v>14</v>
      </c>
      <c r="K1855" t="str">
        <f t="shared" si="57"/>
        <v>Budget</v>
      </c>
    </row>
    <row r="1856" spans="2:11" x14ac:dyDescent="0.25">
      <c r="B1856" t="s">
        <v>1023</v>
      </c>
      <c r="C1856">
        <v>2014</v>
      </c>
      <c r="D1856" s="1">
        <v>335000</v>
      </c>
      <c r="E1856">
        <v>33033</v>
      </c>
      <c r="F1856" t="s">
        <v>9</v>
      </c>
      <c r="G1856" t="s">
        <v>27</v>
      </c>
      <c r="H1856" t="s">
        <v>11</v>
      </c>
      <c r="I1856" t="s">
        <v>12</v>
      </c>
      <c r="J1856">
        <f t="shared" si="56"/>
        <v>12</v>
      </c>
      <c r="K1856" t="str">
        <f t="shared" si="57"/>
        <v>Budget</v>
      </c>
    </row>
    <row r="1857" spans="2:11" x14ac:dyDescent="0.25">
      <c r="B1857" t="s">
        <v>1024</v>
      </c>
      <c r="C1857">
        <v>2011</v>
      </c>
      <c r="D1857" s="1">
        <v>370000</v>
      </c>
      <c r="E1857">
        <v>55168</v>
      </c>
      <c r="F1857" t="s">
        <v>9</v>
      </c>
      <c r="G1857" t="s">
        <v>10</v>
      </c>
      <c r="H1857" t="s">
        <v>11</v>
      </c>
      <c r="I1857" t="s">
        <v>18</v>
      </c>
      <c r="J1857">
        <f t="shared" si="56"/>
        <v>15</v>
      </c>
      <c r="K1857" t="str">
        <f t="shared" si="57"/>
        <v>Budget</v>
      </c>
    </row>
    <row r="1858" spans="2:11" x14ac:dyDescent="0.25">
      <c r="B1858" t="s">
        <v>184</v>
      </c>
      <c r="C1858">
        <v>2013</v>
      </c>
      <c r="D1858" s="1">
        <v>375000</v>
      </c>
      <c r="E1858">
        <v>41041</v>
      </c>
      <c r="F1858" t="s">
        <v>9</v>
      </c>
      <c r="G1858" t="s">
        <v>27</v>
      </c>
      <c r="H1858" t="s">
        <v>11</v>
      </c>
      <c r="I1858" t="s">
        <v>12</v>
      </c>
      <c r="J1858">
        <f t="shared" si="56"/>
        <v>13</v>
      </c>
      <c r="K1858" t="str">
        <f t="shared" si="57"/>
        <v>Budget</v>
      </c>
    </row>
    <row r="1859" spans="2:11" x14ac:dyDescent="0.25">
      <c r="B1859" t="s">
        <v>426</v>
      </c>
      <c r="C1859">
        <v>2009</v>
      </c>
      <c r="D1859" s="1">
        <v>235000</v>
      </c>
      <c r="E1859">
        <v>67067</v>
      </c>
      <c r="F1859" t="s">
        <v>9</v>
      </c>
      <c r="G1859" t="s">
        <v>27</v>
      </c>
      <c r="H1859" t="s">
        <v>11</v>
      </c>
      <c r="I1859" t="s">
        <v>12</v>
      </c>
      <c r="J1859">
        <f t="shared" si="56"/>
        <v>17</v>
      </c>
      <c r="K1859" t="str">
        <f t="shared" si="57"/>
        <v>Budget</v>
      </c>
    </row>
    <row r="1860" spans="2:11" x14ac:dyDescent="0.25">
      <c r="B1860" t="s">
        <v>585</v>
      </c>
      <c r="C1860">
        <v>2013</v>
      </c>
      <c r="D1860" s="1">
        <v>345000</v>
      </c>
      <c r="E1860">
        <v>66066</v>
      </c>
      <c r="F1860" t="s">
        <v>9</v>
      </c>
      <c r="G1860" t="s">
        <v>27</v>
      </c>
      <c r="H1860" t="s">
        <v>28</v>
      </c>
      <c r="I1860" t="s">
        <v>12</v>
      </c>
      <c r="J1860">
        <f t="shared" si="56"/>
        <v>13</v>
      </c>
      <c r="K1860" t="str">
        <f t="shared" si="57"/>
        <v>Budget</v>
      </c>
    </row>
    <row r="1861" spans="2:11" x14ac:dyDescent="0.25">
      <c r="B1861" t="s">
        <v>149</v>
      </c>
      <c r="C1861">
        <v>2013</v>
      </c>
      <c r="D1861" s="1">
        <v>365000</v>
      </c>
      <c r="E1861">
        <v>82082</v>
      </c>
      <c r="F1861" t="s">
        <v>15</v>
      </c>
      <c r="G1861" t="s">
        <v>27</v>
      </c>
      <c r="H1861" t="s">
        <v>11</v>
      </c>
      <c r="I1861" t="s">
        <v>12</v>
      </c>
      <c r="J1861">
        <f t="shared" si="56"/>
        <v>13</v>
      </c>
      <c r="K1861" t="str">
        <f t="shared" si="57"/>
        <v>Budget</v>
      </c>
    </row>
    <row r="1862" spans="2:11" x14ac:dyDescent="0.25">
      <c r="B1862" t="s">
        <v>289</v>
      </c>
      <c r="C1862">
        <v>2014</v>
      </c>
      <c r="D1862" s="1">
        <v>400000</v>
      </c>
      <c r="E1862">
        <v>48000</v>
      </c>
      <c r="F1862" t="s">
        <v>9</v>
      </c>
      <c r="G1862" t="s">
        <v>10</v>
      </c>
      <c r="H1862" t="s">
        <v>11</v>
      </c>
      <c r="I1862" t="s">
        <v>12</v>
      </c>
      <c r="J1862">
        <f t="shared" ref="J1862:J1925" si="58">2026 - C1862</f>
        <v>12</v>
      </c>
      <c r="K1862" t="str">
        <f t="shared" ref="K1862:K1925" si="59">IF(D1862&lt;500000,"Budget",IF(D1862&lt;=1000000,"Mid Range","Premium"))</f>
        <v>Budget</v>
      </c>
    </row>
    <row r="1863" spans="2:11" x14ac:dyDescent="0.25">
      <c r="B1863" t="s">
        <v>339</v>
      </c>
      <c r="C1863">
        <v>2015</v>
      </c>
      <c r="D1863" s="1">
        <v>250000</v>
      </c>
      <c r="E1863">
        <v>30000</v>
      </c>
      <c r="F1863" t="s">
        <v>9</v>
      </c>
      <c r="G1863" t="s">
        <v>10</v>
      </c>
      <c r="H1863" t="s">
        <v>11</v>
      </c>
      <c r="I1863" t="s">
        <v>12</v>
      </c>
      <c r="J1863">
        <f t="shared" si="58"/>
        <v>11</v>
      </c>
      <c r="K1863" t="str">
        <f t="shared" si="59"/>
        <v>Budget</v>
      </c>
    </row>
    <row r="1864" spans="2:11" x14ac:dyDescent="0.25">
      <c r="B1864" t="s">
        <v>948</v>
      </c>
      <c r="C1864">
        <v>2012</v>
      </c>
      <c r="D1864" s="1">
        <v>465000</v>
      </c>
      <c r="E1864">
        <v>70070</v>
      </c>
      <c r="F1864" t="s">
        <v>15</v>
      </c>
      <c r="G1864" t="s">
        <v>27</v>
      </c>
      <c r="H1864" t="s">
        <v>28</v>
      </c>
      <c r="I1864" t="s">
        <v>12</v>
      </c>
      <c r="J1864">
        <f t="shared" si="58"/>
        <v>14</v>
      </c>
      <c r="K1864" t="str">
        <f t="shared" si="59"/>
        <v>Budget</v>
      </c>
    </row>
    <row r="1865" spans="2:11" x14ac:dyDescent="0.25">
      <c r="B1865" t="s">
        <v>110</v>
      </c>
      <c r="C1865">
        <v>2017</v>
      </c>
      <c r="D1865" s="1">
        <v>300000</v>
      </c>
      <c r="E1865">
        <v>10000</v>
      </c>
      <c r="F1865" t="s">
        <v>9</v>
      </c>
      <c r="G1865" t="s">
        <v>10</v>
      </c>
      <c r="H1865" t="s">
        <v>11</v>
      </c>
      <c r="I1865" t="s">
        <v>12</v>
      </c>
      <c r="J1865">
        <f t="shared" si="58"/>
        <v>9</v>
      </c>
      <c r="K1865" t="str">
        <f t="shared" si="59"/>
        <v>Budget</v>
      </c>
    </row>
    <row r="1866" spans="2:11" x14ac:dyDescent="0.25">
      <c r="B1866" t="s">
        <v>1025</v>
      </c>
      <c r="C1866">
        <v>2018</v>
      </c>
      <c r="D1866" s="1">
        <v>655000</v>
      </c>
      <c r="E1866">
        <v>25000</v>
      </c>
      <c r="F1866" t="s">
        <v>9</v>
      </c>
      <c r="G1866" t="s">
        <v>10</v>
      </c>
      <c r="H1866" t="s">
        <v>11</v>
      </c>
      <c r="I1866" t="s">
        <v>12</v>
      </c>
      <c r="J1866">
        <f t="shared" si="58"/>
        <v>8</v>
      </c>
      <c r="K1866" t="str">
        <f t="shared" si="59"/>
        <v>Mid Range</v>
      </c>
    </row>
    <row r="1867" spans="2:11" x14ac:dyDescent="0.25">
      <c r="B1867" t="s">
        <v>668</v>
      </c>
      <c r="C1867">
        <v>2016</v>
      </c>
      <c r="D1867" s="1">
        <v>350000</v>
      </c>
      <c r="E1867">
        <v>30000</v>
      </c>
      <c r="F1867" t="s">
        <v>24</v>
      </c>
      <c r="G1867" t="s">
        <v>10</v>
      </c>
      <c r="H1867" t="s">
        <v>11</v>
      </c>
      <c r="I1867" t="s">
        <v>18</v>
      </c>
      <c r="J1867">
        <f t="shared" si="58"/>
        <v>10</v>
      </c>
      <c r="K1867" t="str">
        <f t="shared" si="59"/>
        <v>Budget</v>
      </c>
    </row>
    <row r="1868" spans="2:11" x14ac:dyDescent="0.25">
      <c r="B1868" t="s">
        <v>585</v>
      </c>
      <c r="C1868">
        <v>2015</v>
      </c>
      <c r="D1868" s="1">
        <v>500000</v>
      </c>
      <c r="E1868">
        <v>50000</v>
      </c>
      <c r="F1868" t="s">
        <v>9</v>
      </c>
      <c r="G1868" t="s">
        <v>27</v>
      </c>
      <c r="H1868" t="s">
        <v>28</v>
      </c>
      <c r="I1868" t="s">
        <v>12</v>
      </c>
      <c r="J1868">
        <f t="shared" si="58"/>
        <v>11</v>
      </c>
      <c r="K1868" t="str">
        <f t="shared" si="59"/>
        <v>Mid Range</v>
      </c>
    </row>
    <row r="1869" spans="2:11" x14ac:dyDescent="0.25">
      <c r="B1869" t="s">
        <v>493</v>
      </c>
      <c r="C1869">
        <v>2015</v>
      </c>
      <c r="D1869" s="1">
        <v>465000</v>
      </c>
      <c r="E1869">
        <v>63063</v>
      </c>
      <c r="F1869" t="s">
        <v>9</v>
      </c>
      <c r="G1869" t="s">
        <v>27</v>
      </c>
      <c r="H1869" t="s">
        <v>28</v>
      </c>
      <c r="I1869" t="s">
        <v>12</v>
      </c>
      <c r="J1869">
        <f t="shared" si="58"/>
        <v>11</v>
      </c>
      <c r="K1869" t="str">
        <f t="shared" si="59"/>
        <v>Budget</v>
      </c>
    </row>
    <row r="1870" spans="2:11" x14ac:dyDescent="0.25">
      <c r="B1870" t="s">
        <v>1026</v>
      </c>
      <c r="C1870">
        <v>2008</v>
      </c>
      <c r="D1870" s="1">
        <v>263000</v>
      </c>
      <c r="E1870">
        <v>70000</v>
      </c>
      <c r="F1870" t="s">
        <v>15</v>
      </c>
      <c r="G1870" t="s">
        <v>10</v>
      </c>
      <c r="H1870" t="s">
        <v>11</v>
      </c>
      <c r="I1870" t="s">
        <v>12</v>
      </c>
      <c r="J1870">
        <f t="shared" si="58"/>
        <v>18</v>
      </c>
      <c r="K1870" t="str">
        <f t="shared" si="59"/>
        <v>Budget</v>
      </c>
    </row>
    <row r="1871" spans="2:11" x14ac:dyDescent="0.25">
      <c r="B1871" t="s">
        <v>224</v>
      </c>
      <c r="C1871">
        <v>2012</v>
      </c>
      <c r="D1871" s="1">
        <v>250000</v>
      </c>
      <c r="E1871">
        <v>90000</v>
      </c>
      <c r="F1871" t="s">
        <v>9</v>
      </c>
      <c r="G1871" t="s">
        <v>10</v>
      </c>
      <c r="H1871" t="s">
        <v>11</v>
      </c>
      <c r="I1871" t="s">
        <v>12</v>
      </c>
      <c r="J1871">
        <f t="shared" si="58"/>
        <v>14</v>
      </c>
      <c r="K1871" t="str">
        <f t="shared" si="59"/>
        <v>Budget</v>
      </c>
    </row>
    <row r="1872" spans="2:11" x14ac:dyDescent="0.25">
      <c r="B1872" t="s">
        <v>1027</v>
      </c>
      <c r="C1872">
        <v>1999</v>
      </c>
      <c r="D1872" s="1">
        <v>60000</v>
      </c>
      <c r="E1872">
        <v>90000</v>
      </c>
      <c r="F1872" t="s">
        <v>9</v>
      </c>
      <c r="G1872" t="s">
        <v>10</v>
      </c>
      <c r="H1872" t="s">
        <v>11</v>
      </c>
      <c r="I1872" t="s">
        <v>46</v>
      </c>
      <c r="J1872">
        <f t="shared" si="58"/>
        <v>27</v>
      </c>
      <c r="K1872" t="str">
        <f t="shared" si="59"/>
        <v>Budget</v>
      </c>
    </row>
    <row r="1873" spans="2:11" x14ac:dyDescent="0.25">
      <c r="B1873" t="s">
        <v>1028</v>
      </c>
      <c r="C1873">
        <v>2005</v>
      </c>
      <c r="D1873" s="1">
        <v>70000</v>
      </c>
      <c r="E1873">
        <v>90000</v>
      </c>
      <c r="F1873" t="s">
        <v>9</v>
      </c>
      <c r="G1873" t="s">
        <v>10</v>
      </c>
      <c r="H1873" t="s">
        <v>11</v>
      </c>
      <c r="I1873" t="s">
        <v>49</v>
      </c>
      <c r="J1873">
        <f t="shared" si="58"/>
        <v>21</v>
      </c>
      <c r="K1873" t="str">
        <f t="shared" si="59"/>
        <v>Budget</v>
      </c>
    </row>
    <row r="1874" spans="2:11" x14ac:dyDescent="0.25">
      <c r="B1874" t="s">
        <v>771</v>
      </c>
      <c r="C1874">
        <v>2017</v>
      </c>
      <c r="D1874" s="1">
        <v>650000</v>
      </c>
      <c r="E1874">
        <v>140000</v>
      </c>
      <c r="F1874" t="s">
        <v>15</v>
      </c>
      <c r="G1874" t="s">
        <v>10</v>
      </c>
      <c r="H1874" t="s">
        <v>11</v>
      </c>
      <c r="I1874" t="s">
        <v>12</v>
      </c>
      <c r="J1874">
        <f t="shared" si="58"/>
        <v>9</v>
      </c>
      <c r="K1874" t="str">
        <f t="shared" si="59"/>
        <v>Mid Range</v>
      </c>
    </row>
    <row r="1875" spans="2:11" x14ac:dyDescent="0.25">
      <c r="B1875" t="s">
        <v>144</v>
      </c>
      <c r="C1875">
        <v>2014</v>
      </c>
      <c r="D1875" s="1">
        <v>370000</v>
      </c>
      <c r="E1875">
        <v>80000</v>
      </c>
      <c r="F1875" t="s">
        <v>15</v>
      </c>
      <c r="G1875" t="s">
        <v>10</v>
      </c>
      <c r="H1875" t="s">
        <v>11</v>
      </c>
      <c r="I1875" t="s">
        <v>18</v>
      </c>
      <c r="J1875">
        <f t="shared" si="58"/>
        <v>12</v>
      </c>
      <c r="K1875" t="str">
        <f t="shared" si="59"/>
        <v>Budget</v>
      </c>
    </row>
    <row r="1876" spans="2:11" x14ac:dyDescent="0.25">
      <c r="B1876" t="s">
        <v>907</v>
      </c>
      <c r="C1876">
        <v>2016</v>
      </c>
      <c r="D1876" s="1">
        <v>509999</v>
      </c>
      <c r="E1876">
        <v>40000</v>
      </c>
      <c r="F1876" t="s">
        <v>15</v>
      </c>
      <c r="G1876" t="s">
        <v>10</v>
      </c>
      <c r="H1876" t="s">
        <v>11</v>
      </c>
      <c r="I1876" t="s">
        <v>12</v>
      </c>
      <c r="J1876">
        <f t="shared" si="58"/>
        <v>10</v>
      </c>
      <c r="K1876" t="str">
        <f t="shared" si="59"/>
        <v>Mid Range</v>
      </c>
    </row>
    <row r="1877" spans="2:11" x14ac:dyDescent="0.25">
      <c r="B1877" t="s">
        <v>313</v>
      </c>
      <c r="C1877">
        <v>2011</v>
      </c>
      <c r="D1877" s="1">
        <v>280000</v>
      </c>
      <c r="E1877">
        <v>33000</v>
      </c>
      <c r="F1877" t="s">
        <v>9</v>
      </c>
      <c r="G1877" t="s">
        <v>10</v>
      </c>
      <c r="H1877" t="s">
        <v>11</v>
      </c>
      <c r="I1877" t="s">
        <v>12</v>
      </c>
      <c r="J1877">
        <f t="shared" si="58"/>
        <v>15</v>
      </c>
      <c r="K1877" t="str">
        <f t="shared" si="59"/>
        <v>Budget</v>
      </c>
    </row>
    <row r="1878" spans="2:11" x14ac:dyDescent="0.25">
      <c r="B1878" t="s">
        <v>269</v>
      </c>
      <c r="C1878">
        <v>2010</v>
      </c>
      <c r="D1878" s="1">
        <v>180000</v>
      </c>
      <c r="E1878">
        <v>40000</v>
      </c>
      <c r="F1878" t="s">
        <v>9</v>
      </c>
      <c r="G1878" t="s">
        <v>10</v>
      </c>
      <c r="H1878" t="s">
        <v>11</v>
      </c>
      <c r="I1878" t="s">
        <v>12</v>
      </c>
      <c r="J1878">
        <f t="shared" si="58"/>
        <v>16</v>
      </c>
      <c r="K1878" t="str">
        <f t="shared" si="59"/>
        <v>Budget</v>
      </c>
    </row>
    <row r="1879" spans="2:11" x14ac:dyDescent="0.25">
      <c r="B1879" t="s">
        <v>1029</v>
      </c>
      <c r="C1879">
        <v>2017</v>
      </c>
      <c r="D1879" s="1">
        <v>650000</v>
      </c>
      <c r="E1879">
        <v>6000</v>
      </c>
      <c r="F1879" t="s">
        <v>9</v>
      </c>
      <c r="G1879" t="s">
        <v>10</v>
      </c>
      <c r="H1879" t="s">
        <v>11</v>
      </c>
      <c r="I1879" t="s">
        <v>12</v>
      </c>
      <c r="J1879">
        <f t="shared" si="58"/>
        <v>9</v>
      </c>
      <c r="K1879" t="str">
        <f t="shared" si="59"/>
        <v>Mid Range</v>
      </c>
    </row>
    <row r="1880" spans="2:11" x14ac:dyDescent="0.25">
      <c r="B1880" t="s">
        <v>923</v>
      </c>
      <c r="C1880">
        <v>2010</v>
      </c>
      <c r="D1880" s="1">
        <v>200000</v>
      </c>
      <c r="E1880">
        <v>78000</v>
      </c>
      <c r="F1880" t="s">
        <v>15</v>
      </c>
      <c r="G1880" t="s">
        <v>27</v>
      </c>
      <c r="H1880" t="s">
        <v>11</v>
      </c>
      <c r="I1880" t="s">
        <v>18</v>
      </c>
      <c r="J1880">
        <f t="shared" si="58"/>
        <v>16</v>
      </c>
      <c r="K1880" t="str">
        <f t="shared" si="59"/>
        <v>Budget</v>
      </c>
    </row>
    <row r="1881" spans="2:11" x14ac:dyDescent="0.25">
      <c r="B1881" t="s">
        <v>923</v>
      </c>
      <c r="C1881">
        <v>2011</v>
      </c>
      <c r="D1881" s="1">
        <v>210000</v>
      </c>
      <c r="E1881">
        <v>72000</v>
      </c>
      <c r="F1881" t="s">
        <v>15</v>
      </c>
      <c r="G1881" t="s">
        <v>27</v>
      </c>
      <c r="H1881" t="s">
        <v>11</v>
      </c>
      <c r="I1881" t="s">
        <v>49</v>
      </c>
      <c r="J1881">
        <f t="shared" si="58"/>
        <v>15</v>
      </c>
      <c r="K1881" t="str">
        <f t="shared" si="59"/>
        <v>Budget</v>
      </c>
    </row>
    <row r="1882" spans="2:11" x14ac:dyDescent="0.25">
      <c r="B1882" t="s">
        <v>694</v>
      </c>
      <c r="C1882">
        <v>2011</v>
      </c>
      <c r="D1882" s="1">
        <v>75000</v>
      </c>
      <c r="E1882">
        <v>9528</v>
      </c>
      <c r="F1882" t="s">
        <v>9</v>
      </c>
      <c r="G1882" t="s">
        <v>27</v>
      </c>
      <c r="H1882" t="s">
        <v>11</v>
      </c>
      <c r="I1882" t="s">
        <v>12</v>
      </c>
      <c r="J1882">
        <f t="shared" si="58"/>
        <v>15</v>
      </c>
      <c r="K1882" t="str">
        <f t="shared" si="59"/>
        <v>Budget</v>
      </c>
    </row>
    <row r="1883" spans="2:11" x14ac:dyDescent="0.25">
      <c r="B1883" t="s">
        <v>530</v>
      </c>
      <c r="C1883">
        <v>2011</v>
      </c>
      <c r="D1883" s="1">
        <v>450000</v>
      </c>
      <c r="E1883">
        <v>135200</v>
      </c>
      <c r="F1883" t="s">
        <v>15</v>
      </c>
      <c r="G1883" t="s">
        <v>27</v>
      </c>
      <c r="H1883" t="s">
        <v>11</v>
      </c>
      <c r="I1883" t="s">
        <v>12</v>
      </c>
      <c r="J1883">
        <f t="shared" si="58"/>
        <v>15</v>
      </c>
      <c r="K1883" t="str">
        <f t="shared" si="59"/>
        <v>Budget</v>
      </c>
    </row>
    <row r="1884" spans="2:11" x14ac:dyDescent="0.25">
      <c r="B1884" t="s">
        <v>184</v>
      </c>
      <c r="C1884">
        <v>2011</v>
      </c>
      <c r="D1884" s="1">
        <v>220000</v>
      </c>
      <c r="E1884">
        <v>58000</v>
      </c>
      <c r="F1884" t="s">
        <v>9</v>
      </c>
      <c r="G1884" t="s">
        <v>27</v>
      </c>
      <c r="H1884" t="s">
        <v>11</v>
      </c>
      <c r="I1884" t="s">
        <v>18</v>
      </c>
      <c r="J1884">
        <f t="shared" si="58"/>
        <v>15</v>
      </c>
      <c r="K1884" t="str">
        <f t="shared" si="59"/>
        <v>Budget</v>
      </c>
    </row>
    <row r="1885" spans="2:11" x14ac:dyDescent="0.25">
      <c r="B1885" t="s">
        <v>200</v>
      </c>
      <c r="C1885">
        <v>2013</v>
      </c>
      <c r="D1885" s="1">
        <v>325000</v>
      </c>
      <c r="E1885">
        <v>78000</v>
      </c>
      <c r="F1885" t="s">
        <v>15</v>
      </c>
      <c r="G1885" t="s">
        <v>27</v>
      </c>
      <c r="H1885" t="s">
        <v>11</v>
      </c>
      <c r="I1885" t="s">
        <v>18</v>
      </c>
      <c r="J1885">
        <f t="shared" si="58"/>
        <v>13</v>
      </c>
      <c r="K1885" t="str">
        <f t="shared" si="59"/>
        <v>Budget</v>
      </c>
    </row>
    <row r="1886" spans="2:11" x14ac:dyDescent="0.25">
      <c r="B1886" t="s">
        <v>542</v>
      </c>
      <c r="C1886">
        <v>2018</v>
      </c>
      <c r="D1886" s="1">
        <v>450000</v>
      </c>
      <c r="E1886">
        <v>45000</v>
      </c>
      <c r="F1886" t="s">
        <v>9</v>
      </c>
      <c r="G1886" t="s">
        <v>10</v>
      </c>
      <c r="H1886" t="s">
        <v>11</v>
      </c>
      <c r="I1886" t="s">
        <v>12</v>
      </c>
      <c r="J1886">
        <f t="shared" si="58"/>
        <v>8</v>
      </c>
      <c r="K1886" t="str">
        <f t="shared" si="59"/>
        <v>Budget</v>
      </c>
    </row>
    <row r="1887" spans="2:11" x14ac:dyDescent="0.25">
      <c r="B1887" t="s">
        <v>132</v>
      </c>
      <c r="C1887">
        <v>2017</v>
      </c>
      <c r="D1887" s="1">
        <v>825000</v>
      </c>
      <c r="E1887">
        <v>35000</v>
      </c>
      <c r="F1887" t="s">
        <v>15</v>
      </c>
      <c r="G1887" t="s">
        <v>10</v>
      </c>
      <c r="H1887" t="s">
        <v>11</v>
      </c>
      <c r="I1887" t="s">
        <v>12</v>
      </c>
      <c r="J1887">
        <f t="shared" si="58"/>
        <v>9</v>
      </c>
      <c r="K1887" t="str">
        <f t="shared" si="59"/>
        <v>Mid Range</v>
      </c>
    </row>
    <row r="1888" spans="2:11" x14ac:dyDescent="0.25">
      <c r="B1888" t="s">
        <v>916</v>
      </c>
      <c r="C1888">
        <v>2007</v>
      </c>
      <c r="D1888" s="1">
        <v>125000</v>
      </c>
      <c r="E1888">
        <v>76000</v>
      </c>
      <c r="F1888" t="s">
        <v>9</v>
      </c>
      <c r="G1888" t="s">
        <v>27</v>
      </c>
      <c r="H1888" t="s">
        <v>11</v>
      </c>
      <c r="I1888" t="s">
        <v>49</v>
      </c>
      <c r="J1888">
        <f t="shared" si="58"/>
        <v>19</v>
      </c>
      <c r="K1888" t="str">
        <f t="shared" si="59"/>
        <v>Budget</v>
      </c>
    </row>
    <row r="1889" spans="2:11" x14ac:dyDescent="0.25">
      <c r="B1889" t="s">
        <v>844</v>
      </c>
      <c r="C1889">
        <v>2015</v>
      </c>
      <c r="D1889" s="1">
        <v>434999</v>
      </c>
      <c r="E1889">
        <v>100000</v>
      </c>
      <c r="F1889" t="s">
        <v>15</v>
      </c>
      <c r="G1889" t="s">
        <v>10</v>
      </c>
      <c r="H1889" t="s">
        <v>11</v>
      </c>
      <c r="I1889" t="s">
        <v>49</v>
      </c>
      <c r="J1889">
        <f t="shared" si="58"/>
        <v>11</v>
      </c>
      <c r="K1889" t="str">
        <f t="shared" si="59"/>
        <v>Budget</v>
      </c>
    </row>
    <row r="1890" spans="2:11" x14ac:dyDescent="0.25">
      <c r="B1890" t="s">
        <v>302</v>
      </c>
      <c r="C1890">
        <v>2011</v>
      </c>
      <c r="D1890" s="1">
        <v>484999</v>
      </c>
      <c r="E1890">
        <v>99000</v>
      </c>
      <c r="F1890" t="s">
        <v>15</v>
      </c>
      <c r="G1890" t="s">
        <v>10</v>
      </c>
      <c r="H1890" t="s">
        <v>11</v>
      </c>
      <c r="I1890" t="s">
        <v>18</v>
      </c>
      <c r="J1890">
        <f t="shared" si="58"/>
        <v>15</v>
      </c>
      <c r="K1890" t="str">
        <f t="shared" si="59"/>
        <v>Budget</v>
      </c>
    </row>
    <row r="1891" spans="2:11" x14ac:dyDescent="0.25">
      <c r="B1891" t="s">
        <v>295</v>
      </c>
      <c r="C1891">
        <v>2009</v>
      </c>
      <c r="D1891" s="1">
        <v>175000</v>
      </c>
      <c r="E1891">
        <v>80000</v>
      </c>
      <c r="F1891" t="s">
        <v>15</v>
      </c>
      <c r="G1891" t="s">
        <v>10</v>
      </c>
      <c r="H1891" t="s">
        <v>11</v>
      </c>
      <c r="I1891" t="s">
        <v>49</v>
      </c>
      <c r="J1891">
        <f t="shared" si="58"/>
        <v>17</v>
      </c>
      <c r="K1891" t="str">
        <f t="shared" si="59"/>
        <v>Budget</v>
      </c>
    </row>
    <row r="1892" spans="2:11" x14ac:dyDescent="0.25">
      <c r="B1892" t="s">
        <v>872</v>
      </c>
      <c r="C1892">
        <v>2006</v>
      </c>
      <c r="D1892" s="1">
        <v>220000</v>
      </c>
      <c r="E1892">
        <v>120000</v>
      </c>
      <c r="F1892" t="s">
        <v>9</v>
      </c>
      <c r="G1892" t="s">
        <v>10</v>
      </c>
      <c r="H1892" t="s">
        <v>11</v>
      </c>
      <c r="I1892" t="s">
        <v>49</v>
      </c>
      <c r="J1892">
        <f t="shared" si="58"/>
        <v>20</v>
      </c>
      <c r="K1892" t="str">
        <f t="shared" si="59"/>
        <v>Budget</v>
      </c>
    </row>
    <row r="1893" spans="2:11" x14ac:dyDescent="0.25">
      <c r="B1893" t="s">
        <v>1030</v>
      </c>
      <c r="C1893">
        <v>2020</v>
      </c>
      <c r="D1893" s="1">
        <v>1250000</v>
      </c>
      <c r="E1893">
        <v>1100</v>
      </c>
      <c r="F1893" t="s">
        <v>9</v>
      </c>
      <c r="G1893" t="s">
        <v>27</v>
      </c>
      <c r="H1893" t="s">
        <v>11</v>
      </c>
      <c r="I1893" t="s">
        <v>12</v>
      </c>
      <c r="J1893">
        <f t="shared" si="58"/>
        <v>6</v>
      </c>
      <c r="K1893" t="str">
        <f t="shared" si="59"/>
        <v>Premium</v>
      </c>
    </row>
    <row r="1894" spans="2:11" x14ac:dyDescent="0.25">
      <c r="B1894" t="s">
        <v>345</v>
      </c>
      <c r="C1894">
        <v>2017</v>
      </c>
      <c r="D1894" s="1">
        <v>215000</v>
      </c>
      <c r="E1894">
        <v>34000</v>
      </c>
      <c r="F1894" t="s">
        <v>9</v>
      </c>
      <c r="G1894" t="s">
        <v>27</v>
      </c>
      <c r="H1894" t="s">
        <v>11</v>
      </c>
      <c r="I1894" t="s">
        <v>12</v>
      </c>
      <c r="J1894">
        <f t="shared" si="58"/>
        <v>9</v>
      </c>
      <c r="K1894" t="str">
        <f t="shared" si="59"/>
        <v>Budget</v>
      </c>
    </row>
    <row r="1895" spans="2:11" x14ac:dyDescent="0.25">
      <c r="B1895" t="s">
        <v>195</v>
      </c>
      <c r="C1895">
        <v>2014</v>
      </c>
      <c r="D1895" s="1">
        <v>625000</v>
      </c>
      <c r="E1895">
        <v>68000</v>
      </c>
      <c r="F1895" t="s">
        <v>15</v>
      </c>
      <c r="G1895" t="s">
        <v>27</v>
      </c>
      <c r="H1895" t="s">
        <v>11</v>
      </c>
      <c r="I1895" t="s">
        <v>12</v>
      </c>
      <c r="J1895">
        <f t="shared" si="58"/>
        <v>12</v>
      </c>
      <c r="K1895" t="str">
        <f t="shared" si="59"/>
        <v>Mid Range</v>
      </c>
    </row>
    <row r="1896" spans="2:11" x14ac:dyDescent="0.25">
      <c r="B1896" t="s">
        <v>77</v>
      </c>
      <c r="C1896">
        <v>2018</v>
      </c>
      <c r="D1896" s="1">
        <v>615000</v>
      </c>
      <c r="E1896">
        <v>15000</v>
      </c>
      <c r="F1896" t="s">
        <v>15</v>
      </c>
      <c r="G1896" t="s">
        <v>10</v>
      </c>
      <c r="H1896" t="s">
        <v>11</v>
      </c>
      <c r="I1896" t="s">
        <v>12</v>
      </c>
      <c r="J1896">
        <f t="shared" si="58"/>
        <v>8</v>
      </c>
      <c r="K1896" t="str">
        <f t="shared" si="59"/>
        <v>Mid Range</v>
      </c>
    </row>
    <row r="1897" spans="2:11" x14ac:dyDescent="0.25">
      <c r="B1897" t="s">
        <v>293</v>
      </c>
      <c r="C1897">
        <v>2012</v>
      </c>
      <c r="D1897" s="1">
        <v>130000</v>
      </c>
      <c r="E1897">
        <v>58000</v>
      </c>
      <c r="F1897" t="s">
        <v>15</v>
      </c>
      <c r="G1897" t="s">
        <v>27</v>
      </c>
      <c r="H1897" t="s">
        <v>11</v>
      </c>
      <c r="I1897" t="s">
        <v>12</v>
      </c>
      <c r="J1897">
        <f t="shared" si="58"/>
        <v>14</v>
      </c>
      <c r="K1897" t="str">
        <f t="shared" si="59"/>
        <v>Budget</v>
      </c>
    </row>
    <row r="1898" spans="2:11" x14ac:dyDescent="0.25">
      <c r="B1898" t="s">
        <v>1031</v>
      </c>
      <c r="C1898">
        <v>2013</v>
      </c>
      <c r="D1898" s="1">
        <v>175000</v>
      </c>
      <c r="E1898">
        <v>50300</v>
      </c>
      <c r="F1898" t="s">
        <v>15</v>
      </c>
      <c r="G1898" t="s">
        <v>10</v>
      </c>
      <c r="H1898" t="s">
        <v>11</v>
      </c>
      <c r="I1898" t="s">
        <v>12</v>
      </c>
      <c r="J1898">
        <f t="shared" si="58"/>
        <v>13</v>
      </c>
      <c r="K1898" t="str">
        <f t="shared" si="59"/>
        <v>Budget</v>
      </c>
    </row>
    <row r="1899" spans="2:11" x14ac:dyDescent="0.25">
      <c r="B1899" t="s">
        <v>159</v>
      </c>
      <c r="C1899">
        <v>2011</v>
      </c>
      <c r="D1899" s="1">
        <v>150000</v>
      </c>
      <c r="E1899">
        <v>70000</v>
      </c>
      <c r="F1899" t="s">
        <v>15</v>
      </c>
      <c r="G1899" t="s">
        <v>10</v>
      </c>
      <c r="H1899" t="s">
        <v>11</v>
      </c>
      <c r="I1899" t="s">
        <v>18</v>
      </c>
      <c r="J1899">
        <f t="shared" si="58"/>
        <v>15</v>
      </c>
      <c r="K1899" t="str">
        <f t="shared" si="59"/>
        <v>Budget</v>
      </c>
    </row>
    <row r="1900" spans="2:11" x14ac:dyDescent="0.25">
      <c r="B1900" t="s">
        <v>217</v>
      </c>
      <c r="C1900">
        <v>2011</v>
      </c>
      <c r="D1900" s="1">
        <v>195000</v>
      </c>
      <c r="E1900">
        <v>60000</v>
      </c>
      <c r="F1900" t="s">
        <v>15</v>
      </c>
      <c r="G1900" t="s">
        <v>10</v>
      </c>
      <c r="H1900" t="s">
        <v>11</v>
      </c>
      <c r="I1900" t="s">
        <v>49</v>
      </c>
      <c r="J1900">
        <f t="shared" si="58"/>
        <v>15</v>
      </c>
      <c r="K1900" t="str">
        <f t="shared" si="59"/>
        <v>Budget</v>
      </c>
    </row>
    <row r="1901" spans="2:11" x14ac:dyDescent="0.25">
      <c r="B1901" t="s">
        <v>1032</v>
      </c>
      <c r="C1901">
        <v>2020</v>
      </c>
      <c r="D1901" s="1">
        <v>550000</v>
      </c>
      <c r="E1901">
        <v>90000</v>
      </c>
      <c r="F1901" t="s">
        <v>15</v>
      </c>
      <c r="G1901" t="s">
        <v>10</v>
      </c>
      <c r="H1901" t="s">
        <v>11</v>
      </c>
      <c r="I1901" t="s">
        <v>12</v>
      </c>
      <c r="J1901">
        <f t="shared" si="58"/>
        <v>6</v>
      </c>
      <c r="K1901" t="str">
        <f t="shared" si="59"/>
        <v>Mid Range</v>
      </c>
    </row>
    <row r="1902" spans="2:11" x14ac:dyDescent="0.25">
      <c r="B1902" t="s">
        <v>1033</v>
      </c>
      <c r="C1902">
        <v>2018</v>
      </c>
      <c r="D1902" s="1">
        <v>1500000</v>
      </c>
      <c r="E1902">
        <v>40000</v>
      </c>
      <c r="F1902" t="s">
        <v>15</v>
      </c>
      <c r="G1902" t="s">
        <v>10</v>
      </c>
      <c r="H1902" t="s">
        <v>11</v>
      </c>
      <c r="I1902" t="s">
        <v>12</v>
      </c>
      <c r="J1902">
        <f t="shared" si="58"/>
        <v>8</v>
      </c>
      <c r="K1902" t="str">
        <f t="shared" si="59"/>
        <v>Premium</v>
      </c>
    </row>
    <row r="1903" spans="2:11" x14ac:dyDescent="0.25">
      <c r="B1903" t="s">
        <v>1004</v>
      </c>
      <c r="C1903">
        <v>2010</v>
      </c>
      <c r="D1903" s="1">
        <v>400000</v>
      </c>
      <c r="E1903">
        <v>80000</v>
      </c>
      <c r="F1903" t="s">
        <v>9</v>
      </c>
      <c r="G1903" t="s">
        <v>10</v>
      </c>
      <c r="H1903" t="s">
        <v>11</v>
      </c>
      <c r="I1903" t="s">
        <v>18</v>
      </c>
      <c r="J1903">
        <f t="shared" si="58"/>
        <v>16</v>
      </c>
      <c r="K1903" t="str">
        <f t="shared" si="59"/>
        <v>Budget</v>
      </c>
    </row>
    <row r="1904" spans="2:11" x14ac:dyDescent="0.25">
      <c r="B1904" t="s">
        <v>1034</v>
      </c>
      <c r="C1904">
        <v>2019</v>
      </c>
      <c r="D1904" s="1">
        <v>1350000</v>
      </c>
      <c r="E1904">
        <v>15000</v>
      </c>
      <c r="F1904" t="s">
        <v>15</v>
      </c>
      <c r="G1904" t="s">
        <v>10</v>
      </c>
      <c r="H1904" t="s">
        <v>11</v>
      </c>
      <c r="I1904" t="s">
        <v>12</v>
      </c>
      <c r="J1904">
        <f t="shared" si="58"/>
        <v>7</v>
      </c>
      <c r="K1904" t="str">
        <f t="shared" si="59"/>
        <v>Premium</v>
      </c>
    </row>
    <row r="1905" spans="2:11" x14ac:dyDescent="0.25">
      <c r="B1905" t="s">
        <v>692</v>
      </c>
      <c r="C1905">
        <v>2015</v>
      </c>
      <c r="D1905" s="1">
        <v>217000</v>
      </c>
      <c r="E1905">
        <v>45000</v>
      </c>
      <c r="F1905" t="s">
        <v>9</v>
      </c>
      <c r="G1905" t="s">
        <v>10</v>
      </c>
      <c r="H1905" t="s">
        <v>11</v>
      </c>
      <c r="I1905" t="s">
        <v>12</v>
      </c>
      <c r="J1905">
        <f t="shared" si="58"/>
        <v>11</v>
      </c>
      <c r="K1905" t="str">
        <f t="shared" si="59"/>
        <v>Budget</v>
      </c>
    </row>
    <row r="1906" spans="2:11" x14ac:dyDescent="0.25">
      <c r="B1906" t="s">
        <v>162</v>
      </c>
      <c r="C1906">
        <v>2011</v>
      </c>
      <c r="D1906" s="1">
        <v>290000</v>
      </c>
      <c r="E1906">
        <v>130000</v>
      </c>
      <c r="F1906" t="s">
        <v>15</v>
      </c>
      <c r="G1906" t="s">
        <v>10</v>
      </c>
      <c r="H1906" t="s">
        <v>11</v>
      </c>
      <c r="I1906" t="s">
        <v>18</v>
      </c>
      <c r="J1906">
        <f t="shared" si="58"/>
        <v>15</v>
      </c>
      <c r="K1906" t="str">
        <f t="shared" si="59"/>
        <v>Budget</v>
      </c>
    </row>
    <row r="1907" spans="2:11" x14ac:dyDescent="0.25">
      <c r="B1907" t="s">
        <v>105</v>
      </c>
      <c r="C1907">
        <v>2018</v>
      </c>
      <c r="D1907" s="1">
        <v>700000</v>
      </c>
      <c r="E1907">
        <v>80000</v>
      </c>
      <c r="F1907" t="s">
        <v>15</v>
      </c>
      <c r="G1907" t="s">
        <v>10</v>
      </c>
      <c r="H1907" t="s">
        <v>11</v>
      </c>
      <c r="I1907" t="s">
        <v>12</v>
      </c>
      <c r="J1907">
        <f t="shared" si="58"/>
        <v>8</v>
      </c>
      <c r="K1907" t="str">
        <f t="shared" si="59"/>
        <v>Mid Range</v>
      </c>
    </row>
    <row r="1908" spans="2:11" x14ac:dyDescent="0.25">
      <c r="B1908" t="s">
        <v>1035</v>
      </c>
      <c r="C1908">
        <v>2014</v>
      </c>
      <c r="D1908" s="1">
        <v>175000</v>
      </c>
      <c r="E1908">
        <v>40000</v>
      </c>
      <c r="F1908" t="s">
        <v>9</v>
      </c>
      <c r="G1908" t="s">
        <v>10</v>
      </c>
      <c r="H1908" t="s">
        <v>11</v>
      </c>
      <c r="I1908" t="s">
        <v>12</v>
      </c>
      <c r="J1908">
        <f t="shared" si="58"/>
        <v>12</v>
      </c>
      <c r="K1908" t="str">
        <f t="shared" si="59"/>
        <v>Budget</v>
      </c>
    </row>
    <row r="1909" spans="2:11" x14ac:dyDescent="0.25">
      <c r="B1909" t="s">
        <v>1036</v>
      </c>
      <c r="C1909">
        <v>2017</v>
      </c>
      <c r="D1909" s="1">
        <v>575000</v>
      </c>
      <c r="E1909">
        <v>80000</v>
      </c>
      <c r="F1909" t="s">
        <v>15</v>
      </c>
      <c r="G1909" t="s">
        <v>10</v>
      </c>
      <c r="H1909" t="s">
        <v>11</v>
      </c>
      <c r="I1909" t="s">
        <v>12</v>
      </c>
      <c r="J1909">
        <f t="shared" si="58"/>
        <v>9</v>
      </c>
      <c r="K1909" t="str">
        <f t="shared" si="59"/>
        <v>Mid Range</v>
      </c>
    </row>
    <row r="1910" spans="2:11" x14ac:dyDescent="0.25">
      <c r="B1910" t="s">
        <v>389</v>
      </c>
      <c r="C1910">
        <v>2016</v>
      </c>
      <c r="D1910" s="1">
        <v>380000</v>
      </c>
      <c r="E1910">
        <v>100000</v>
      </c>
      <c r="F1910" t="s">
        <v>15</v>
      </c>
      <c r="G1910" t="s">
        <v>10</v>
      </c>
      <c r="H1910" t="s">
        <v>11</v>
      </c>
      <c r="I1910" t="s">
        <v>18</v>
      </c>
      <c r="J1910">
        <f t="shared" si="58"/>
        <v>10</v>
      </c>
      <c r="K1910" t="str">
        <f t="shared" si="59"/>
        <v>Budget</v>
      </c>
    </row>
    <row r="1911" spans="2:11" x14ac:dyDescent="0.25">
      <c r="B1911" t="s">
        <v>657</v>
      </c>
      <c r="C1911">
        <v>2013</v>
      </c>
      <c r="D1911" s="1">
        <v>350000</v>
      </c>
      <c r="E1911">
        <v>151624</v>
      </c>
      <c r="F1911" t="s">
        <v>15</v>
      </c>
      <c r="G1911" t="s">
        <v>10</v>
      </c>
      <c r="H1911" t="s">
        <v>11</v>
      </c>
      <c r="I1911" t="s">
        <v>18</v>
      </c>
      <c r="J1911">
        <f t="shared" si="58"/>
        <v>13</v>
      </c>
      <c r="K1911" t="str">
        <f t="shared" si="59"/>
        <v>Budget</v>
      </c>
    </row>
    <row r="1912" spans="2:11" x14ac:dyDescent="0.25">
      <c r="B1912" t="s">
        <v>91</v>
      </c>
      <c r="C1912">
        <v>2012</v>
      </c>
      <c r="D1912" s="1">
        <v>450000</v>
      </c>
      <c r="E1912">
        <v>160000</v>
      </c>
      <c r="F1912" t="s">
        <v>15</v>
      </c>
      <c r="G1912" t="s">
        <v>10</v>
      </c>
      <c r="H1912" t="s">
        <v>11</v>
      </c>
      <c r="I1912" t="s">
        <v>12</v>
      </c>
      <c r="J1912">
        <f t="shared" si="58"/>
        <v>14</v>
      </c>
      <c r="K1912" t="str">
        <f t="shared" si="59"/>
        <v>Budget</v>
      </c>
    </row>
    <row r="1913" spans="2:11" x14ac:dyDescent="0.25">
      <c r="B1913" t="s">
        <v>1037</v>
      </c>
      <c r="C1913">
        <v>2005</v>
      </c>
      <c r="D1913" s="1">
        <v>130000</v>
      </c>
      <c r="E1913">
        <v>110000</v>
      </c>
      <c r="F1913" t="s">
        <v>24</v>
      </c>
      <c r="G1913" t="s">
        <v>10</v>
      </c>
      <c r="H1913" t="s">
        <v>11</v>
      </c>
      <c r="I1913" t="s">
        <v>18</v>
      </c>
      <c r="J1913">
        <f t="shared" si="58"/>
        <v>21</v>
      </c>
      <c r="K1913" t="str">
        <f t="shared" si="59"/>
        <v>Budget</v>
      </c>
    </row>
    <row r="1914" spans="2:11" x14ac:dyDescent="0.25">
      <c r="B1914" t="s">
        <v>162</v>
      </c>
      <c r="C1914">
        <v>2015</v>
      </c>
      <c r="D1914" s="1">
        <v>320000</v>
      </c>
      <c r="E1914">
        <v>74820</v>
      </c>
      <c r="F1914" t="s">
        <v>15</v>
      </c>
      <c r="G1914" t="s">
        <v>10</v>
      </c>
      <c r="H1914" t="s">
        <v>11</v>
      </c>
      <c r="I1914" t="s">
        <v>12</v>
      </c>
      <c r="J1914">
        <f t="shared" si="58"/>
        <v>11</v>
      </c>
      <c r="K1914" t="str">
        <f t="shared" si="59"/>
        <v>Budget</v>
      </c>
    </row>
    <row r="1915" spans="2:11" x14ac:dyDescent="0.25">
      <c r="B1915" t="s">
        <v>195</v>
      </c>
      <c r="C1915">
        <v>2014</v>
      </c>
      <c r="D1915" s="1">
        <v>550000</v>
      </c>
      <c r="E1915">
        <v>82000</v>
      </c>
      <c r="F1915" t="s">
        <v>15</v>
      </c>
      <c r="G1915" t="s">
        <v>10</v>
      </c>
      <c r="H1915" t="s">
        <v>11</v>
      </c>
      <c r="I1915" t="s">
        <v>12</v>
      </c>
      <c r="J1915">
        <f t="shared" si="58"/>
        <v>12</v>
      </c>
      <c r="K1915" t="str">
        <f t="shared" si="59"/>
        <v>Mid Range</v>
      </c>
    </row>
    <row r="1916" spans="2:11" x14ac:dyDescent="0.25">
      <c r="B1916" t="s">
        <v>54</v>
      </c>
      <c r="C1916">
        <v>2015</v>
      </c>
      <c r="D1916" s="1">
        <v>370000</v>
      </c>
      <c r="E1916">
        <v>50000</v>
      </c>
      <c r="F1916" t="s">
        <v>9</v>
      </c>
      <c r="G1916" t="s">
        <v>10</v>
      </c>
      <c r="H1916" t="s">
        <v>11</v>
      </c>
      <c r="I1916" t="s">
        <v>18</v>
      </c>
      <c r="J1916">
        <f t="shared" si="58"/>
        <v>11</v>
      </c>
      <c r="K1916" t="str">
        <f t="shared" si="59"/>
        <v>Budget</v>
      </c>
    </row>
    <row r="1917" spans="2:11" x14ac:dyDescent="0.25">
      <c r="B1917" t="s">
        <v>161</v>
      </c>
      <c r="C1917">
        <v>2010</v>
      </c>
      <c r="D1917" s="1">
        <v>114999</v>
      </c>
      <c r="E1917">
        <v>70000</v>
      </c>
      <c r="F1917" t="s">
        <v>9</v>
      </c>
      <c r="G1917" t="s">
        <v>10</v>
      </c>
      <c r="H1917" t="s">
        <v>11</v>
      </c>
      <c r="I1917" t="s">
        <v>18</v>
      </c>
      <c r="J1917">
        <f t="shared" si="58"/>
        <v>16</v>
      </c>
      <c r="K1917" t="str">
        <f t="shared" si="59"/>
        <v>Budget</v>
      </c>
    </row>
    <row r="1918" spans="2:11" x14ac:dyDescent="0.25">
      <c r="B1918" t="s">
        <v>1038</v>
      </c>
      <c r="C1918">
        <v>2020</v>
      </c>
      <c r="D1918" s="1">
        <v>1100000</v>
      </c>
      <c r="E1918">
        <v>1000</v>
      </c>
      <c r="F1918" t="s">
        <v>9</v>
      </c>
      <c r="G1918" t="s">
        <v>10</v>
      </c>
      <c r="H1918" t="s">
        <v>11</v>
      </c>
      <c r="I1918" t="s">
        <v>12</v>
      </c>
      <c r="J1918">
        <f t="shared" si="58"/>
        <v>6</v>
      </c>
      <c r="K1918" t="str">
        <f t="shared" si="59"/>
        <v>Premium</v>
      </c>
    </row>
    <row r="1919" spans="2:11" x14ac:dyDescent="0.25">
      <c r="B1919" t="s">
        <v>1039</v>
      </c>
      <c r="C1919">
        <v>2006</v>
      </c>
      <c r="D1919" s="1">
        <v>170000</v>
      </c>
      <c r="E1919">
        <v>170000</v>
      </c>
      <c r="F1919" t="s">
        <v>15</v>
      </c>
      <c r="G1919" t="s">
        <v>10</v>
      </c>
      <c r="H1919" t="s">
        <v>11</v>
      </c>
      <c r="I1919" t="s">
        <v>12</v>
      </c>
      <c r="J1919">
        <f t="shared" si="58"/>
        <v>20</v>
      </c>
      <c r="K1919" t="str">
        <f t="shared" si="59"/>
        <v>Budget</v>
      </c>
    </row>
    <row r="1920" spans="2:11" x14ac:dyDescent="0.25">
      <c r="B1920" t="s">
        <v>1040</v>
      </c>
      <c r="C1920">
        <v>2008</v>
      </c>
      <c r="D1920" s="1">
        <v>80000</v>
      </c>
      <c r="E1920">
        <v>150000</v>
      </c>
      <c r="F1920" t="s">
        <v>15</v>
      </c>
      <c r="G1920" t="s">
        <v>10</v>
      </c>
      <c r="H1920" t="s">
        <v>11</v>
      </c>
      <c r="I1920" t="s">
        <v>49</v>
      </c>
      <c r="J1920">
        <f t="shared" si="58"/>
        <v>18</v>
      </c>
      <c r="K1920" t="str">
        <f t="shared" si="59"/>
        <v>Budget</v>
      </c>
    </row>
    <row r="1921" spans="2:11" x14ac:dyDescent="0.25">
      <c r="B1921" t="s">
        <v>77</v>
      </c>
      <c r="C1921">
        <v>2019</v>
      </c>
      <c r="D1921" s="1">
        <v>950000</v>
      </c>
      <c r="E1921">
        <v>17000</v>
      </c>
      <c r="F1921" t="s">
        <v>15</v>
      </c>
      <c r="G1921" t="s">
        <v>10</v>
      </c>
      <c r="H1921" t="s">
        <v>11</v>
      </c>
      <c r="I1921" t="s">
        <v>12</v>
      </c>
      <c r="J1921">
        <f t="shared" si="58"/>
        <v>7</v>
      </c>
      <c r="K1921" t="str">
        <f t="shared" si="59"/>
        <v>Mid Range</v>
      </c>
    </row>
    <row r="1922" spans="2:11" x14ac:dyDescent="0.25">
      <c r="B1922" t="s">
        <v>114</v>
      </c>
      <c r="C1922">
        <v>2014</v>
      </c>
      <c r="D1922" s="1">
        <v>425000</v>
      </c>
      <c r="E1922">
        <v>150000</v>
      </c>
      <c r="F1922" t="s">
        <v>15</v>
      </c>
      <c r="G1922" t="s">
        <v>10</v>
      </c>
      <c r="H1922" t="s">
        <v>11</v>
      </c>
      <c r="I1922" t="s">
        <v>12</v>
      </c>
      <c r="J1922">
        <f t="shared" si="58"/>
        <v>12</v>
      </c>
      <c r="K1922" t="str">
        <f t="shared" si="59"/>
        <v>Budget</v>
      </c>
    </row>
    <row r="1923" spans="2:11" x14ac:dyDescent="0.25">
      <c r="B1923" t="s">
        <v>755</v>
      </c>
      <c r="C1923">
        <v>2015</v>
      </c>
      <c r="D1923" s="1">
        <v>500000</v>
      </c>
      <c r="E1923">
        <v>80000</v>
      </c>
      <c r="F1923" t="s">
        <v>15</v>
      </c>
      <c r="G1923" t="s">
        <v>10</v>
      </c>
      <c r="H1923" t="s">
        <v>11</v>
      </c>
      <c r="I1923" t="s">
        <v>12</v>
      </c>
      <c r="J1923">
        <f t="shared" si="58"/>
        <v>11</v>
      </c>
      <c r="K1923" t="str">
        <f t="shared" si="59"/>
        <v>Mid Range</v>
      </c>
    </row>
    <row r="1924" spans="2:11" x14ac:dyDescent="0.25">
      <c r="B1924" t="s">
        <v>573</v>
      </c>
      <c r="C1924">
        <v>2005</v>
      </c>
      <c r="D1924" s="1">
        <v>70000</v>
      </c>
      <c r="E1924">
        <v>170000</v>
      </c>
      <c r="F1924" t="s">
        <v>9</v>
      </c>
      <c r="G1924" t="s">
        <v>10</v>
      </c>
      <c r="H1924" t="s">
        <v>11</v>
      </c>
      <c r="I1924" t="s">
        <v>49</v>
      </c>
      <c r="J1924">
        <f t="shared" si="58"/>
        <v>21</v>
      </c>
      <c r="K1924" t="str">
        <f t="shared" si="59"/>
        <v>Budget</v>
      </c>
    </row>
    <row r="1925" spans="2:11" x14ac:dyDescent="0.25">
      <c r="B1925" t="s">
        <v>665</v>
      </c>
      <c r="C1925">
        <v>2013</v>
      </c>
      <c r="D1925" s="1">
        <v>349000</v>
      </c>
      <c r="E1925">
        <v>120000</v>
      </c>
      <c r="F1925" t="s">
        <v>15</v>
      </c>
      <c r="G1925" t="s">
        <v>10</v>
      </c>
      <c r="H1925" t="s">
        <v>11</v>
      </c>
      <c r="I1925" t="s">
        <v>12</v>
      </c>
      <c r="J1925">
        <f t="shared" si="58"/>
        <v>13</v>
      </c>
      <c r="K1925" t="str">
        <f t="shared" si="59"/>
        <v>Budget</v>
      </c>
    </row>
    <row r="1926" spans="2:11" x14ac:dyDescent="0.25">
      <c r="B1926" t="s">
        <v>184</v>
      </c>
      <c r="C1926">
        <v>2012</v>
      </c>
      <c r="D1926" s="1">
        <v>330000</v>
      </c>
      <c r="E1926">
        <v>90000</v>
      </c>
      <c r="F1926" t="s">
        <v>9</v>
      </c>
      <c r="G1926" t="s">
        <v>10</v>
      </c>
      <c r="H1926" t="s">
        <v>11</v>
      </c>
      <c r="I1926" t="s">
        <v>49</v>
      </c>
      <c r="J1926">
        <f t="shared" ref="J1926:J1989" si="60">2026 - C1926</f>
        <v>14</v>
      </c>
      <c r="K1926" t="str">
        <f t="shared" ref="K1926:K1989" si="61">IF(D1926&lt;500000,"Budget",IF(D1926&lt;=1000000,"Mid Range","Premium"))</f>
        <v>Budget</v>
      </c>
    </row>
    <row r="1927" spans="2:11" x14ac:dyDescent="0.25">
      <c r="B1927" t="s">
        <v>56</v>
      </c>
      <c r="C1927">
        <v>2010</v>
      </c>
      <c r="D1927" s="1">
        <v>120000</v>
      </c>
      <c r="E1927">
        <v>90000</v>
      </c>
      <c r="F1927" t="s">
        <v>9</v>
      </c>
      <c r="G1927" t="s">
        <v>10</v>
      </c>
      <c r="H1927" t="s">
        <v>11</v>
      </c>
      <c r="I1927" t="s">
        <v>49</v>
      </c>
      <c r="J1927">
        <f t="shared" si="60"/>
        <v>16</v>
      </c>
      <c r="K1927" t="str">
        <f t="shared" si="61"/>
        <v>Budget</v>
      </c>
    </row>
    <row r="1928" spans="2:11" x14ac:dyDescent="0.25">
      <c r="B1928" t="s">
        <v>243</v>
      </c>
      <c r="C1928">
        <v>2013</v>
      </c>
      <c r="D1928" s="1">
        <v>430000</v>
      </c>
      <c r="E1928">
        <v>100000</v>
      </c>
      <c r="F1928" t="s">
        <v>15</v>
      </c>
      <c r="G1928" t="s">
        <v>10</v>
      </c>
      <c r="H1928" t="s">
        <v>11</v>
      </c>
      <c r="I1928" t="s">
        <v>18</v>
      </c>
      <c r="J1928">
        <f t="shared" si="60"/>
        <v>13</v>
      </c>
      <c r="K1928" t="str">
        <f t="shared" si="61"/>
        <v>Budget</v>
      </c>
    </row>
    <row r="1929" spans="2:11" x14ac:dyDescent="0.25">
      <c r="B1929" t="s">
        <v>162</v>
      </c>
      <c r="C1929">
        <v>2014</v>
      </c>
      <c r="D1929" s="1">
        <v>390000</v>
      </c>
      <c r="E1929">
        <v>90000</v>
      </c>
      <c r="F1929" t="s">
        <v>15</v>
      </c>
      <c r="G1929" t="s">
        <v>10</v>
      </c>
      <c r="H1929" t="s">
        <v>11</v>
      </c>
      <c r="I1929" t="s">
        <v>12</v>
      </c>
      <c r="J1929">
        <f t="shared" si="60"/>
        <v>12</v>
      </c>
      <c r="K1929" t="str">
        <f t="shared" si="61"/>
        <v>Budget</v>
      </c>
    </row>
    <row r="1930" spans="2:11" x14ac:dyDescent="0.25">
      <c r="B1930" t="s">
        <v>1041</v>
      </c>
      <c r="C1930">
        <v>2012</v>
      </c>
      <c r="D1930" s="1">
        <v>225000</v>
      </c>
      <c r="E1930">
        <v>129000</v>
      </c>
      <c r="F1930" t="s">
        <v>15</v>
      </c>
      <c r="G1930" t="s">
        <v>10</v>
      </c>
      <c r="H1930" t="s">
        <v>11</v>
      </c>
      <c r="I1930" t="s">
        <v>12</v>
      </c>
      <c r="J1930">
        <f t="shared" si="60"/>
        <v>14</v>
      </c>
      <c r="K1930" t="str">
        <f t="shared" si="61"/>
        <v>Budget</v>
      </c>
    </row>
    <row r="1931" spans="2:11" x14ac:dyDescent="0.25">
      <c r="B1931" t="s">
        <v>251</v>
      </c>
      <c r="C1931">
        <v>2010</v>
      </c>
      <c r="D1931" s="1">
        <v>350000</v>
      </c>
      <c r="E1931">
        <v>186000</v>
      </c>
      <c r="F1931" t="s">
        <v>15</v>
      </c>
      <c r="G1931" t="s">
        <v>10</v>
      </c>
      <c r="H1931" t="s">
        <v>28</v>
      </c>
      <c r="I1931" t="s">
        <v>18</v>
      </c>
      <c r="J1931">
        <f t="shared" si="60"/>
        <v>16</v>
      </c>
      <c r="K1931" t="str">
        <f t="shared" si="61"/>
        <v>Budget</v>
      </c>
    </row>
    <row r="1932" spans="2:11" x14ac:dyDescent="0.25">
      <c r="B1932" t="s">
        <v>1042</v>
      </c>
      <c r="C1932">
        <v>2009</v>
      </c>
      <c r="D1932" s="1">
        <v>100000</v>
      </c>
      <c r="E1932">
        <v>66778</v>
      </c>
      <c r="F1932" t="s">
        <v>15</v>
      </c>
      <c r="G1932" t="s">
        <v>10</v>
      </c>
      <c r="H1932" t="s">
        <v>11</v>
      </c>
      <c r="I1932" t="s">
        <v>12</v>
      </c>
      <c r="J1932">
        <f t="shared" si="60"/>
        <v>17</v>
      </c>
      <c r="K1932" t="str">
        <f t="shared" si="61"/>
        <v>Budget</v>
      </c>
    </row>
    <row r="1933" spans="2:11" x14ac:dyDescent="0.25">
      <c r="B1933" t="s">
        <v>136</v>
      </c>
      <c r="C1933">
        <v>2014</v>
      </c>
      <c r="D1933" s="1">
        <v>190000</v>
      </c>
      <c r="E1933">
        <v>50000</v>
      </c>
      <c r="F1933" t="s">
        <v>9</v>
      </c>
      <c r="G1933" t="s">
        <v>10</v>
      </c>
      <c r="H1933" t="s">
        <v>11</v>
      </c>
      <c r="I1933" t="s">
        <v>12</v>
      </c>
      <c r="J1933">
        <f t="shared" si="60"/>
        <v>12</v>
      </c>
      <c r="K1933" t="str">
        <f t="shared" si="61"/>
        <v>Budget</v>
      </c>
    </row>
    <row r="1934" spans="2:11" x14ac:dyDescent="0.25">
      <c r="B1934" t="s">
        <v>61</v>
      </c>
      <c r="C1934">
        <v>2014</v>
      </c>
      <c r="D1934" s="1">
        <v>315000</v>
      </c>
      <c r="E1934">
        <v>110000</v>
      </c>
      <c r="F1934" t="s">
        <v>15</v>
      </c>
      <c r="G1934" t="s">
        <v>10</v>
      </c>
      <c r="H1934" t="s">
        <v>11</v>
      </c>
      <c r="I1934" t="s">
        <v>18</v>
      </c>
      <c r="J1934">
        <f t="shared" si="60"/>
        <v>12</v>
      </c>
      <c r="K1934" t="str">
        <f t="shared" si="61"/>
        <v>Budget</v>
      </c>
    </row>
    <row r="1935" spans="2:11" x14ac:dyDescent="0.25">
      <c r="B1935" t="s">
        <v>228</v>
      </c>
      <c r="C1935">
        <v>2015</v>
      </c>
      <c r="D1935" s="1">
        <v>300000</v>
      </c>
      <c r="E1935">
        <v>60000</v>
      </c>
      <c r="F1935" t="s">
        <v>15</v>
      </c>
      <c r="G1935" t="s">
        <v>10</v>
      </c>
      <c r="H1935" t="s">
        <v>11</v>
      </c>
      <c r="I1935" t="s">
        <v>18</v>
      </c>
      <c r="J1935">
        <f t="shared" si="60"/>
        <v>11</v>
      </c>
      <c r="K1935" t="str">
        <f t="shared" si="61"/>
        <v>Budget</v>
      </c>
    </row>
    <row r="1936" spans="2:11" x14ac:dyDescent="0.25">
      <c r="B1936" t="s">
        <v>110</v>
      </c>
      <c r="C1936">
        <v>2016</v>
      </c>
      <c r="D1936" s="1">
        <v>280000</v>
      </c>
      <c r="E1936">
        <v>40000</v>
      </c>
      <c r="F1936" t="s">
        <v>9</v>
      </c>
      <c r="G1936" t="s">
        <v>10</v>
      </c>
      <c r="H1936" t="s">
        <v>11</v>
      </c>
      <c r="I1936" t="s">
        <v>12</v>
      </c>
      <c r="J1936">
        <f t="shared" si="60"/>
        <v>10</v>
      </c>
      <c r="K1936" t="str">
        <f t="shared" si="61"/>
        <v>Budget</v>
      </c>
    </row>
    <row r="1937" spans="2:11" x14ac:dyDescent="0.25">
      <c r="B1937" t="s">
        <v>254</v>
      </c>
      <c r="C1937">
        <v>2018</v>
      </c>
      <c r="D1937" s="1">
        <v>539000</v>
      </c>
      <c r="E1937">
        <v>10000</v>
      </c>
      <c r="F1937" t="s">
        <v>9</v>
      </c>
      <c r="G1937" t="s">
        <v>10</v>
      </c>
      <c r="H1937" t="s">
        <v>11</v>
      </c>
      <c r="I1937" t="s">
        <v>12</v>
      </c>
      <c r="J1937">
        <f t="shared" si="60"/>
        <v>8</v>
      </c>
      <c r="K1937" t="str">
        <f t="shared" si="61"/>
        <v>Mid Range</v>
      </c>
    </row>
    <row r="1938" spans="2:11" x14ac:dyDescent="0.25">
      <c r="B1938" t="s">
        <v>1043</v>
      </c>
      <c r="C1938">
        <v>2017</v>
      </c>
      <c r="D1938" s="1">
        <v>420000</v>
      </c>
      <c r="E1938">
        <v>50000</v>
      </c>
      <c r="F1938" t="s">
        <v>9</v>
      </c>
      <c r="G1938" t="s">
        <v>10</v>
      </c>
      <c r="H1938" t="s">
        <v>11</v>
      </c>
      <c r="I1938" t="s">
        <v>12</v>
      </c>
      <c r="J1938">
        <f t="shared" si="60"/>
        <v>9</v>
      </c>
      <c r="K1938" t="str">
        <f t="shared" si="61"/>
        <v>Budget</v>
      </c>
    </row>
    <row r="1939" spans="2:11" x14ac:dyDescent="0.25">
      <c r="B1939" t="s">
        <v>738</v>
      </c>
      <c r="C1939">
        <v>2001</v>
      </c>
      <c r="D1939" s="1">
        <v>85000</v>
      </c>
      <c r="E1939">
        <v>70000</v>
      </c>
      <c r="F1939" t="s">
        <v>9</v>
      </c>
      <c r="G1939" t="s">
        <v>10</v>
      </c>
      <c r="H1939" t="s">
        <v>11</v>
      </c>
      <c r="I1939" t="s">
        <v>49</v>
      </c>
      <c r="J1939">
        <f t="shared" si="60"/>
        <v>25</v>
      </c>
      <c r="K1939" t="str">
        <f t="shared" si="61"/>
        <v>Budget</v>
      </c>
    </row>
    <row r="1940" spans="2:11" x14ac:dyDescent="0.25">
      <c r="B1940" t="s">
        <v>1044</v>
      </c>
      <c r="C1940">
        <v>2004</v>
      </c>
      <c r="D1940" s="1">
        <v>142000</v>
      </c>
      <c r="E1940">
        <v>73000</v>
      </c>
      <c r="F1940" t="s">
        <v>9</v>
      </c>
      <c r="G1940" t="s">
        <v>10</v>
      </c>
      <c r="H1940" t="s">
        <v>11</v>
      </c>
      <c r="I1940" t="s">
        <v>46</v>
      </c>
      <c r="J1940">
        <f t="shared" si="60"/>
        <v>22</v>
      </c>
      <c r="K1940" t="str">
        <f t="shared" si="61"/>
        <v>Budget</v>
      </c>
    </row>
    <row r="1941" spans="2:11" x14ac:dyDescent="0.25">
      <c r="B1941" t="s">
        <v>568</v>
      </c>
      <c r="C1941">
        <v>2014</v>
      </c>
      <c r="D1941" s="1">
        <v>180000</v>
      </c>
      <c r="E1941">
        <v>76000</v>
      </c>
      <c r="F1941" t="s">
        <v>9</v>
      </c>
      <c r="G1941" t="s">
        <v>10</v>
      </c>
      <c r="H1941" t="s">
        <v>11</v>
      </c>
      <c r="I1941" t="s">
        <v>18</v>
      </c>
      <c r="J1941">
        <f t="shared" si="60"/>
        <v>12</v>
      </c>
      <c r="K1941" t="str">
        <f t="shared" si="61"/>
        <v>Budget</v>
      </c>
    </row>
    <row r="1942" spans="2:11" x14ac:dyDescent="0.25">
      <c r="B1942" t="s">
        <v>1045</v>
      </c>
      <c r="C1942">
        <v>2014</v>
      </c>
      <c r="D1942" s="1">
        <v>400000</v>
      </c>
      <c r="E1942">
        <v>120000</v>
      </c>
      <c r="F1942" t="s">
        <v>15</v>
      </c>
      <c r="G1942" t="s">
        <v>10</v>
      </c>
      <c r="H1942" t="s">
        <v>11</v>
      </c>
      <c r="I1942" t="s">
        <v>18</v>
      </c>
      <c r="J1942">
        <f t="shared" si="60"/>
        <v>12</v>
      </c>
      <c r="K1942" t="str">
        <f t="shared" si="61"/>
        <v>Budget</v>
      </c>
    </row>
    <row r="1943" spans="2:11" x14ac:dyDescent="0.25">
      <c r="B1943" t="s">
        <v>1046</v>
      </c>
      <c r="C1943">
        <v>2009</v>
      </c>
      <c r="D1943" s="1">
        <v>360000</v>
      </c>
      <c r="E1943">
        <v>170000</v>
      </c>
      <c r="F1943" t="s">
        <v>15</v>
      </c>
      <c r="G1943" t="s">
        <v>10</v>
      </c>
      <c r="H1943" t="s">
        <v>28</v>
      </c>
      <c r="I1943" t="s">
        <v>49</v>
      </c>
      <c r="J1943">
        <f t="shared" si="60"/>
        <v>17</v>
      </c>
      <c r="K1943" t="str">
        <f t="shared" si="61"/>
        <v>Budget</v>
      </c>
    </row>
    <row r="1944" spans="2:11" x14ac:dyDescent="0.25">
      <c r="B1944" t="s">
        <v>164</v>
      </c>
      <c r="C1944">
        <v>2003</v>
      </c>
      <c r="D1944" s="1">
        <v>85000</v>
      </c>
      <c r="E1944">
        <v>110000</v>
      </c>
      <c r="F1944" t="s">
        <v>9</v>
      </c>
      <c r="G1944" t="s">
        <v>10</v>
      </c>
      <c r="H1944" t="s">
        <v>11</v>
      </c>
      <c r="I1944" t="s">
        <v>18</v>
      </c>
      <c r="J1944">
        <f t="shared" si="60"/>
        <v>23</v>
      </c>
      <c r="K1944" t="str">
        <f t="shared" si="61"/>
        <v>Budget</v>
      </c>
    </row>
    <row r="1945" spans="2:11" x14ac:dyDescent="0.25">
      <c r="B1945" t="s">
        <v>541</v>
      </c>
      <c r="C1945">
        <v>2016</v>
      </c>
      <c r="D1945" s="1">
        <v>350000</v>
      </c>
      <c r="E1945">
        <v>63400</v>
      </c>
      <c r="F1945" t="s">
        <v>9</v>
      </c>
      <c r="G1945" t="s">
        <v>10</v>
      </c>
      <c r="H1945" t="s">
        <v>11</v>
      </c>
      <c r="I1945" t="s">
        <v>12</v>
      </c>
      <c r="J1945">
        <f t="shared" si="60"/>
        <v>10</v>
      </c>
      <c r="K1945" t="str">
        <f t="shared" si="61"/>
        <v>Budget</v>
      </c>
    </row>
    <row r="1946" spans="2:11" x14ac:dyDescent="0.25">
      <c r="B1946" t="s">
        <v>1047</v>
      </c>
      <c r="C1946">
        <v>2015</v>
      </c>
      <c r="D1946" s="1">
        <v>380000</v>
      </c>
      <c r="E1946">
        <v>25000</v>
      </c>
      <c r="F1946" t="s">
        <v>9</v>
      </c>
      <c r="G1946" t="s">
        <v>10</v>
      </c>
      <c r="H1946" t="s">
        <v>11</v>
      </c>
      <c r="I1946" t="s">
        <v>12</v>
      </c>
      <c r="J1946">
        <f t="shared" si="60"/>
        <v>11</v>
      </c>
      <c r="K1946" t="str">
        <f t="shared" si="61"/>
        <v>Budget</v>
      </c>
    </row>
    <row r="1947" spans="2:11" x14ac:dyDescent="0.25">
      <c r="B1947" t="s">
        <v>212</v>
      </c>
      <c r="C1947">
        <v>2009</v>
      </c>
      <c r="D1947" s="1">
        <v>140000</v>
      </c>
      <c r="E1947">
        <v>80000</v>
      </c>
      <c r="F1947" t="s">
        <v>9</v>
      </c>
      <c r="G1947" t="s">
        <v>10</v>
      </c>
      <c r="H1947" t="s">
        <v>11</v>
      </c>
      <c r="I1947" t="s">
        <v>49</v>
      </c>
      <c r="J1947">
        <f t="shared" si="60"/>
        <v>17</v>
      </c>
      <c r="K1947" t="str">
        <f t="shared" si="61"/>
        <v>Budget</v>
      </c>
    </row>
    <row r="1948" spans="2:11" x14ac:dyDescent="0.25">
      <c r="B1948" t="s">
        <v>54</v>
      </c>
      <c r="C1948">
        <v>2012</v>
      </c>
      <c r="D1948" s="1">
        <v>200000</v>
      </c>
      <c r="E1948">
        <v>90000</v>
      </c>
      <c r="F1948" t="s">
        <v>9</v>
      </c>
      <c r="G1948" t="s">
        <v>10</v>
      </c>
      <c r="H1948" t="s">
        <v>11</v>
      </c>
      <c r="I1948" t="s">
        <v>12</v>
      </c>
      <c r="J1948">
        <f t="shared" si="60"/>
        <v>14</v>
      </c>
      <c r="K1948" t="str">
        <f t="shared" si="61"/>
        <v>Budget</v>
      </c>
    </row>
    <row r="1949" spans="2:11" x14ac:dyDescent="0.25">
      <c r="B1949" t="s">
        <v>1048</v>
      </c>
      <c r="C1949">
        <v>2011</v>
      </c>
      <c r="D1949" s="1">
        <v>150000</v>
      </c>
      <c r="E1949">
        <v>157000</v>
      </c>
      <c r="F1949" t="s">
        <v>9</v>
      </c>
      <c r="G1949" t="s">
        <v>10</v>
      </c>
      <c r="H1949" t="s">
        <v>11</v>
      </c>
      <c r="I1949" t="s">
        <v>12</v>
      </c>
      <c r="J1949">
        <f t="shared" si="60"/>
        <v>15</v>
      </c>
      <c r="K1949" t="str">
        <f t="shared" si="61"/>
        <v>Budget</v>
      </c>
    </row>
    <row r="1950" spans="2:11" x14ac:dyDescent="0.25">
      <c r="B1950" t="s">
        <v>627</v>
      </c>
      <c r="C1950">
        <v>2007</v>
      </c>
      <c r="D1950" s="1">
        <v>300000</v>
      </c>
      <c r="E1950">
        <v>100000</v>
      </c>
      <c r="F1950" t="s">
        <v>15</v>
      </c>
      <c r="G1950" t="s">
        <v>10</v>
      </c>
      <c r="H1950" t="s">
        <v>11</v>
      </c>
      <c r="I1950" t="s">
        <v>18</v>
      </c>
      <c r="J1950">
        <f t="shared" si="60"/>
        <v>19</v>
      </c>
      <c r="K1950" t="str">
        <f t="shared" si="61"/>
        <v>Budget</v>
      </c>
    </row>
    <row r="1951" spans="2:11" x14ac:dyDescent="0.25">
      <c r="B1951" t="s">
        <v>110</v>
      </c>
      <c r="C1951">
        <v>2017</v>
      </c>
      <c r="D1951" s="1">
        <v>280000</v>
      </c>
      <c r="E1951">
        <v>50000</v>
      </c>
      <c r="F1951" t="s">
        <v>9</v>
      </c>
      <c r="G1951" t="s">
        <v>10</v>
      </c>
      <c r="H1951" t="s">
        <v>11</v>
      </c>
      <c r="I1951" t="s">
        <v>12</v>
      </c>
      <c r="J1951">
        <f t="shared" si="60"/>
        <v>9</v>
      </c>
      <c r="K1951" t="str">
        <f t="shared" si="61"/>
        <v>Budget</v>
      </c>
    </row>
    <row r="1952" spans="2:11" x14ac:dyDescent="0.25">
      <c r="B1952" t="s">
        <v>453</v>
      </c>
      <c r="C1952">
        <v>2011</v>
      </c>
      <c r="D1952" s="1">
        <v>200000</v>
      </c>
      <c r="E1952">
        <v>40000</v>
      </c>
      <c r="F1952" t="s">
        <v>9</v>
      </c>
      <c r="G1952" t="s">
        <v>10</v>
      </c>
      <c r="H1952" t="s">
        <v>11</v>
      </c>
      <c r="I1952" t="s">
        <v>12</v>
      </c>
      <c r="J1952">
        <f t="shared" si="60"/>
        <v>15</v>
      </c>
      <c r="K1952" t="str">
        <f t="shared" si="61"/>
        <v>Budget</v>
      </c>
    </row>
    <row r="1953" spans="2:11" x14ac:dyDescent="0.25">
      <c r="B1953" t="s">
        <v>1049</v>
      </c>
      <c r="C1953">
        <v>2009</v>
      </c>
      <c r="D1953" s="1">
        <v>110000</v>
      </c>
      <c r="E1953">
        <v>38500</v>
      </c>
      <c r="F1953" t="s">
        <v>9</v>
      </c>
      <c r="G1953" t="s">
        <v>10</v>
      </c>
      <c r="H1953" t="s">
        <v>11</v>
      </c>
      <c r="I1953" t="s">
        <v>18</v>
      </c>
      <c r="J1953">
        <f t="shared" si="60"/>
        <v>17</v>
      </c>
      <c r="K1953" t="str">
        <f t="shared" si="61"/>
        <v>Budget</v>
      </c>
    </row>
    <row r="1954" spans="2:11" x14ac:dyDescent="0.25">
      <c r="B1954" t="s">
        <v>426</v>
      </c>
      <c r="C1954">
        <v>2008</v>
      </c>
      <c r="D1954" s="1">
        <v>140000</v>
      </c>
      <c r="E1954">
        <v>103921</v>
      </c>
      <c r="F1954" t="s">
        <v>9</v>
      </c>
      <c r="G1954" t="s">
        <v>10</v>
      </c>
      <c r="H1954" t="s">
        <v>11</v>
      </c>
      <c r="I1954" t="s">
        <v>18</v>
      </c>
      <c r="J1954">
        <f t="shared" si="60"/>
        <v>18</v>
      </c>
      <c r="K1954" t="str">
        <f t="shared" si="61"/>
        <v>Budget</v>
      </c>
    </row>
    <row r="1955" spans="2:11" x14ac:dyDescent="0.25">
      <c r="B1955" t="s">
        <v>885</v>
      </c>
      <c r="C1955">
        <v>2018</v>
      </c>
      <c r="D1955" s="1">
        <v>1150000</v>
      </c>
      <c r="E1955">
        <v>14825</v>
      </c>
      <c r="F1955" t="s">
        <v>9</v>
      </c>
      <c r="G1955" t="s">
        <v>27</v>
      </c>
      <c r="H1955" t="s">
        <v>11</v>
      </c>
      <c r="I1955" t="s">
        <v>12</v>
      </c>
      <c r="J1955">
        <f t="shared" si="60"/>
        <v>8</v>
      </c>
      <c r="K1955" t="str">
        <f t="shared" si="61"/>
        <v>Premium</v>
      </c>
    </row>
    <row r="1956" spans="2:11" x14ac:dyDescent="0.25">
      <c r="B1956" t="s">
        <v>1050</v>
      </c>
      <c r="C1956">
        <v>2016</v>
      </c>
      <c r="D1956" s="1">
        <v>910000</v>
      </c>
      <c r="E1956">
        <v>43377</v>
      </c>
      <c r="F1956" t="s">
        <v>15</v>
      </c>
      <c r="G1956" t="s">
        <v>27</v>
      </c>
      <c r="H1956" t="s">
        <v>11</v>
      </c>
      <c r="I1956" t="s">
        <v>12</v>
      </c>
      <c r="J1956">
        <f t="shared" si="60"/>
        <v>10</v>
      </c>
      <c r="K1956" t="str">
        <f t="shared" si="61"/>
        <v>Mid Range</v>
      </c>
    </row>
    <row r="1957" spans="2:11" x14ac:dyDescent="0.25">
      <c r="B1957" t="s">
        <v>180</v>
      </c>
      <c r="C1957">
        <v>2010</v>
      </c>
      <c r="D1957" s="1">
        <v>160000</v>
      </c>
      <c r="E1957">
        <v>102307</v>
      </c>
      <c r="F1957" t="s">
        <v>15</v>
      </c>
      <c r="G1957" t="s">
        <v>27</v>
      </c>
      <c r="H1957" t="s">
        <v>11</v>
      </c>
      <c r="I1957" t="s">
        <v>12</v>
      </c>
      <c r="J1957">
        <f t="shared" si="60"/>
        <v>16</v>
      </c>
      <c r="K1957" t="str">
        <f t="shared" si="61"/>
        <v>Budget</v>
      </c>
    </row>
    <row r="1958" spans="2:11" x14ac:dyDescent="0.25">
      <c r="B1958" t="s">
        <v>120</v>
      </c>
      <c r="C1958">
        <v>2004</v>
      </c>
      <c r="D1958" s="1">
        <v>105000</v>
      </c>
      <c r="E1958">
        <v>79000</v>
      </c>
      <c r="F1958" t="s">
        <v>9</v>
      </c>
      <c r="G1958" t="s">
        <v>10</v>
      </c>
      <c r="H1958" t="s">
        <v>11</v>
      </c>
      <c r="I1958" t="s">
        <v>18</v>
      </c>
      <c r="J1958">
        <f t="shared" si="60"/>
        <v>22</v>
      </c>
      <c r="K1958" t="str">
        <f t="shared" si="61"/>
        <v>Budget</v>
      </c>
    </row>
    <row r="1959" spans="2:11" x14ac:dyDescent="0.25">
      <c r="B1959" t="s">
        <v>153</v>
      </c>
      <c r="C1959">
        <v>2004</v>
      </c>
      <c r="D1959" s="1">
        <v>70000</v>
      </c>
      <c r="E1959">
        <v>90000</v>
      </c>
      <c r="F1959" t="s">
        <v>9</v>
      </c>
      <c r="G1959" t="s">
        <v>10</v>
      </c>
      <c r="H1959" t="s">
        <v>11</v>
      </c>
      <c r="I1959" t="s">
        <v>46</v>
      </c>
      <c r="J1959">
        <f t="shared" si="60"/>
        <v>22</v>
      </c>
      <c r="K1959" t="str">
        <f t="shared" si="61"/>
        <v>Budget</v>
      </c>
    </row>
    <row r="1960" spans="2:11" x14ac:dyDescent="0.25">
      <c r="B1960" t="s">
        <v>119</v>
      </c>
      <c r="C1960">
        <v>2012</v>
      </c>
      <c r="D1960" s="1">
        <v>160000</v>
      </c>
      <c r="E1960">
        <v>110000</v>
      </c>
      <c r="F1960" t="s">
        <v>15</v>
      </c>
      <c r="G1960" t="s">
        <v>10</v>
      </c>
      <c r="H1960" t="s">
        <v>11</v>
      </c>
      <c r="I1960" t="s">
        <v>12</v>
      </c>
      <c r="J1960">
        <f t="shared" si="60"/>
        <v>14</v>
      </c>
      <c r="K1960" t="str">
        <f t="shared" si="61"/>
        <v>Budget</v>
      </c>
    </row>
    <row r="1961" spans="2:11" x14ac:dyDescent="0.25">
      <c r="B1961" t="s">
        <v>1051</v>
      </c>
      <c r="C1961">
        <v>2013</v>
      </c>
      <c r="D1961" s="1">
        <v>225000</v>
      </c>
      <c r="E1961">
        <v>80000</v>
      </c>
      <c r="F1961" t="s">
        <v>15</v>
      </c>
      <c r="G1961" t="s">
        <v>10</v>
      </c>
      <c r="H1961" t="s">
        <v>11</v>
      </c>
      <c r="I1961" t="s">
        <v>12</v>
      </c>
      <c r="J1961">
        <f t="shared" si="60"/>
        <v>13</v>
      </c>
      <c r="K1961" t="str">
        <f t="shared" si="61"/>
        <v>Budget</v>
      </c>
    </row>
    <row r="1962" spans="2:11" x14ac:dyDescent="0.25">
      <c r="B1962" t="s">
        <v>1052</v>
      </c>
      <c r="C1962">
        <v>2002</v>
      </c>
      <c r="D1962" s="1">
        <v>145000</v>
      </c>
      <c r="E1962">
        <v>100000</v>
      </c>
      <c r="F1962" t="s">
        <v>9</v>
      </c>
      <c r="G1962" t="s">
        <v>10</v>
      </c>
      <c r="H1962" t="s">
        <v>11</v>
      </c>
      <c r="I1962" t="s">
        <v>12</v>
      </c>
      <c r="J1962">
        <f t="shared" si="60"/>
        <v>24</v>
      </c>
      <c r="K1962" t="str">
        <f t="shared" si="61"/>
        <v>Budget</v>
      </c>
    </row>
    <row r="1963" spans="2:11" x14ac:dyDescent="0.25">
      <c r="B1963" t="s">
        <v>132</v>
      </c>
      <c r="C1963">
        <v>2018</v>
      </c>
      <c r="D1963" s="1">
        <v>930000</v>
      </c>
      <c r="E1963">
        <v>20000</v>
      </c>
      <c r="F1963" t="s">
        <v>15</v>
      </c>
      <c r="G1963" t="s">
        <v>10</v>
      </c>
      <c r="H1963" t="s">
        <v>11</v>
      </c>
      <c r="I1963" t="s">
        <v>12</v>
      </c>
      <c r="J1963">
        <f t="shared" si="60"/>
        <v>8</v>
      </c>
      <c r="K1963" t="str">
        <f t="shared" si="61"/>
        <v>Mid Range</v>
      </c>
    </row>
    <row r="1964" spans="2:11" x14ac:dyDescent="0.25">
      <c r="B1964" t="s">
        <v>1053</v>
      </c>
      <c r="C1964">
        <v>2008</v>
      </c>
      <c r="D1964" s="1">
        <v>110000</v>
      </c>
      <c r="E1964">
        <v>154000</v>
      </c>
      <c r="F1964" t="s">
        <v>15</v>
      </c>
      <c r="G1964" t="s">
        <v>10</v>
      </c>
      <c r="H1964" t="s">
        <v>11</v>
      </c>
      <c r="I1964" t="s">
        <v>49</v>
      </c>
      <c r="J1964">
        <f t="shared" si="60"/>
        <v>18</v>
      </c>
      <c r="K1964" t="str">
        <f t="shared" si="61"/>
        <v>Budget</v>
      </c>
    </row>
    <row r="1965" spans="2:11" x14ac:dyDescent="0.25">
      <c r="B1965" t="s">
        <v>1054</v>
      </c>
      <c r="C1965">
        <v>2017</v>
      </c>
      <c r="D1965" s="1">
        <v>650000</v>
      </c>
      <c r="E1965">
        <v>40000</v>
      </c>
      <c r="F1965" t="s">
        <v>15</v>
      </c>
      <c r="G1965" t="s">
        <v>10</v>
      </c>
      <c r="H1965" t="s">
        <v>11</v>
      </c>
      <c r="I1965" t="s">
        <v>12</v>
      </c>
      <c r="J1965">
        <f t="shared" si="60"/>
        <v>9</v>
      </c>
      <c r="K1965" t="str">
        <f t="shared" si="61"/>
        <v>Mid Range</v>
      </c>
    </row>
    <row r="1966" spans="2:11" x14ac:dyDescent="0.25">
      <c r="B1966" t="s">
        <v>443</v>
      </c>
      <c r="C1966">
        <v>2019</v>
      </c>
      <c r="D1966" s="1">
        <v>550000</v>
      </c>
      <c r="E1966">
        <v>51000</v>
      </c>
      <c r="F1966" t="s">
        <v>9</v>
      </c>
      <c r="G1966" t="s">
        <v>10</v>
      </c>
      <c r="H1966" t="s">
        <v>11</v>
      </c>
      <c r="I1966" t="s">
        <v>12</v>
      </c>
      <c r="J1966">
        <f t="shared" si="60"/>
        <v>7</v>
      </c>
      <c r="K1966" t="str">
        <f t="shared" si="61"/>
        <v>Mid Range</v>
      </c>
    </row>
    <row r="1967" spans="2:11" x14ac:dyDescent="0.25">
      <c r="B1967" t="s">
        <v>19</v>
      </c>
      <c r="C1967">
        <v>2008</v>
      </c>
      <c r="D1967" s="1">
        <v>85000</v>
      </c>
      <c r="E1967">
        <v>120000</v>
      </c>
      <c r="F1967" t="s">
        <v>9</v>
      </c>
      <c r="G1967" t="s">
        <v>10</v>
      </c>
      <c r="H1967" t="s">
        <v>11</v>
      </c>
      <c r="I1967" t="s">
        <v>18</v>
      </c>
      <c r="J1967">
        <f t="shared" si="60"/>
        <v>18</v>
      </c>
      <c r="K1967" t="str">
        <f t="shared" si="61"/>
        <v>Budget</v>
      </c>
    </row>
    <row r="1968" spans="2:11" x14ac:dyDescent="0.25">
      <c r="B1968" t="s">
        <v>1055</v>
      </c>
      <c r="C1968">
        <v>2016</v>
      </c>
      <c r="D1968" s="1">
        <v>509999</v>
      </c>
      <c r="E1968">
        <v>35000</v>
      </c>
      <c r="F1968" t="s">
        <v>9</v>
      </c>
      <c r="G1968" t="s">
        <v>10</v>
      </c>
      <c r="H1968" t="s">
        <v>11</v>
      </c>
      <c r="I1968" t="s">
        <v>12</v>
      </c>
      <c r="J1968">
        <f t="shared" si="60"/>
        <v>10</v>
      </c>
      <c r="K1968" t="str">
        <f t="shared" si="61"/>
        <v>Mid Range</v>
      </c>
    </row>
    <row r="1969" spans="2:11" x14ac:dyDescent="0.25">
      <c r="B1969" t="s">
        <v>280</v>
      </c>
      <c r="C1969">
        <v>2017</v>
      </c>
      <c r="D1969" s="1">
        <v>650000</v>
      </c>
      <c r="E1969">
        <v>70000</v>
      </c>
      <c r="F1969" t="s">
        <v>15</v>
      </c>
      <c r="G1969" t="s">
        <v>10</v>
      </c>
      <c r="H1969" t="s">
        <v>11</v>
      </c>
      <c r="I1969" t="s">
        <v>12</v>
      </c>
      <c r="J1969">
        <f t="shared" si="60"/>
        <v>9</v>
      </c>
      <c r="K1969" t="str">
        <f t="shared" si="61"/>
        <v>Mid Range</v>
      </c>
    </row>
    <row r="1970" spans="2:11" x14ac:dyDescent="0.25">
      <c r="B1970" t="s">
        <v>135</v>
      </c>
      <c r="C1970">
        <v>2011</v>
      </c>
      <c r="D1970" s="1">
        <v>140000</v>
      </c>
      <c r="E1970">
        <v>60000</v>
      </c>
      <c r="F1970" t="s">
        <v>9</v>
      </c>
      <c r="G1970" t="s">
        <v>10</v>
      </c>
      <c r="H1970" t="s">
        <v>11</v>
      </c>
      <c r="I1970" t="s">
        <v>18</v>
      </c>
      <c r="J1970">
        <f t="shared" si="60"/>
        <v>15</v>
      </c>
      <c r="K1970" t="str">
        <f t="shared" si="61"/>
        <v>Budget</v>
      </c>
    </row>
    <row r="1971" spans="2:11" x14ac:dyDescent="0.25">
      <c r="B1971" t="s">
        <v>58</v>
      </c>
      <c r="C1971">
        <v>2011</v>
      </c>
      <c r="D1971" s="1">
        <v>150000</v>
      </c>
      <c r="E1971">
        <v>70000</v>
      </c>
      <c r="F1971" t="s">
        <v>9</v>
      </c>
      <c r="G1971" t="s">
        <v>10</v>
      </c>
      <c r="H1971" t="s">
        <v>11</v>
      </c>
      <c r="I1971" t="s">
        <v>12</v>
      </c>
      <c r="J1971">
        <f t="shared" si="60"/>
        <v>15</v>
      </c>
      <c r="K1971" t="str">
        <f t="shared" si="61"/>
        <v>Budget</v>
      </c>
    </row>
    <row r="1972" spans="2:11" x14ac:dyDescent="0.25">
      <c r="B1972" t="s">
        <v>1056</v>
      </c>
      <c r="C1972">
        <v>2018</v>
      </c>
      <c r="D1972" s="1">
        <v>450000</v>
      </c>
      <c r="E1972">
        <v>10000</v>
      </c>
      <c r="F1972" t="s">
        <v>9</v>
      </c>
      <c r="G1972" t="s">
        <v>10</v>
      </c>
      <c r="H1972" t="s">
        <v>11</v>
      </c>
      <c r="I1972" t="s">
        <v>18</v>
      </c>
      <c r="J1972">
        <f t="shared" si="60"/>
        <v>8</v>
      </c>
      <c r="K1972" t="str">
        <f t="shared" si="61"/>
        <v>Budget</v>
      </c>
    </row>
    <row r="1973" spans="2:11" x14ac:dyDescent="0.25">
      <c r="B1973" t="s">
        <v>594</v>
      </c>
      <c r="C1973">
        <v>2006</v>
      </c>
      <c r="D1973" s="1">
        <v>170000</v>
      </c>
      <c r="E1973">
        <v>245244</v>
      </c>
      <c r="F1973" t="s">
        <v>15</v>
      </c>
      <c r="G1973" t="s">
        <v>10</v>
      </c>
      <c r="H1973" t="s">
        <v>11</v>
      </c>
      <c r="I1973" t="s">
        <v>46</v>
      </c>
      <c r="J1973">
        <f t="shared" si="60"/>
        <v>20</v>
      </c>
      <c r="K1973" t="str">
        <f t="shared" si="61"/>
        <v>Budget</v>
      </c>
    </row>
    <row r="1974" spans="2:11" x14ac:dyDescent="0.25">
      <c r="B1974" t="s">
        <v>306</v>
      </c>
      <c r="C1974">
        <v>2017</v>
      </c>
      <c r="D1974" s="1">
        <v>400000</v>
      </c>
      <c r="E1974">
        <v>60000</v>
      </c>
      <c r="F1974" t="s">
        <v>9</v>
      </c>
      <c r="G1974" t="s">
        <v>10</v>
      </c>
      <c r="H1974" t="s">
        <v>11</v>
      </c>
      <c r="I1974" t="s">
        <v>12</v>
      </c>
      <c r="J1974">
        <f t="shared" si="60"/>
        <v>9</v>
      </c>
      <c r="K1974" t="str">
        <f t="shared" si="61"/>
        <v>Budget</v>
      </c>
    </row>
    <row r="1975" spans="2:11" x14ac:dyDescent="0.25">
      <c r="B1975" t="s">
        <v>1057</v>
      </c>
      <c r="C1975">
        <v>2016</v>
      </c>
      <c r="D1975" s="1">
        <v>300000</v>
      </c>
      <c r="E1975">
        <v>30000</v>
      </c>
      <c r="F1975" t="s">
        <v>9</v>
      </c>
      <c r="G1975" t="s">
        <v>10</v>
      </c>
      <c r="H1975" t="s">
        <v>11</v>
      </c>
      <c r="I1975" t="s">
        <v>12</v>
      </c>
      <c r="J1975">
        <f t="shared" si="60"/>
        <v>10</v>
      </c>
      <c r="K1975" t="str">
        <f t="shared" si="61"/>
        <v>Budget</v>
      </c>
    </row>
    <row r="1976" spans="2:11" x14ac:dyDescent="0.25">
      <c r="B1976" t="s">
        <v>1035</v>
      </c>
      <c r="C1976">
        <v>2012</v>
      </c>
      <c r="D1976" s="1">
        <v>250000</v>
      </c>
      <c r="E1976">
        <v>8000</v>
      </c>
      <c r="F1976" t="s">
        <v>9</v>
      </c>
      <c r="G1976" t="s">
        <v>10</v>
      </c>
      <c r="H1976" t="s">
        <v>11</v>
      </c>
      <c r="I1976" t="s">
        <v>12</v>
      </c>
      <c r="J1976">
        <f t="shared" si="60"/>
        <v>14</v>
      </c>
      <c r="K1976" t="str">
        <f t="shared" si="61"/>
        <v>Budget</v>
      </c>
    </row>
    <row r="1977" spans="2:11" x14ac:dyDescent="0.25">
      <c r="B1977" t="s">
        <v>562</v>
      </c>
      <c r="C1977">
        <v>2019</v>
      </c>
      <c r="D1977" s="1">
        <v>500000</v>
      </c>
      <c r="E1977">
        <v>10000</v>
      </c>
      <c r="F1977" t="s">
        <v>9</v>
      </c>
      <c r="G1977" t="s">
        <v>10</v>
      </c>
      <c r="H1977" t="s">
        <v>11</v>
      </c>
      <c r="I1977" t="s">
        <v>12</v>
      </c>
      <c r="J1977">
        <f t="shared" si="60"/>
        <v>7</v>
      </c>
      <c r="K1977" t="str">
        <f t="shared" si="61"/>
        <v>Mid Range</v>
      </c>
    </row>
    <row r="1978" spans="2:11" x14ac:dyDescent="0.25">
      <c r="B1978" t="s">
        <v>594</v>
      </c>
      <c r="C1978">
        <v>2002</v>
      </c>
      <c r="D1978" s="1">
        <v>85000</v>
      </c>
      <c r="E1978">
        <v>100000</v>
      </c>
      <c r="F1978" t="s">
        <v>15</v>
      </c>
      <c r="G1978" t="s">
        <v>10</v>
      </c>
      <c r="H1978" t="s">
        <v>11</v>
      </c>
      <c r="I1978" t="s">
        <v>49</v>
      </c>
      <c r="J1978">
        <f t="shared" si="60"/>
        <v>24</v>
      </c>
      <c r="K1978" t="str">
        <f t="shared" si="61"/>
        <v>Budget</v>
      </c>
    </row>
    <row r="1979" spans="2:11" x14ac:dyDescent="0.25">
      <c r="B1979" t="s">
        <v>1058</v>
      </c>
      <c r="C1979">
        <v>2012</v>
      </c>
      <c r="D1979" s="1">
        <v>300000</v>
      </c>
      <c r="E1979">
        <v>110000</v>
      </c>
      <c r="F1979" t="s">
        <v>15</v>
      </c>
      <c r="G1979" t="s">
        <v>10</v>
      </c>
      <c r="H1979" t="s">
        <v>11</v>
      </c>
      <c r="I1979" t="s">
        <v>12</v>
      </c>
      <c r="J1979">
        <f t="shared" si="60"/>
        <v>14</v>
      </c>
      <c r="K1979" t="str">
        <f t="shared" si="61"/>
        <v>Budget</v>
      </c>
    </row>
    <row r="1980" spans="2:11" x14ac:dyDescent="0.25">
      <c r="B1980" t="s">
        <v>1059</v>
      </c>
      <c r="C1980">
        <v>2015</v>
      </c>
      <c r="D1980" s="1">
        <v>740000</v>
      </c>
      <c r="E1980">
        <v>45000</v>
      </c>
      <c r="F1980" t="s">
        <v>15</v>
      </c>
      <c r="G1980" t="s">
        <v>27</v>
      </c>
      <c r="H1980" t="s">
        <v>28</v>
      </c>
      <c r="I1980" t="s">
        <v>12</v>
      </c>
      <c r="J1980">
        <f t="shared" si="60"/>
        <v>11</v>
      </c>
      <c r="K1980" t="str">
        <f t="shared" si="61"/>
        <v>Mid Range</v>
      </c>
    </row>
    <row r="1981" spans="2:11" x14ac:dyDescent="0.25">
      <c r="B1981" t="s">
        <v>164</v>
      </c>
      <c r="C1981">
        <v>2005</v>
      </c>
      <c r="D1981" s="1">
        <v>70000</v>
      </c>
      <c r="E1981">
        <v>68500</v>
      </c>
      <c r="F1981" t="s">
        <v>9</v>
      </c>
      <c r="G1981" t="s">
        <v>27</v>
      </c>
      <c r="H1981" t="s">
        <v>11</v>
      </c>
      <c r="I1981" t="s">
        <v>12</v>
      </c>
      <c r="J1981">
        <f t="shared" si="60"/>
        <v>21</v>
      </c>
      <c r="K1981" t="str">
        <f t="shared" si="61"/>
        <v>Budget</v>
      </c>
    </row>
    <row r="1982" spans="2:11" x14ac:dyDescent="0.25">
      <c r="B1982" t="s">
        <v>1060</v>
      </c>
      <c r="C1982">
        <v>2019</v>
      </c>
      <c r="D1982" s="1">
        <v>484999</v>
      </c>
      <c r="E1982">
        <v>5007</v>
      </c>
      <c r="F1982" t="s">
        <v>9</v>
      </c>
      <c r="G1982" t="s">
        <v>27</v>
      </c>
      <c r="H1982" t="s">
        <v>28</v>
      </c>
      <c r="I1982" t="s">
        <v>12</v>
      </c>
      <c r="J1982">
        <f t="shared" si="60"/>
        <v>7</v>
      </c>
      <c r="K1982" t="str">
        <f t="shared" si="61"/>
        <v>Budget</v>
      </c>
    </row>
    <row r="1983" spans="2:11" x14ac:dyDescent="0.25">
      <c r="B1983" t="s">
        <v>1061</v>
      </c>
      <c r="C1983">
        <v>2013</v>
      </c>
      <c r="D1983" s="1">
        <v>164000</v>
      </c>
      <c r="E1983">
        <v>30000</v>
      </c>
      <c r="F1983" t="s">
        <v>9</v>
      </c>
      <c r="G1983" t="s">
        <v>10</v>
      </c>
      <c r="H1983" t="s">
        <v>11</v>
      </c>
      <c r="I1983" t="s">
        <v>12</v>
      </c>
      <c r="J1983">
        <f t="shared" si="60"/>
        <v>13</v>
      </c>
      <c r="K1983" t="str">
        <f t="shared" si="61"/>
        <v>Budget</v>
      </c>
    </row>
    <row r="1984" spans="2:11" x14ac:dyDescent="0.25">
      <c r="B1984" t="s">
        <v>455</v>
      </c>
      <c r="C1984">
        <v>2008</v>
      </c>
      <c r="D1984" s="1">
        <v>140000</v>
      </c>
      <c r="E1984">
        <v>70000</v>
      </c>
      <c r="F1984" t="s">
        <v>9</v>
      </c>
      <c r="G1984" t="s">
        <v>10</v>
      </c>
      <c r="H1984" t="s">
        <v>28</v>
      </c>
      <c r="I1984" t="s">
        <v>12</v>
      </c>
      <c r="J1984">
        <f t="shared" si="60"/>
        <v>18</v>
      </c>
      <c r="K1984" t="str">
        <f t="shared" si="61"/>
        <v>Budget</v>
      </c>
    </row>
    <row r="1985" spans="2:11" x14ac:dyDescent="0.25">
      <c r="B1985" t="s">
        <v>1062</v>
      </c>
      <c r="C1985">
        <v>2011</v>
      </c>
      <c r="D1985" s="1">
        <v>999000</v>
      </c>
      <c r="E1985">
        <v>49600</v>
      </c>
      <c r="F1985" t="s">
        <v>15</v>
      </c>
      <c r="G1985" t="s">
        <v>27</v>
      </c>
      <c r="H1985" t="s">
        <v>28</v>
      </c>
      <c r="I1985" t="s">
        <v>12</v>
      </c>
      <c r="J1985">
        <f t="shared" si="60"/>
        <v>15</v>
      </c>
      <c r="K1985" t="str">
        <f t="shared" si="61"/>
        <v>Mid Range</v>
      </c>
    </row>
    <row r="1986" spans="2:11" x14ac:dyDescent="0.25">
      <c r="B1986" t="s">
        <v>927</v>
      </c>
      <c r="C1986">
        <v>2005</v>
      </c>
      <c r="D1986" s="1">
        <v>56000</v>
      </c>
      <c r="E1986">
        <v>23000</v>
      </c>
      <c r="F1986" t="s">
        <v>9</v>
      </c>
      <c r="G1986" t="s">
        <v>10</v>
      </c>
      <c r="H1986" t="s">
        <v>11</v>
      </c>
      <c r="I1986" t="s">
        <v>18</v>
      </c>
      <c r="J1986">
        <f t="shared" si="60"/>
        <v>21</v>
      </c>
      <c r="K1986" t="str">
        <f t="shared" si="61"/>
        <v>Budget</v>
      </c>
    </row>
    <row r="1987" spans="2:11" x14ac:dyDescent="0.25">
      <c r="B1987" t="s">
        <v>104</v>
      </c>
      <c r="C1987">
        <v>2006</v>
      </c>
      <c r="D1987" s="1">
        <v>1050000</v>
      </c>
      <c r="E1987">
        <v>30000</v>
      </c>
      <c r="F1987" t="s">
        <v>15</v>
      </c>
      <c r="G1987" t="s">
        <v>27</v>
      </c>
      <c r="H1987" t="s">
        <v>28</v>
      </c>
      <c r="I1987" t="s">
        <v>12</v>
      </c>
      <c r="J1987">
        <f t="shared" si="60"/>
        <v>20</v>
      </c>
      <c r="K1987" t="str">
        <f t="shared" si="61"/>
        <v>Premium</v>
      </c>
    </row>
    <row r="1988" spans="2:11" x14ac:dyDescent="0.25">
      <c r="B1988" t="s">
        <v>887</v>
      </c>
      <c r="C1988">
        <v>2010</v>
      </c>
      <c r="D1988" s="1">
        <v>190000</v>
      </c>
      <c r="E1988">
        <v>38000</v>
      </c>
      <c r="F1988" t="s">
        <v>9</v>
      </c>
      <c r="G1988" t="s">
        <v>27</v>
      </c>
      <c r="H1988" t="s">
        <v>11</v>
      </c>
      <c r="I1988" t="s">
        <v>12</v>
      </c>
      <c r="J1988">
        <f t="shared" si="60"/>
        <v>16</v>
      </c>
      <c r="K1988" t="str">
        <f t="shared" si="61"/>
        <v>Budget</v>
      </c>
    </row>
    <row r="1989" spans="2:11" x14ac:dyDescent="0.25">
      <c r="B1989" t="s">
        <v>1063</v>
      </c>
      <c r="C1989">
        <v>2018</v>
      </c>
      <c r="D1989" s="1">
        <v>3899000</v>
      </c>
      <c r="E1989">
        <v>22000</v>
      </c>
      <c r="F1989" t="s">
        <v>15</v>
      </c>
      <c r="G1989" t="s">
        <v>27</v>
      </c>
      <c r="H1989" t="s">
        <v>28</v>
      </c>
      <c r="I1989" t="s">
        <v>12</v>
      </c>
      <c r="J1989">
        <f t="shared" si="60"/>
        <v>8</v>
      </c>
      <c r="K1989" t="str">
        <f t="shared" si="61"/>
        <v>Premium</v>
      </c>
    </row>
    <row r="1990" spans="2:11" x14ac:dyDescent="0.25">
      <c r="B1990" t="s">
        <v>80</v>
      </c>
      <c r="C1990">
        <v>2011</v>
      </c>
      <c r="D1990" s="1">
        <v>235000</v>
      </c>
      <c r="E1990">
        <v>43100</v>
      </c>
      <c r="F1990" t="s">
        <v>9</v>
      </c>
      <c r="G1990" t="s">
        <v>27</v>
      </c>
      <c r="H1990" t="s">
        <v>11</v>
      </c>
      <c r="I1990" t="s">
        <v>12</v>
      </c>
      <c r="J1990">
        <f t="shared" ref="J1990:J2053" si="62">2026 - C1990</f>
        <v>15</v>
      </c>
      <c r="K1990" t="str">
        <f t="shared" ref="K1990:K2053" si="63">IF(D1990&lt;500000,"Budget",IF(D1990&lt;=1000000,"Mid Range","Premium"))</f>
        <v>Budget</v>
      </c>
    </row>
    <row r="1991" spans="2:11" x14ac:dyDescent="0.25">
      <c r="B1991" t="s">
        <v>1064</v>
      </c>
      <c r="C1991">
        <v>2017</v>
      </c>
      <c r="D1991" s="1">
        <v>350000</v>
      </c>
      <c r="E1991">
        <v>10171</v>
      </c>
      <c r="F1991" t="s">
        <v>9</v>
      </c>
      <c r="G1991" t="s">
        <v>27</v>
      </c>
      <c r="H1991" t="s">
        <v>11</v>
      </c>
      <c r="I1991" t="s">
        <v>12</v>
      </c>
      <c r="J1991">
        <f t="shared" si="62"/>
        <v>9</v>
      </c>
      <c r="K1991" t="str">
        <f t="shared" si="63"/>
        <v>Budget</v>
      </c>
    </row>
    <row r="1992" spans="2:11" x14ac:dyDescent="0.25">
      <c r="B1992" t="s">
        <v>256</v>
      </c>
      <c r="C1992">
        <v>2015</v>
      </c>
      <c r="D1992" s="1">
        <v>465000</v>
      </c>
      <c r="E1992">
        <v>41123</v>
      </c>
      <c r="F1992" t="s">
        <v>15</v>
      </c>
      <c r="G1992" t="s">
        <v>27</v>
      </c>
      <c r="H1992" t="s">
        <v>11</v>
      </c>
      <c r="I1992" t="s">
        <v>12</v>
      </c>
      <c r="J1992">
        <f t="shared" si="62"/>
        <v>11</v>
      </c>
      <c r="K1992" t="str">
        <f t="shared" si="63"/>
        <v>Budget</v>
      </c>
    </row>
    <row r="1993" spans="2:11" x14ac:dyDescent="0.25">
      <c r="B1993" t="s">
        <v>1065</v>
      </c>
      <c r="C1993">
        <v>2017</v>
      </c>
      <c r="D1993" s="1">
        <v>1900000</v>
      </c>
      <c r="E1993">
        <v>20118</v>
      </c>
      <c r="F1993" t="s">
        <v>9</v>
      </c>
      <c r="G1993" t="s">
        <v>27</v>
      </c>
      <c r="H1993" t="s">
        <v>28</v>
      </c>
      <c r="I1993" t="s">
        <v>12</v>
      </c>
      <c r="J1993">
        <f t="shared" si="62"/>
        <v>9</v>
      </c>
      <c r="K1993" t="str">
        <f t="shared" si="63"/>
        <v>Premium</v>
      </c>
    </row>
    <row r="1994" spans="2:11" x14ac:dyDescent="0.25">
      <c r="B1994" t="s">
        <v>505</v>
      </c>
      <c r="C1994">
        <v>2014</v>
      </c>
      <c r="D1994" s="1">
        <v>450000</v>
      </c>
      <c r="E1994">
        <v>40000</v>
      </c>
      <c r="F1994" t="s">
        <v>15</v>
      </c>
      <c r="G1994" t="s">
        <v>27</v>
      </c>
      <c r="H1994" t="s">
        <v>11</v>
      </c>
      <c r="I1994" t="s">
        <v>12</v>
      </c>
      <c r="J1994">
        <f t="shared" si="62"/>
        <v>12</v>
      </c>
      <c r="K1994" t="str">
        <f t="shared" si="63"/>
        <v>Budget</v>
      </c>
    </row>
    <row r="1995" spans="2:11" x14ac:dyDescent="0.25">
      <c r="B1995" t="s">
        <v>1066</v>
      </c>
      <c r="C1995">
        <v>2015</v>
      </c>
      <c r="D1995" s="1">
        <v>790000</v>
      </c>
      <c r="E1995">
        <v>52517</v>
      </c>
      <c r="F1995" t="s">
        <v>15</v>
      </c>
      <c r="G1995" t="s">
        <v>27</v>
      </c>
      <c r="H1995" t="s">
        <v>11</v>
      </c>
      <c r="I1995" t="s">
        <v>12</v>
      </c>
      <c r="J1995">
        <f t="shared" si="62"/>
        <v>11</v>
      </c>
      <c r="K1995" t="str">
        <f t="shared" si="63"/>
        <v>Mid Range</v>
      </c>
    </row>
    <row r="1996" spans="2:11" x14ac:dyDescent="0.25">
      <c r="B1996" t="s">
        <v>1067</v>
      </c>
      <c r="C1996">
        <v>2019</v>
      </c>
      <c r="D1996" s="1">
        <v>900000</v>
      </c>
      <c r="E1996">
        <v>20000</v>
      </c>
      <c r="F1996" t="s">
        <v>15</v>
      </c>
      <c r="G1996" t="s">
        <v>10</v>
      </c>
      <c r="H1996" t="s">
        <v>11</v>
      </c>
      <c r="I1996" t="s">
        <v>12</v>
      </c>
      <c r="J1996">
        <f t="shared" si="62"/>
        <v>7</v>
      </c>
      <c r="K1996" t="str">
        <f t="shared" si="63"/>
        <v>Mid Range</v>
      </c>
    </row>
    <row r="1997" spans="2:11" x14ac:dyDescent="0.25">
      <c r="B1997" t="s">
        <v>1068</v>
      </c>
      <c r="C1997">
        <v>2014</v>
      </c>
      <c r="D1997" s="1">
        <v>450000</v>
      </c>
      <c r="E1997">
        <v>99117</v>
      </c>
      <c r="F1997" t="s">
        <v>15</v>
      </c>
      <c r="G1997" t="s">
        <v>27</v>
      </c>
      <c r="H1997" t="s">
        <v>11</v>
      </c>
      <c r="I1997" t="s">
        <v>12</v>
      </c>
      <c r="J1997">
        <f t="shared" si="62"/>
        <v>12</v>
      </c>
      <c r="K1997" t="str">
        <f t="shared" si="63"/>
        <v>Budget</v>
      </c>
    </row>
    <row r="1998" spans="2:11" x14ac:dyDescent="0.25">
      <c r="B1998" t="s">
        <v>135</v>
      </c>
      <c r="C1998">
        <v>2009</v>
      </c>
      <c r="D1998" s="1">
        <v>135000</v>
      </c>
      <c r="E1998">
        <v>90000</v>
      </c>
      <c r="F1998" t="s">
        <v>9</v>
      </c>
      <c r="G1998" t="s">
        <v>10</v>
      </c>
      <c r="H1998" t="s">
        <v>11</v>
      </c>
      <c r="I1998" t="s">
        <v>12</v>
      </c>
      <c r="J1998">
        <f t="shared" si="62"/>
        <v>17</v>
      </c>
      <c r="K1998" t="str">
        <f t="shared" si="63"/>
        <v>Budget</v>
      </c>
    </row>
    <row r="1999" spans="2:11" x14ac:dyDescent="0.25">
      <c r="B1999" t="s">
        <v>1069</v>
      </c>
      <c r="C1999">
        <v>2019</v>
      </c>
      <c r="D1999" s="1">
        <v>425000</v>
      </c>
      <c r="E1999">
        <v>3700</v>
      </c>
      <c r="F1999" t="s">
        <v>9</v>
      </c>
      <c r="G1999" t="s">
        <v>10</v>
      </c>
      <c r="H1999" t="s">
        <v>11</v>
      </c>
      <c r="I1999" t="s">
        <v>12</v>
      </c>
      <c r="J1999">
        <f t="shared" si="62"/>
        <v>7</v>
      </c>
      <c r="K1999" t="str">
        <f t="shared" si="63"/>
        <v>Budget</v>
      </c>
    </row>
    <row r="2000" spans="2:11" x14ac:dyDescent="0.25">
      <c r="B2000" t="s">
        <v>351</v>
      </c>
      <c r="C2000">
        <v>2010</v>
      </c>
      <c r="D2000" s="1">
        <v>100000</v>
      </c>
      <c r="E2000">
        <v>80000</v>
      </c>
      <c r="F2000" t="s">
        <v>15</v>
      </c>
      <c r="G2000" t="s">
        <v>10</v>
      </c>
      <c r="H2000" t="s">
        <v>11</v>
      </c>
      <c r="I2000" t="s">
        <v>12</v>
      </c>
      <c r="J2000">
        <f t="shared" si="62"/>
        <v>16</v>
      </c>
      <c r="K2000" t="str">
        <f t="shared" si="63"/>
        <v>Budget</v>
      </c>
    </row>
    <row r="2001" spans="2:11" x14ac:dyDescent="0.25">
      <c r="B2001" t="s">
        <v>381</v>
      </c>
      <c r="C2001">
        <v>2015</v>
      </c>
      <c r="D2001" s="1">
        <v>650000</v>
      </c>
      <c r="E2001">
        <v>100000</v>
      </c>
      <c r="F2001" t="s">
        <v>15</v>
      </c>
      <c r="G2001" t="s">
        <v>10</v>
      </c>
      <c r="H2001" t="s">
        <v>11</v>
      </c>
      <c r="I2001" t="s">
        <v>18</v>
      </c>
      <c r="J2001">
        <f t="shared" si="62"/>
        <v>11</v>
      </c>
      <c r="K2001" t="str">
        <f t="shared" si="63"/>
        <v>Mid Range</v>
      </c>
    </row>
    <row r="2002" spans="2:11" x14ac:dyDescent="0.25">
      <c r="B2002" t="s">
        <v>128</v>
      </c>
      <c r="C2002">
        <v>2011</v>
      </c>
      <c r="D2002" s="1">
        <v>90000</v>
      </c>
      <c r="E2002">
        <v>54000</v>
      </c>
      <c r="F2002" t="s">
        <v>15</v>
      </c>
      <c r="G2002" t="s">
        <v>10</v>
      </c>
      <c r="H2002" t="s">
        <v>11</v>
      </c>
      <c r="I2002" t="s">
        <v>12</v>
      </c>
      <c r="J2002">
        <f t="shared" si="62"/>
        <v>15</v>
      </c>
      <c r="K2002" t="str">
        <f t="shared" si="63"/>
        <v>Budget</v>
      </c>
    </row>
    <row r="2003" spans="2:11" x14ac:dyDescent="0.25">
      <c r="B2003" t="s">
        <v>136</v>
      </c>
      <c r="C2003">
        <v>2017</v>
      </c>
      <c r="D2003" s="1">
        <v>250000</v>
      </c>
      <c r="E2003">
        <v>19000</v>
      </c>
      <c r="F2003" t="s">
        <v>9</v>
      </c>
      <c r="G2003" t="s">
        <v>10</v>
      </c>
      <c r="H2003" t="s">
        <v>11</v>
      </c>
      <c r="I2003" t="s">
        <v>12</v>
      </c>
      <c r="J2003">
        <f t="shared" si="62"/>
        <v>9</v>
      </c>
      <c r="K2003" t="str">
        <f t="shared" si="63"/>
        <v>Budget</v>
      </c>
    </row>
    <row r="2004" spans="2:11" x14ac:dyDescent="0.25">
      <c r="B2004" t="s">
        <v>114</v>
      </c>
      <c r="C2004">
        <v>2014</v>
      </c>
      <c r="D2004" s="1">
        <v>300000</v>
      </c>
      <c r="E2004">
        <v>120000</v>
      </c>
      <c r="F2004" t="s">
        <v>15</v>
      </c>
      <c r="G2004" t="s">
        <v>10</v>
      </c>
      <c r="H2004" t="s">
        <v>11</v>
      </c>
      <c r="I2004" t="s">
        <v>12</v>
      </c>
      <c r="J2004">
        <f t="shared" si="62"/>
        <v>12</v>
      </c>
      <c r="K2004" t="str">
        <f t="shared" si="63"/>
        <v>Budget</v>
      </c>
    </row>
    <row r="2005" spans="2:11" x14ac:dyDescent="0.25">
      <c r="B2005" t="s">
        <v>54</v>
      </c>
      <c r="C2005">
        <v>2014</v>
      </c>
      <c r="D2005" s="1">
        <v>275000</v>
      </c>
      <c r="E2005">
        <v>30000</v>
      </c>
      <c r="F2005" t="s">
        <v>9</v>
      </c>
      <c r="G2005" t="s">
        <v>10</v>
      </c>
      <c r="H2005" t="s">
        <v>11</v>
      </c>
      <c r="I2005" t="s">
        <v>12</v>
      </c>
      <c r="J2005">
        <f t="shared" si="62"/>
        <v>12</v>
      </c>
      <c r="K2005" t="str">
        <f t="shared" si="63"/>
        <v>Budget</v>
      </c>
    </row>
    <row r="2006" spans="2:11" x14ac:dyDescent="0.25">
      <c r="B2006" t="s">
        <v>1070</v>
      </c>
      <c r="C2006">
        <v>2017</v>
      </c>
      <c r="D2006" s="1">
        <v>600000</v>
      </c>
      <c r="E2006">
        <v>43500</v>
      </c>
      <c r="F2006" t="s">
        <v>9</v>
      </c>
      <c r="G2006" t="s">
        <v>10</v>
      </c>
      <c r="H2006" t="s">
        <v>11</v>
      </c>
      <c r="I2006" t="s">
        <v>12</v>
      </c>
      <c r="J2006">
        <f t="shared" si="62"/>
        <v>9</v>
      </c>
      <c r="K2006" t="str">
        <f t="shared" si="63"/>
        <v>Mid Range</v>
      </c>
    </row>
    <row r="2007" spans="2:11" x14ac:dyDescent="0.25">
      <c r="B2007" t="s">
        <v>110</v>
      </c>
      <c r="C2007">
        <v>2016</v>
      </c>
      <c r="D2007" s="1">
        <v>270000</v>
      </c>
      <c r="E2007">
        <v>60000</v>
      </c>
      <c r="F2007" t="s">
        <v>9</v>
      </c>
      <c r="G2007" t="s">
        <v>10</v>
      </c>
      <c r="H2007" t="s">
        <v>11</v>
      </c>
      <c r="I2007" t="s">
        <v>18</v>
      </c>
      <c r="J2007">
        <f t="shared" si="62"/>
        <v>10</v>
      </c>
      <c r="K2007" t="str">
        <f t="shared" si="63"/>
        <v>Budget</v>
      </c>
    </row>
    <row r="2008" spans="2:11" x14ac:dyDescent="0.25">
      <c r="B2008" t="s">
        <v>305</v>
      </c>
      <c r="C2008">
        <v>2016</v>
      </c>
      <c r="D2008" s="1">
        <v>240000</v>
      </c>
      <c r="E2008">
        <v>70000</v>
      </c>
      <c r="F2008" t="s">
        <v>9</v>
      </c>
      <c r="G2008" t="s">
        <v>10</v>
      </c>
      <c r="H2008" t="s">
        <v>11</v>
      </c>
      <c r="I2008" t="s">
        <v>18</v>
      </c>
      <c r="J2008">
        <f t="shared" si="62"/>
        <v>10</v>
      </c>
      <c r="K2008" t="str">
        <f t="shared" si="63"/>
        <v>Budget</v>
      </c>
    </row>
    <row r="2009" spans="2:11" x14ac:dyDescent="0.25">
      <c r="B2009" t="s">
        <v>306</v>
      </c>
      <c r="C2009">
        <v>2016</v>
      </c>
      <c r="D2009" s="1">
        <v>350000</v>
      </c>
      <c r="E2009">
        <v>20000</v>
      </c>
      <c r="F2009" t="s">
        <v>9</v>
      </c>
      <c r="G2009" t="s">
        <v>10</v>
      </c>
      <c r="H2009" t="s">
        <v>11</v>
      </c>
      <c r="I2009" t="s">
        <v>12</v>
      </c>
      <c r="J2009">
        <f t="shared" si="62"/>
        <v>10</v>
      </c>
      <c r="K2009" t="str">
        <f t="shared" si="63"/>
        <v>Budget</v>
      </c>
    </row>
    <row r="2010" spans="2:11" x14ac:dyDescent="0.25">
      <c r="B2010" t="s">
        <v>1071</v>
      </c>
      <c r="C2010">
        <v>1998</v>
      </c>
      <c r="D2010" s="1">
        <v>65000</v>
      </c>
      <c r="E2010">
        <v>60000</v>
      </c>
      <c r="F2010" t="s">
        <v>9</v>
      </c>
      <c r="G2010" t="s">
        <v>27</v>
      </c>
      <c r="H2010" t="s">
        <v>11</v>
      </c>
      <c r="I2010" t="s">
        <v>49</v>
      </c>
      <c r="J2010">
        <f t="shared" si="62"/>
        <v>28</v>
      </c>
      <c r="K2010" t="str">
        <f t="shared" si="63"/>
        <v>Budget</v>
      </c>
    </row>
    <row r="2011" spans="2:11" x14ac:dyDescent="0.25">
      <c r="B2011" t="s">
        <v>114</v>
      </c>
      <c r="C2011">
        <v>2015</v>
      </c>
      <c r="D2011" s="1">
        <v>650000</v>
      </c>
      <c r="E2011">
        <v>58000</v>
      </c>
      <c r="F2011" t="s">
        <v>15</v>
      </c>
      <c r="G2011" t="s">
        <v>10</v>
      </c>
      <c r="H2011" t="s">
        <v>11</v>
      </c>
      <c r="I2011" t="s">
        <v>12</v>
      </c>
      <c r="J2011">
        <f t="shared" si="62"/>
        <v>11</v>
      </c>
      <c r="K2011" t="str">
        <f t="shared" si="63"/>
        <v>Mid Range</v>
      </c>
    </row>
    <row r="2012" spans="2:11" x14ac:dyDescent="0.25">
      <c r="B2012" t="s">
        <v>239</v>
      </c>
      <c r="C2012">
        <v>2014</v>
      </c>
      <c r="D2012" s="1">
        <v>350000</v>
      </c>
      <c r="E2012">
        <v>40000</v>
      </c>
      <c r="F2012" t="s">
        <v>9</v>
      </c>
      <c r="G2012" t="s">
        <v>27</v>
      </c>
      <c r="H2012" t="s">
        <v>11</v>
      </c>
      <c r="I2012" t="s">
        <v>12</v>
      </c>
      <c r="J2012">
        <f t="shared" si="62"/>
        <v>12</v>
      </c>
      <c r="K2012" t="str">
        <f t="shared" si="63"/>
        <v>Budget</v>
      </c>
    </row>
    <row r="2013" spans="2:11" x14ac:dyDescent="0.25">
      <c r="B2013" t="s">
        <v>153</v>
      </c>
      <c r="C2013">
        <v>2005</v>
      </c>
      <c r="D2013" s="1">
        <v>75000</v>
      </c>
      <c r="E2013">
        <v>70000</v>
      </c>
      <c r="F2013" t="s">
        <v>9</v>
      </c>
      <c r="G2013" t="s">
        <v>10</v>
      </c>
      <c r="H2013" t="s">
        <v>11</v>
      </c>
      <c r="I2013" t="s">
        <v>18</v>
      </c>
      <c r="J2013">
        <f t="shared" si="62"/>
        <v>21</v>
      </c>
      <c r="K2013" t="str">
        <f t="shared" si="63"/>
        <v>Budget</v>
      </c>
    </row>
    <row r="2014" spans="2:11" x14ac:dyDescent="0.25">
      <c r="B2014" t="s">
        <v>1072</v>
      </c>
      <c r="C2014">
        <v>2012</v>
      </c>
      <c r="D2014" s="1">
        <v>440000</v>
      </c>
      <c r="E2014">
        <v>70000</v>
      </c>
      <c r="F2014" t="s">
        <v>15</v>
      </c>
      <c r="G2014" t="s">
        <v>27</v>
      </c>
      <c r="H2014" t="s">
        <v>11</v>
      </c>
      <c r="I2014" t="s">
        <v>12</v>
      </c>
      <c r="J2014">
        <f t="shared" si="62"/>
        <v>14</v>
      </c>
      <c r="K2014" t="str">
        <f t="shared" si="63"/>
        <v>Budget</v>
      </c>
    </row>
    <row r="2015" spans="2:11" x14ac:dyDescent="0.25">
      <c r="B2015" t="s">
        <v>56</v>
      </c>
      <c r="C2015">
        <v>2013</v>
      </c>
      <c r="D2015" s="1">
        <v>270000</v>
      </c>
      <c r="E2015">
        <v>60000</v>
      </c>
      <c r="F2015" t="s">
        <v>9</v>
      </c>
      <c r="G2015" t="s">
        <v>10</v>
      </c>
      <c r="H2015" t="s">
        <v>11</v>
      </c>
      <c r="I2015" t="s">
        <v>12</v>
      </c>
      <c r="J2015">
        <f t="shared" si="62"/>
        <v>13</v>
      </c>
      <c r="K2015" t="str">
        <f t="shared" si="63"/>
        <v>Budget</v>
      </c>
    </row>
    <row r="2016" spans="2:11" x14ac:dyDescent="0.25">
      <c r="B2016" t="s">
        <v>213</v>
      </c>
      <c r="C2016">
        <v>2014</v>
      </c>
      <c r="D2016" s="1">
        <v>1150000</v>
      </c>
      <c r="E2016">
        <v>135000</v>
      </c>
      <c r="F2016" t="s">
        <v>15</v>
      </c>
      <c r="G2016" t="s">
        <v>27</v>
      </c>
      <c r="H2016" t="s">
        <v>11</v>
      </c>
      <c r="I2016" t="s">
        <v>12</v>
      </c>
      <c r="J2016">
        <f t="shared" si="62"/>
        <v>12</v>
      </c>
      <c r="K2016" t="str">
        <f t="shared" si="63"/>
        <v>Premium</v>
      </c>
    </row>
    <row r="2017" spans="2:11" x14ac:dyDescent="0.25">
      <c r="B2017" t="s">
        <v>1073</v>
      </c>
      <c r="C2017">
        <v>2015</v>
      </c>
      <c r="D2017" s="1">
        <v>238000</v>
      </c>
      <c r="E2017">
        <v>70000</v>
      </c>
      <c r="F2017" t="s">
        <v>9</v>
      </c>
      <c r="G2017" t="s">
        <v>27</v>
      </c>
      <c r="H2017" t="s">
        <v>11</v>
      </c>
      <c r="I2017" t="s">
        <v>12</v>
      </c>
      <c r="J2017">
        <f t="shared" si="62"/>
        <v>11</v>
      </c>
      <c r="K2017" t="str">
        <f t="shared" si="63"/>
        <v>Budget</v>
      </c>
    </row>
    <row r="2018" spans="2:11" x14ac:dyDescent="0.25">
      <c r="B2018" t="s">
        <v>1074</v>
      </c>
      <c r="C2018">
        <v>2013</v>
      </c>
      <c r="D2018" s="1">
        <v>1100000</v>
      </c>
      <c r="E2018">
        <v>40000</v>
      </c>
      <c r="F2018" t="s">
        <v>9</v>
      </c>
      <c r="G2018" t="s">
        <v>10</v>
      </c>
      <c r="H2018" t="s">
        <v>28</v>
      </c>
      <c r="I2018" t="s">
        <v>18</v>
      </c>
      <c r="J2018">
        <f t="shared" si="62"/>
        <v>13</v>
      </c>
      <c r="K2018" t="str">
        <f t="shared" si="63"/>
        <v>Premium</v>
      </c>
    </row>
    <row r="2019" spans="2:11" x14ac:dyDescent="0.25">
      <c r="B2019" t="s">
        <v>945</v>
      </c>
      <c r="C2019">
        <v>2015</v>
      </c>
      <c r="D2019" s="1">
        <v>1200000</v>
      </c>
      <c r="E2019">
        <v>75000</v>
      </c>
      <c r="F2019" t="s">
        <v>15</v>
      </c>
      <c r="G2019" t="s">
        <v>27</v>
      </c>
      <c r="H2019" t="s">
        <v>11</v>
      </c>
      <c r="I2019" t="s">
        <v>18</v>
      </c>
      <c r="J2019">
        <f t="shared" si="62"/>
        <v>11</v>
      </c>
      <c r="K2019" t="str">
        <f t="shared" si="63"/>
        <v>Premium</v>
      </c>
    </row>
    <row r="2020" spans="2:11" x14ac:dyDescent="0.25">
      <c r="B2020" t="s">
        <v>220</v>
      </c>
      <c r="C2020">
        <v>2010</v>
      </c>
      <c r="D2020" s="1">
        <v>260000</v>
      </c>
      <c r="E2020">
        <v>150000</v>
      </c>
      <c r="F2020" t="s">
        <v>15</v>
      </c>
      <c r="G2020" t="s">
        <v>10</v>
      </c>
      <c r="H2020" t="s">
        <v>11</v>
      </c>
      <c r="I2020" t="s">
        <v>12</v>
      </c>
      <c r="J2020">
        <f t="shared" si="62"/>
        <v>16</v>
      </c>
      <c r="K2020" t="str">
        <f t="shared" si="63"/>
        <v>Budget</v>
      </c>
    </row>
    <row r="2021" spans="2:11" x14ac:dyDescent="0.25">
      <c r="B2021" t="s">
        <v>377</v>
      </c>
      <c r="C2021">
        <v>2012</v>
      </c>
      <c r="D2021" s="1">
        <v>350000</v>
      </c>
      <c r="E2021">
        <v>140000</v>
      </c>
      <c r="F2021" t="s">
        <v>15</v>
      </c>
      <c r="G2021" t="s">
        <v>10</v>
      </c>
      <c r="H2021" t="s">
        <v>11</v>
      </c>
      <c r="I2021" t="s">
        <v>49</v>
      </c>
      <c r="J2021">
        <f t="shared" si="62"/>
        <v>14</v>
      </c>
      <c r="K2021" t="str">
        <f t="shared" si="63"/>
        <v>Budget</v>
      </c>
    </row>
    <row r="2022" spans="2:11" x14ac:dyDescent="0.25">
      <c r="B2022" t="s">
        <v>1075</v>
      </c>
      <c r="C2022">
        <v>2015</v>
      </c>
      <c r="D2022" s="1">
        <v>480000</v>
      </c>
      <c r="E2022">
        <v>70000</v>
      </c>
      <c r="F2022" t="s">
        <v>15</v>
      </c>
      <c r="G2022" t="s">
        <v>10</v>
      </c>
      <c r="H2022" t="s">
        <v>11</v>
      </c>
      <c r="I2022" t="s">
        <v>12</v>
      </c>
      <c r="J2022">
        <f t="shared" si="62"/>
        <v>11</v>
      </c>
      <c r="K2022" t="str">
        <f t="shared" si="63"/>
        <v>Budget</v>
      </c>
    </row>
    <row r="2023" spans="2:11" x14ac:dyDescent="0.25">
      <c r="B2023" t="s">
        <v>287</v>
      </c>
      <c r="C2023">
        <v>2012</v>
      </c>
      <c r="D2023" s="1">
        <v>345000</v>
      </c>
      <c r="E2023">
        <v>137250</v>
      </c>
      <c r="F2023" t="s">
        <v>15</v>
      </c>
      <c r="G2023" t="s">
        <v>10</v>
      </c>
      <c r="H2023" t="s">
        <v>11</v>
      </c>
      <c r="I2023" t="s">
        <v>18</v>
      </c>
      <c r="J2023">
        <f t="shared" si="62"/>
        <v>14</v>
      </c>
      <c r="K2023" t="str">
        <f t="shared" si="63"/>
        <v>Budget</v>
      </c>
    </row>
    <row r="2024" spans="2:11" x14ac:dyDescent="0.25">
      <c r="B2024" t="s">
        <v>589</v>
      </c>
      <c r="C2024">
        <v>2013</v>
      </c>
      <c r="D2024" s="1">
        <v>500000</v>
      </c>
      <c r="E2024">
        <v>110000</v>
      </c>
      <c r="F2024" t="s">
        <v>15</v>
      </c>
      <c r="G2024" t="s">
        <v>10</v>
      </c>
      <c r="H2024" t="s">
        <v>11</v>
      </c>
      <c r="I2024" t="s">
        <v>18</v>
      </c>
      <c r="J2024">
        <f t="shared" si="62"/>
        <v>13</v>
      </c>
      <c r="K2024" t="str">
        <f t="shared" si="63"/>
        <v>Mid Range</v>
      </c>
    </row>
    <row r="2025" spans="2:11" x14ac:dyDescent="0.25">
      <c r="B2025" t="s">
        <v>583</v>
      </c>
      <c r="C2025">
        <v>2017</v>
      </c>
      <c r="D2025" s="1">
        <v>595000</v>
      </c>
      <c r="E2025">
        <v>27000</v>
      </c>
      <c r="F2025" t="s">
        <v>9</v>
      </c>
      <c r="G2025" t="s">
        <v>27</v>
      </c>
      <c r="H2025" t="s">
        <v>11</v>
      </c>
      <c r="I2025" t="s">
        <v>12</v>
      </c>
      <c r="J2025">
        <f t="shared" si="62"/>
        <v>9</v>
      </c>
      <c r="K2025" t="str">
        <f t="shared" si="63"/>
        <v>Mid Range</v>
      </c>
    </row>
    <row r="2026" spans="2:11" x14ac:dyDescent="0.25">
      <c r="B2026" t="s">
        <v>490</v>
      </c>
      <c r="C2026">
        <v>2019</v>
      </c>
      <c r="D2026" s="1">
        <v>1295000</v>
      </c>
      <c r="E2026">
        <v>9000</v>
      </c>
      <c r="F2026" t="s">
        <v>15</v>
      </c>
      <c r="G2026" t="s">
        <v>27</v>
      </c>
      <c r="H2026" t="s">
        <v>11</v>
      </c>
      <c r="I2026" t="s">
        <v>12</v>
      </c>
      <c r="J2026">
        <f t="shared" si="62"/>
        <v>7</v>
      </c>
      <c r="K2026" t="str">
        <f t="shared" si="63"/>
        <v>Premium</v>
      </c>
    </row>
    <row r="2027" spans="2:11" x14ac:dyDescent="0.25">
      <c r="B2027" t="s">
        <v>1076</v>
      </c>
      <c r="C2027">
        <v>2019</v>
      </c>
      <c r="D2027" s="1">
        <v>1350000</v>
      </c>
      <c r="E2027">
        <v>5400</v>
      </c>
      <c r="F2027" t="s">
        <v>15</v>
      </c>
      <c r="G2027" t="s">
        <v>27</v>
      </c>
      <c r="H2027" t="s">
        <v>11</v>
      </c>
      <c r="I2027" t="s">
        <v>911</v>
      </c>
      <c r="J2027">
        <f t="shared" si="62"/>
        <v>7</v>
      </c>
      <c r="K2027" t="str">
        <f t="shared" si="63"/>
        <v>Premium</v>
      </c>
    </row>
    <row r="2028" spans="2:11" x14ac:dyDescent="0.25">
      <c r="B2028" t="s">
        <v>1077</v>
      </c>
      <c r="C2028">
        <v>2020</v>
      </c>
      <c r="D2028" s="1">
        <v>541000</v>
      </c>
      <c r="E2028">
        <v>1000</v>
      </c>
      <c r="F2028" t="s">
        <v>9</v>
      </c>
      <c r="G2028" t="s">
        <v>27</v>
      </c>
      <c r="H2028" t="s">
        <v>11</v>
      </c>
      <c r="I2028" t="s">
        <v>911</v>
      </c>
      <c r="J2028">
        <f t="shared" si="62"/>
        <v>6</v>
      </c>
      <c r="K2028" t="str">
        <f t="shared" si="63"/>
        <v>Mid Range</v>
      </c>
    </row>
    <row r="2029" spans="2:11" x14ac:dyDescent="0.25">
      <c r="B2029" t="s">
        <v>1078</v>
      </c>
      <c r="C2029">
        <v>2018</v>
      </c>
      <c r="D2029" s="1">
        <v>515000</v>
      </c>
      <c r="E2029">
        <v>16000</v>
      </c>
      <c r="F2029" t="s">
        <v>9</v>
      </c>
      <c r="G2029" t="s">
        <v>27</v>
      </c>
      <c r="H2029" t="s">
        <v>11</v>
      </c>
      <c r="I2029" t="s">
        <v>12</v>
      </c>
      <c r="J2029">
        <f t="shared" si="62"/>
        <v>8</v>
      </c>
      <c r="K2029" t="str">
        <f t="shared" si="63"/>
        <v>Mid Range</v>
      </c>
    </row>
    <row r="2030" spans="2:11" x14ac:dyDescent="0.25">
      <c r="B2030" t="s">
        <v>1079</v>
      </c>
      <c r="C2030">
        <v>2019</v>
      </c>
      <c r="D2030" s="1">
        <v>894999</v>
      </c>
      <c r="E2030">
        <v>13000</v>
      </c>
      <c r="F2030" t="s">
        <v>15</v>
      </c>
      <c r="G2030" t="s">
        <v>27</v>
      </c>
      <c r="H2030" t="s">
        <v>11</v>
      </c>
      <c r="I2030" t="s">
        <v>911</v>
      </c>
      <c r="J2030">
        <f t="shared" si="62"/>
        <v>7</v>
      </c>
      <c r="K2030" t="str">
        <f t="shared" si="63"/>
        <v>Mid Range</v>
      </c>
    </row>
    <row r="2031" spans="2:11" x14ac:dyDescent="0.25">
      <c r="B2031" t="s">
        <v>1080</v>
      </c>
      <c r="C2031">
        <v>2012</v>
      </c>
      <c r="D2031" s="1">
        <v>325000</v>
      </c>
      <c r="E2031">
        <v>47000</v>
      </c>
      <c r="F2031" t="s">
        <v>15</v>
      </c>
      <c r="G2031" t="s">
        <v>27</v>
      </c>
      <c r="H2031" t="s">
        <v>11</v>
      </c>
      <c r="I2031" t="s">
        <v>12</v>
      </c>
      <c r="J2031">
        <f t="shared" si="62"/>
        <v>14</v>
      </c>
      <c r="K2031" t="str">
        <f t="shared" si="63"/>
        <v>Budget</v>
      </c>
    </row>
    <row r="2032" spans="2:11" x14ac:dyDescent="0.25">
      <c r="B2032" t="s">
        <v>877</v>
      </c>
      <c r="C2032">
        <v>2018</v>
      </c>
      <c r="D2032" s="1">
        <v>925000</v>
      </c>
      <c r="E2032">
        <v>22000</v>
      </c>
      <c r="F2032" t="s">
        <v>9</v>
      </c>
      <c r="G2032" t="s">
        <v>10</v>
      </c>
      <c r="H2032" t="s">
        <v>11</v>
      </c>
      <c r="I2032" t="s">
        <v>12</v>
      </c>
      <c r="J2032">
        <f t="shared" si="62"/>
        <v>8</v>
      </c>
      <c r="K2032" t="str">
        <f t="shared" si="63"/>
        <v>Mid Range</v>
      </c>
    </row>
    <row r="2033" spans="2:11" x14ac:dyDescent="0.25">
      <c r="B2033" t="s">
        <v>1081</v>
      </c>
      <c r="C2033">
        <v>2017</v>
      </c>
      <c r="D2033" s="1">
        <v>844999</v>
      </c>
      <c r="E2033">
        <v>30000</v>
      </c>
      <c r="F2033" t="s">
        <v>9</v>
      </c>
      <c r="G2033" t="s">
        <v>10</v>
      </c>
      <c r="H2033" t="s">
        <v>11</v>
      </c>
      <c r="I2033" t="s">
        <v>12</v>
      </c>
      <c r="J2033">
        <f t="shared" si="62"/>
        <v>9</v>
      </c>
      <c r="K2033" t="str">
        <f t="shared" si="63"/>
        <v>Mid Range</v>
      </c>
    </row>
    <row r="2034" spans="2:11" x14ac:dyDescent="0.25">
      <c r="B2034" t="s">
        <v>877</v>
      </c>
      <c r="C2034">
        <v>2018</v>
      </c>
      <c r="D2034" s="1">
        <v>925000</v>
      </c>
      <c r="E2034">
        <v>20000</v>
      </c>
      <c r="F2034" t="s">
        <v>9</v>
      </c>
      <c r="G2034" t="s">
        <v>10</v>
      </c>
      <c r="H2034" t="s">
        <v>11</v>
      </c>
      <c r="I2034" t="s">
        <v>12</v>
      </c>
      <c r="J2034">
        <f t="shared" si="62"/>
        <v>8</v>
      </c>
      <c r="K2034" t="str">
        <f t="shared" si="63"/>
        <v>Mid Range</v>
      </c>
    </row>
    <row r="2035" spans="2:11" x14ac:dyDescent="0.25">
      <c r="B2035" t="s">
        <v>1082</v>
      </c>
      <c r="C2035">
        <v>2013</v>
      </c>
      <c r="D2035" s="1">
        <v>300000</v>
      </c>
      <c r="E2035">
        <v>60000</v>
      </c>
      <c r="F2035" t="s">
        <v>15</v>
      </c>
      <c r="G2035" t="s">
        <v>10</v>
      </c>
      <c r="H2035" t="s">
        <v>11</v>
      </c>
      <c r="I2035" t="s">
        <v>12</v>
      </c>
      <c r="J2035">
        <f t="shared" si="62"/>
        <v>13</v>
      </c>
      <c r="K2035" t="str">
        <f t="shared" si="63"/>
        <v>Budget</v>
      </c>
    </row>
    <row r="2036" spans="2:11" x14ac:dyDescent="0.25">
      <c r="B2036" t="s">
        <v>1083</v>
      </c>
      <c r="C2036">
        <v>2008</v>
      </c>
      <c r="D2036" s="1">
        <v>650000</v>
      </c>
      <c r="E2036">
        <v>75000</v>
      </c>
      <c r="F2036" t="s">
        <v>9</v>
      </c>
      <c r="G2036" t="s">
        <v>10</v>
      </c>
      <c r="H2036" t="s">
        <v>11</v>
      </c>
      <c r="I2036" t="s">
        <v>18</v>
      </c>
      <c r="J2036">
        <f t="shared" si="62"/>
        <v>18</v>
      </c>
      <c r="K2036" t="str">
        <f t="shared" si="63"/>
        <v>Mid Range</v>
      </c>
    </row>
    <row r="2037" spans="2:11" x14ac:dyDescent="0.25">
      <c r="B2037" t="s">
        <v>454</v>
      </c>
      <c r="C2037">
        <v>2010</v>
      </c>
      <c r="D2037" s="1">
        <v>175000</v>
      </c>
      <c r="E2037">
        <v>64000</v>
      </c>
      <c r="F2037" t="s">
        <v>9</v>
      </c>
      <c r="G2037" t="s">
        <v>27</v>
      </c>
      <c r="H2037" t="s">
        <v>11</v>
      </c>
      <c r="I2037" t="s">
        <v>12</v>
      </c>
      <c r="J2037">
        <f t="shared" si="62"/>
        <v>16</v>
      </c>
      <c r="K2037" t="str">
        <f t="shared" si="63"/>
        <v>Budget</v>
      </c>
    </row>
    <row r="2038" spans="2:11" x14ac:dyDescent="0.25">
      <c r="B2038" t="s">
        <v>397</v>
      </c>
      <c r="C2038">
        <v>2015</v>
      </c>
      <c r="D2038" s="1">
        <v>325000</v>
      </c>
      <c r="E2038">
        <v>80000</v>
      </c>
      <c r="F2038" t="s">
        <v>15</v>
      </c>
      <c r="G2038" t="s">
        <v>10</v>
      </c>
      <c r="H2038" t="s">
        <v>11</v>
      </c>
      <c r="I2038" t="s">
        <v>12</v>
      </c>
      <c r="J2038">
        <f t="shared" si="62"/>
        <v>11</v>
      </c>
      <c r="K2038" t="str">
        <f t="shared" si="63"/>
        <v>Budget</v>
      </c>
    </row>
    <row r="2039" spans="2:11" x14ac:dyDescent="0.25">
      <c r="B2039" t="s">
        <v>1084</v>
      </c>
      <c r="C2039">
        <v>2017</v>
      </c>
      <c r="D2039" s="1">
        <v>600000</v>
      </c>
      <c r="E2039">
        <v>90000</v>
      </c>
      <c r="F2039" t="s">
        <v>15</v>
      </c>
      <c r="G2039" t="s">
        <v>10</v>
      </c>
      <c r="H2039" t="s">
        <v>11</v>
      </c>
      <c r="I2039" t="s">
        <v>12</v>
      </c>
      <c r="J2039">
        <f t="shared" si="62"/>
        <v>9</v>
      </c>
      <c r="K2039" t="str">
        <f t="shared" si="63"/>
        <v>Mid Range</v>
      </c>
    </row>
    <row r="2040" spans="2:11" x14ac:dyDescent="0.25">
      <c r="B2040" t="s">
        <v>1085</v>
      </c>
      <c r="C2040">
        <v>2018</v>
      </c>
      <c r="D2040" s="1">
        <v>700000</v>
      </c>
      <c r="E2040">
        <v>30000</v>
      </c>
      <c r="F2040" t="s">
        <v>9</v>
      </c>
      <c r="G2040" t="s">
        <v>10</v>
      </c>
      <c r="H2040" t="s">
        <v>11</v>
      </c>
      <c r="I2040" t="s">
        <v>12</v>
      </c>
      <c r="J2040">
        <f t="shared" si="62"/>
        <v>8</v>
      </c>
      <c r="K2040" t="str">
        <f t="shared" si="63"/>
        <v>Mid Range</v>
      </c>
    </row>
    <row r="2041" spans="2:11" x14ac:dyDescent="0.25">
      <c r="B2041" t="s">
        <v>1086</v>
      </c>
      <c r="C2041">
        <v>2003</v>
      </c>
      <c r="D2041" s="1">
        <v>95000</v>
      </c>
      <c r="E2041">
        <v>120000</v>
      </c>
      <c r="F2041" t="s">
        <v>9</v>
      </c>
      <c r="G2041" t="s">
        <v>10</v>
      </c>
      <c r="H2041" t="s">
        <v>28</v>
      </c>
      <c r="I2041" t="s">
        <v>18</v>
      </c>
      <c r="J2041">
        <f t="shared" si="62"/>
        <v>23</v>
      </c>
      <c r="K2041" t="str">
        <f t="shared" si="63"/>
        <v>Budget</v>
      </c>
    </row>
    <row r="2042" spans="2:11" x14ac:dyDescent="0.25">
      <c r="B2042" t="s">
        <v>1043</v>
      </c>
      <c r="C2042">
        <v>2019</v>
      </c>
      <c r="D2042" s="1">
        <v>490000</v>
      </c>
      <c r="E2042">
        <v>20000</v>
      </c>
      <c r="F2042" t="s">
        <v>9</v>
      </c>
      <c r="G2042" t="s">
        <v>27</v>
      </c>
      <c r="H2042" t="s">
        <v>11</v>
      </c>
      <c r="I2042" t="s">
        <v>12</v>
      </c>
      <c r="J2042">
        <f t="shared" si="62"/>
        <v>7</v>
      </c>
      <c r="K2042" t="str">
        <f t="shared" si="63"/>
        <v>Budget</v>
      </c>
    </row>
    <row r="2043" spans="2:11" x14ac:dyDescent="0.25">
      <c r="B2043" t="s">
        <v>1087</v>
      </c>
      <c r="C2043">
        <v>2013</v>
      </c>
      <c r="D2043" s="1">
        <v>380000</v>
      </c>
      <c r="E2043">
        <v>100000</v>
      </c>
      <c r="F2043" t="s">
        <v>15</v>
      </c>
      <c r="G2043" t="s">
        <v>10</v>
      </c>
      <c r="H2043" t="s">
        <v>11</v>
      </c>
      <c r="I2043" t="s">
        <v>12</v>
      </c>
      <c r="J2043">
        <f t="shared" si="62"/>
        <v>13</v>
      </c>
      <c r="K2043" t="str">
        <f t="shared" si="63"/>
        <v>Budget</v>
      </c>
    </row>
    <row r="2044" spans="2:11" x14ac:dyDescent="0.25">
      <c r="B2044" t="s">
        <v>475</v>
      </c>
      <c r="C2044">
        <v>2018</v>
      </c>
      <c r="D2044" s="1">
        <v>550000</v>
      </c>
      <c r="E2044">
        <v>31000</v>
      </c>
      <c r="F2044" t="s">
        <v>9</v>
      </c>
      <c r="G2044" t="s">
        <v>27</v>
      </c>
      <c r="H2044" t="s">
        <v>11</v>
      </c>
      <c r="I2044" t="s">
        <v>12</v>
      </c>
      <c r="J2044">
        <f t="shared" si="62"/>
        <v>8</v>
      </c>
      <c r="K2044" t="str">
        <f t="shared" si="63"/>
        <v>Mid Range</v>
      </c>
    </row>
    <row r="2045" spans="2:11" x14ac:dyDescent="0.25">
      <c r="B2045" t="s">
        <v>249</v>
      </c>
      <c r="C2045">
        <v>2013</v>
      </c>
      <c r="D2045" s="1">
        <v>225000</v>
      </c>
      <c r="E2045">
        <v>47000</v>
      </c>
      <c r="F2045" t="s">
        <v>9</v>
      </c>
      <c r="G2045" t="s">
        <v>27</v>
      </c>
      <c r="H2045" t="s">
        <v>11</v>
      </c>
      <c r="I2045" t="s">
        <v>12</v>
      </c>
      <c r="J2045">
        <f t="shared" si="62"/>
        <v>13</v>
      </c>
      <c r="K2045" t="str">
        <f t="shared" si="63"/>
        <v>Budget</v>
      </c>
    </row>
    <row r="2046" spans="2:11" x14ac:dyDescent="0.25">
      <c r="B2046" t="s">
        <v>174</v>
      </c>
      <c r="C2046">
        <v>2018</v>
      </c>
      <c r="D2046" s="1">
        <v>570000</v>
      </c>
      <c r="E2046">
        <v>11200</v>
      </c>
      <c r="F2046" t="s">
        <v>9</v>
      </c>
      <c r="G2046" t="s">
        <v>10</v>
      </c>
      <c r="H2046" t="s">
        <v>11</v>
      </c>
      <c r="I2046" t="s">
        <v>12</v>
      </c>
      <c r="J2046">
        <f t="shared" si="62"/>
        <v>8</v>
      </c>
      <c r="K2046" t="str">
        <f t="shared" si="63"/>
        <v>Mid Range</v>
      </c>
    </row>
    <row r="2047" spans="2:11" x14ac:dyDescent="0.25">
      <c r="B2047" t="s">
        <v>249</v>
      </c>
      <c r="C2047">
        <v>2018</v>
      </c>
      <c r="D2047" s="1">
        <v>305000</v>
      </c>
      <c r="E2047">
        <v>35000</v>
      </c>
      <c r="F2047" t="s">
        <v>9</v>
      </c>
      <c r="G2047" t="s">
        <v>27</v>
      </c>
      <c r="H2047" t="s">
        <v>11</v>
      </c>
      <c r="I2047" t="s">
        <v>12</v>
      </c>
      <c r="J2047">
        <f t="shared" si="62"/>
        <v>8</v>
      </c>
      <c r="K2047" t="str">
        <f t="shared" si="63"/>
        <v>Budget</v>
      </c>
    </row>
    <row r="2048" spans="2:11" x14ac:dyDescent="0.25">
      <c r="B2048" t="s">
        <v>1088</v>
      </c>
      <c r="C2048">
        <v>2010</v>
      </c>
      <c r="D2048" s="1">
        <v>240000</v>
      </c>
      <c r="E2048">
        <v>50000</v>
      </c>
      <c r="F2048" t="s">
        <v>152</v>
      </c>
      <c r="G2048" t="s">
        <v>27</v>
      </c>
      <c r="H2048" t="s">
        <v>11</v>
      </c>
      <c r="I2048" t="s">
        <v>12</v>
      </c>
      <c r="J2048">
        <f t="shared" si="62"/>
        <v>16</v>
      </c>
      <c r="K2048" t="str">
        <f t="shared" si="63"/>
        <v>Budget</v>
      </c>
    </row>
    <row r="2049" spans="2:11" x14ac:dyDescent="0.25">
      <c r="B2049" t="s">
        <v>125</v>
      </c>
      <c r="C2049">
        <v>2015</v>
      </c>
      <c r="D2049" s="1">
        <v>700000</v>
      </c>
      <c r="E2049">
        <v>55000</v>
      </c>
      <c r="F2049" t="s">
        <v>15</v>
      </c>
      <c r="G2049" t="s">
        <v>27</v>
      </c>
      <c r="H2049" t="s">
        <v>11</v>
      </c>
      <c r="I2049" t="s">
        <v>12</v>
      </c>
      <c r="J2049">
        <f t="shared" si="62"/>
        <v>11</v>
      </c>
      <c r="K2049" t="str">
        <f t="shared" si="63"/>
        <v>Mid Range</v>
      </c>
    </row>
    <row r="2050" spans="2:11" x14ac:dyDescent="0.25">
      <c r="B2050" t="s">
        <v>345</v>
      </c>
      <c r="C2050">
        <v>2018</v>
      </c>
      <c r="D2050" s="1">
        <v>288000</v>
      </c>
      <c r="E2050">
        <v>20000</v>
      </c>
      <c r="F2050" t="s">
        <v>9</v>
      </c>
      <c r="G2050" t="s">
        <v>27</v>
      </c>
      <c r="H2050" t="s">
        <v>11</v>
      </c>
      <c r="I2050" t="s">
        <v>12</v>
      </c>
      <c r="J2050">
        <f t="shared" si="62"/>
        <v>8</v>
      </c>
      <c r="K2050" t="str">
        <f t="shared" si="63"/>
        <v>Budget</v>
      </c>
    </row>
    <row r="2051" spans="2:11" x14ac:dyDescent="0.25">
      <c r="B2051" t="s">
        <v>1089</v>
      </c>
      <c r="C2051">
        <v>2017</v>
      </c>
      <c r="D2051" s="1">
        <v>800000</v>
      </c>
      <c r="E2051">
        <v>75000</v>
      </c>
      <c r="F2051" t="s">
        <v>15</v>
      </c>
      <c r="G2051" t="s">
        <v>27</v>
      </c>
      <c r="H2051" t="s">
        <v>11</v>
      </c>
      <c r="I2051" t="s">
        <v>12</v>
      </c>
      <c r="J2051">
        <f t="shared" si="62"/>
        <v>9</v>
      </c>
      <c r="K2051" t="str">
        <f t="shared" si="63"/>
        <v>Mid Range</v>
      </c>
    </row>
    <row r="2052" spans="2:11" x14ac:dyDescent="0.25">
      <c r="B2052" t="s">
        <v>1090</v>
      </c>
      <c r="C2052">
        <v>2017</v>
      </c>
      <c r="D2052" s="1">
        <v>430000</v>
      </c>
      <c r="E2052">
        <v>93000</v>
      </c>
      <c r="F2052" t="s">
        <v>9</v>
      </c>
      <c r="G2052" t="s">
        <v>27</v>
      </c>
      <c r="H2052" t="s">
        <v>11</v>
      </c>
      <c r="I2052" t="s">
        <v>12</v>
      </c>
      <c r="J2052">
        <f t="shared" si="62"/>
        <v>9</v>
      </c>
      <c r="K2052" t="str">
        <f t="shared" si="63"/>
        <v>Budget</v>
      </c>
    </row>
    <row r="2053" spans="2:11" x14ac:dyDescent="0.25">
      <c r="B2053" t="s">
        <v>1091</v>
      </c>
      <c r="C2053">
        <v>2009</v>
      </c>
      <c r="D2053" s="1">
        <v>195000</v>
      </c>
      <c r="E2053">
        <v>57000</v>
      </c>
      <c r="F2053" t="s">
        <v>15</v>
      </c>
      <c r="G2053" t="s">
        <v>27</v>
      </c>
      <c r="H2053" t="s">
        <v>11</v>
      </c>
      <c r="I2053" t="s">
        <v>18</v>
      </c>
      <c r="J2053">
        <f t="shared" si="62"/>
        <v>17</v>
      </c>
      <c r="K2053" t="str">
        <f t="shared" si="63"/>
        <v>Budget</v>
      </c>
    </row>
    <row r="2054" spans="2:11" x14ac:dyDescent="0.25">
      <c r="B2054" t="s">
        <v>1092</v>
      </c>
      <c r="C2054">
        <v>2014</v>
      </c>
      <c r="D2054" s="1">
        <v>325000</v>
      </c>
      <c r="E2054">
        <v>30000</v>
      </c>
      <c r="F2054" t="s">
        <v>9</v>
      </c>
      <c r="G2054" t="s">
        <v>27</v>
      </c>
      <c r="H2054" t="s">
        <v>11</v>
      </c>
      <c r="I2054" t="s">
        <v>12</v>
      </c>
      <c r="J2054">
        <f t="shared" ref="J2054:J2117" si="64">2026 - C2054</f>
        <v>12</v>
      </c>
      <c r="K2054" t="str">
        <f t="shared" ref="K2054:K2117" si="65">IF(D2054&lt;500000,"Budget",IF(D2054&lt;=1000000,"Mid Range","Premium"))</f>
        <v>Budget</v>
      </c>
    </row>
    <row r="2055" spans="2:11" x14ac:dyDescent="0.25">
      <c r="B2055" t="s">
        <v>344</v>
      </c>
      <c r="C2055">
        <v>2013</v>
      </c>
      <c r="D2055" s="1">
        <v>450000</v>
      </c>
      <c r="E2055">
        <v>73000</v>
      </c>
      <c r="F2055" t="s">
        <v>15</v>
      </c>
      <c r="G2055" t="s">
        <v>27</v>
      </c>
      <c r="H2055" t="s">
        <v>11</v>
      </c>
      <c r="I2055" t="s">
        <v>12</v>
      </c>
      <c r="J2055">
        <f t="shared" si="64"/>
        <v>13</v>
      </c>
      <c r="K2055" t="str">
        <f t="shared" si="65"/>
        <v>Budget</v>
      </c>
    </row>
    <row r="2056" spans="2:11" x14ac:dyDescent="0.25">
      <c r="B2056" t="s">
        <v>114</v>
      </c>
      <c r="C2056">
        <v>2016</v>
      </c>
      <c r="D2056" s="1">
        <v>630000</v>
      </c>
      <c r="E2056">
        <v>65000</v>
      </c>
      <c r="F2056" t="s">
        <v>15</v>
      </c>
      <c r="G2056" t="s">
        <v>27</v>
      </c>
      <c r="H2056" t="s">
        <v>11</v>
      </c>
      <c r="I2056" t="s">
        <v>12</v>
      </c>
      <c r="J2056">
        <f t="shared" si="64"/>
        <v>10</v>
      </c>
      <c r="K2056" t="str">
        <f t="shared" si="65"/>
        <v>Mid Range</v>
      </c>
    </row>
    <row r="2057" spans="2:11" x14ac:dyDescent="0.25">
      <c r="B2057" t="s">
        <v>76</v>
      </c>
      <c r="C2057">
        <v>2009</v>
      </c>
      <c r="D2057" s="1">
        <v>250000</v>
      </c>
      <c r="E2057">
        <v>62000</v>
      </c>
      <c r="F2057" t="s">
        <v>9</v>
      </c>
      <c r="G2057" t="s">
        <v>27</v>
      </c>
      <c r="H2057" t="s">
        <v>11</v>
      </c>
      <c r="I2057" t="s">
        <v>18</v>
      </c>
      <c r="J2057">
        <f t="shared" si="64"/>
        <v>17</v>
      </c>
      <c r="K2057" t="str">
        <f t="shared" si="65"/>
        <v>Budget</v>
      </c>
    </row>
    <row r="2058" spans="2:11" x14ac:dyDescent="0.25">
      <c r="B2058" t="s">
        <v>1093</v>
      </c>
      <c r="C2058">
        <v>2007</v>
      </c>
      <c r="D2058" s="1">
        <v>135000</v>
      </c>
      <c r="E2058">
        <v>85000</v>
      </c>
      <c r="F2058" t="s">
        <v>9</v>
      </c>
      <c r="G2058" t="s">
        <v>27</v>
      </c>
      <c r="H2058" t="s">
        <v>11</v>
      </c>
      <c r="I2058" t="s">
        <v>12</v>
      </c>
      <c r="J2058">
        <f t="shared" si="64"/>
        <v>19</v>
      </c>
      <c r="K2058" t="str">
        <f t="shared" si="65"/>
        <v>Budget</v>
      </c>
    </row>
    <row r="2059" spans="2:11" x14ac:dyDescent="0.25">
      <c r="B2059" t="s">
        <v>1094</v>
      </c>
      <c r="C2059">
        <v>2010</v>
      </c>
      <c r="D2059" s="1">
        <v>110000</v>
      </c>
      <c r="E2059">
        <v>73000</v>
      </c>
      <c r="F2059" t="s">
        <v>9</v>
      </c>
      <c r="G2059" t="s">
        <v>10</v>
      </c>
      <c r="H2059" t="s">
        <v>11</v>
      </c>
      <c r="I2059" t="s">
        <v>12</v>
      </c>
      <c r="J2059">
        <f t="shared" si="64"/>
        <v>16</v>
      </c>
      <c r="K2059" t="str">
        <f t="shared" si="65"/>
        <v>Budget</v>
      </c>
    </row>
    <row r="2060" spans="2:11" x14ac:dyDescent="0.25">
      <c r="B2060" t="s">
        <v>1095</v>
      </c>
      <c r="C2060">
        <v>2012</v>
      </c>
      <c r="D2060" s="1">
        <v>350000</v>
      </c>
      <c r="E2060">
        <v>55000</v>
      </c>
      <c r="F2060" t="s">
        <v>15</v>
      </c>
      <c r="G2060" t="s">
        <v>27</v>
      </c>
      <c r="H2060" t="s">
        <v>11</v>
      </c>
      <c r="I2060" t="s">
        <v>12</v>
      </c>
      <c r="J2060">
        <f t="shared" si="64"/>
        <v>14</v>
      </c>
      <c r="K2060" t="str">
        <f t="shared" si="65"/>
        <v>Budget</v>
      </c>
    </row>
    <row r="2061" spans="2:11" x14ac:dyDescent="0.25">
      <c r="B2061" t="s">
        <v>345</v>
      </c>
      <c r="C2061">
        <v>2016</v>
      </c>
      <c r="D2061" s="1">
        <v>240000</v>
      </c>
      <c r="E2061">
        <v>5800</v>
      </c>
      <c r="F2061" t="s">
        <v>9</v>
      </c>
      <c r="G2061" t="s">
        <v>10</v>
      </c>
      <c r="H2061" t="s">
        <v>11</v>
      </c>
      <c r="I2061" t="s">
        <v>18</v>
      </c>
      <c r="J2061">
        <f t="shared" si="64"/>
        <v>10</v>
      </c>
      <c r="K2061" t="str">
        <f t="shared" si="65"/>
        <v>Budget</v>
      </c>
    </row>
    <row r="2062" spans="2:11" x14ac:dyDescent="0.25">
      <c r="B2062" t="s">
        <v>74</v>
      </c>
      <c r="C2062">
        <v>2009</v>
      </c>
      <c r="D2062" s="1">
        <v>350000</v>
      </c>
      <c r="E2062">
        <v>350000</v>
      </c>
      <c r="F2062" t="s">
        <v>15</v>
      </c>
      <c r="G2062" t="s">
        <v>10</v>
      </c>
      <c r="H2062" t="s">
        <v>11</v>
      </c>
      <c r="I2062" t="s">
        <v>12</v>
      </c>
      <c r="J2062">
        <f t="shared" si="64"/>
        <v>17</v>
      </c>
      <c r="K2062" t="str">
        <f t="shared" si="65"/>
        <v>Budget</v>
      </c>
    </row>
    <row r="2063" spans="2:11" x14ac:dyDescent="0.25">
      <c r="B2063" t="s">
        <v>1085</v>
      </c>
      <c r="C2063">
        <v>2018</v>
      </c>
      <c r="D2063" s="1">
        <v>600000</v>
      </c>
      <c r="E2063">
        <v>30000</v>
      </c>
      <c r="F2063" t="s">
        <v>9</v>
      </c>
      <c r="G2063" t="s">
        <v>10</v>
      </c>
      <c r="H2063" t="s">
        <v>11</v>
      </c>
      <c r="I2063" t="s">
        <v>12</v>
      </c>
      <c r="J2063">
        <f t="shared" si="64"/>
        <v>8</v>
      </c>
      <c r="K2063" t="str">
        <f t="shared" si="65"/>
        <v>Mid Range</v>
      </c>
    </row>
    <row r="2064" spans="2:11" x14ac:dyDescent="0.25">
      <c r="B2064" t="s">
        <v>114</v>
      </c>
      <c r="C2064">
        <v>2018</v>
      </c>
      <c r="D2064" s="1">
        <v>750000</v>
      </c>
      <c r="E2064">
        <v>20000</v>
      </c>
      <c r="F2064" t="s">
        <v>15</v>
      </c>
      <c r="G2064" t="s">
        <v>10</v>
      </c>
      <c r="H2064" t="s">
        <v>11</v>
      </c>
      <c r="I2064" t="s">
        <v>12</v>
      </c>
      <c r="J2064">
        <f t="shared" si="64"/>
        <v>8</v>
      </c>
      <c r="K2064" t="str">
        <f t="shared" si="65"/>
        <v>Mid Range</v>
      </c>
    </row>
    <row r="2065" spans="2:11" x14ac:dyDescent="0.25">
      <c r="B2065" t="s">
        <v>136</v>
      </c>
      <c r="C2065">
        <v>2018</v>
      </c>
      <c r="D2065" s="1">
        <v>270000</v>
      </c>
      <c r="E2065">
        <v>20000</v>
      </c>
      <c r="F2065" t="s">
        <v>9</v>
      </c>
      <c r="G2065" t="s">
        <v>10</v>
      </c>
      <c r="H2065" t="s">
        <v>11</v>
      </c>
      <c r="I2065" t="s">
        <v>12</v>
      </c>
      <c r="J2065">
        <f t="shared" si="64"/>
        <v>8</v>
      </c>
      <c r="K2065" t="str">
        <f t="shared" si="65"/>
        <v>Budget</v>
      </c>
    </row>
    <row r="2066" spans="2:11" x14ac:dyDescent="0.25">
      <c r="B2066" t="s">
        <v>58</v>
      </c>
      <c r="C2066">
        <v>2007</v>
      </c>
      <c r="D2066" s="1">
        <v>90000</v>
      </c>
      <c r="E2066">
        <v>100000</v>
      </c>
      <c r="F2066" t="s">
        <v>9</v>
      </c>
      <c r="G2066" t="s">
        <v>10</v>
      </c>
      <c r="H2066" t="s">
        <v>11</v>
      </c>
      <c r="I2066" t="s">
        <v>18</v>
      </c>
      <c r="J2066">
        <f t="shared" si="64"/>
        <v>19</v>
      </c>
      <c r="K2066" t="str">
        <f t="shared" si="65"/>
        <v>Budget</v>
      </c>
    </row>
    <row r="2067" spans="2:11" x14ac:dyDescent="0.25">
      <c r="B2067" t="s">
        <v>519</v>
      </c>
      <c r="C2067">
        <v>2013</v>
      </c>
      <c r="D2067" s="1">
        <v>350000</v>
      </c>
      <c r="E2067">
        <v>65000</v>
      </c>
      <c r="F2067" t="s">
        <v>9</v>
      </c>
      <c r="G2067" t="s">
        <v>10</v>
      </c>
      <c r="H2067" t="s">
        <v>11</v>
      </c>
      <c r="I2067" t="s">
        <v>12</v>
      </c>
      <c r="J2067">
        <f t="shared" si="64"/>
        <v>13</v>
      </c>
      <c r="K2067" t="str">
        <f t="shared" si="65"/>
        <v>Budget</v>
      </c>
    </row>
    <row r="2068" spans="2:11" x14ac:dyDescent="0.25">
      <c r="B2068" t="s">
        <v>304</v>
      </c>
      <c r="C2068">
        <v>2013</v>
      </c>
      <c r="D2068" s="1">
        <v>285000</v>
      </c>
      <c r="E2068">
        <v>90000</v>
      </c>
      <c r="F2068" t="s">
        <v>15</v>
      </c>
      <c r="G2068" t="s">
        <v>10</v>
      </c>
      <c r="H2068" t="s">
        <v>11</v>
      </c>
      <c r="I2068" t="s">
        <v>18</v>
      </c>
      <c r="J2068">
        <f t="shared" si="64"/>
        <v>13</v>
      </c>
      <c r="K2068" t="str">
        <f t="shared" si="65"/>
        <v>Budget</v>
      </c>
    </row>
    <row r="2069" spans="2:11" x14ac:dyDescent="0.25">
      <c r="B2069" t="s">
        <v>1096</v>
      </c>
      <c r="C2069">
        <v>2011</v>
      </c>
      <c r="D2069" s="1">
        <v>665000</v>
      </c>
      <c r="E2069">
        <v>267000</v>
      </c>
      <c r="F2069" t="s">
        <v>15</v>
      </c>
      <c r="G2069" t="s">
        <v>10</v>
      </c>
      <c r="H2069" t="s">
        <v>11</v>
      </c>
      <c r="I2069" t="s">
        <v>18</v>
      </c>
      <c r="J2069">
        <f t="shared" si="64"/>
        <v>15</v>
      </c>
      <c r="K2069" t="str">
        <f t="shared" si="65"/>
        <v>Mid Range</v>
      </c>
    </row>
    <row r="2070" spans="2:11" x14ac:dyDescent="0.25">
      <c r="B2070" t="s">
        <v>1097</v>
      </c>
      <c r="C2070">
        <v>2005</v>
      </c>
      <c r="D2070" s="1">
        <v>175000</v>
      </c>
      <c r="E2070">
        <v>250000</v>
      </c>
      <c r="F2070" t="s">
        <v>15</v>
      </c>
      <c r="G2070" t="s">
        <v>10</v>
      </c>
      <c r="H2070" t="s">
        <v>11</v>
      </c>
      <c r="I2070" t="s">
        <v>18</v>
      </c>
      <c r="J2070">
        <f t="shared" si="64"/>
        <v>21</v>
      </c>
      <c r="K2070" t="str">
        <f t="shared" si="65"/>
        <v>Budget</v>
      </c>
    </row>
    <row r="2071" spans="2:11" x14ac:dyDescent="0.25">
      <c r="B2071" t="s">
        <v>390</v>
      </c>
      <c r="C2071">
        <v>2011</v>
      </c>
      <c r="D2071" s="1">
        <v>350000</v>
      </c>
      <c r="E2071">
        <v>140000</v>
      </c>
      <c r="F2071" t="s">
        <v>15</v>
      </c>
      <c r="G2071" t="s">
        <v>10</v>
      </c>
      <c r="H2071" t="s">
        <v>11</v>
      </c>
      <c r="I2071" t="s">
        <v>18</v>
      </c>
      <c r="J2071">
        <f t="shared" si="64"/>
        <v>15</v>
      </c>
      <c r="K2071" t="str">
        <f t="shared" si="65"/>
        <v>Budget</v>
      </c>
    </row>
    <row r="2072" spans="2:11" x14ac:dyDescent="0.25">
      <c r="B2072" t="s">
        <v>615</v>
      </c>
      <c r="C2072">
        <v>2018</v>
      </c>
      <c r="D2072" s="1">
        <v>1225000</v>
      </c>
      <c r="E2072">
        <v>22000</v>
      </c>
      <c r="F2072" t="s">
        <v>9</v>
      </c>
      <c r="G2072" t="s">
        <v>27</v>
      </c>
      <c r="H2072" t="s">
        <v>28</v>
      </c>
      <c r="I2072" t="s">
        <v>12</v>
      </c>
      <c r="J2072">
        <f t="shared" si="64"/>
        <v>8</v>
      </c>
      <c r="K2072" t="str">
        <f t="shared" si="65"/>
        <v>Premium</v>
      </c>
    </row>
    <row r="2073" spans="2:11" x14ac:dyDescent="0.25">
      <c r="B2073" t="s">
        <v>1098</v>
      </c>
      <c r="C2073">
        <v>2010</v>
      </c>
      <c r="D2073" s="1">
        <v>285000</v>
      </c>
      <c r="E2073">
        <v>60000</v>
      </c>
      <c r="F2073" t="s">
        <v>9</v>
      </c>
      <c r="G2073" t="s">
        <v>27</v>
      </c>
      <c r="H2073" t="s">
        <v>11</v>
      </c>
      <c r="I2073" t="s">
        <v>18</v>
      </c>
      <c r="J2073">
        <f t="shared" si="64"/>
        <v>16</v>
      </c>
      <c r="K2073" t="str">
        <f t="shared" si="65"/>
        <v>Budget</v>
      </c>
    </row>
    <row r="2074" spans="2:11" x14ac:dyDescent="0.25">
      <c r="B2074" t="s">
        <v>885</v>
      </c>
      <c r="C2074">
        <v>2018</v>
      </c>
      <c r="D2074" s="1">
        <v>1000000</v>
      </c>
      <c r="E2074">
        <v>28635</v>
      </c>
      <c r="F2074" t="s">
        <v>9</v>
      </c>
      <c r="G2074" t="s">
        <v>27</v>
      </c>
      <c r="H2074" t="s">
        <v>11</v>
      </c>
      <c r="I2074" t="s">
        <v>12</v>
      </c>
      <c r="J2074">
        <f t="shared" si="64"/>
        <v>8</v>
      </c>
      <c r="K2074" t="str">
        <f t="shared" si="65"/>
        <v>Mid Range</v>
      </c>
    </row>
    <row r="2075" spans="2:11" x14ac:dyDescent="0.25">
      <c r="B2075" t="s">
        <v>636</v>
      </c>
      <c r="C2075">
        <v>2018</v>
      </c>
      <c r="D2075" s="1">
        <v>780000</v>
      </c>
      <c r="E2075">
        <v>32114</v>
      </c>
      <c r="F2075" t="s">
        <v>15</v>
      </c>
      <c r="G2075" t="s">
        <v>27</v>
      </c>
      <c r="H2075" t="s">
        <v>11</v>
      </c>
      <c r="I2075" t="s">
        <v>12</v>
      </c>
      <c r="J2075">
        <f t="shared" si="64"/>
        <v>8</v>
      </c>
      <c r="K2075" t="str">
        <f t="shared" si="65"/>
        <v>Mid Range</v>
      </c>
    </row>
    <row r="2076" spans="2:11" x14ac:dyDescent="0.25">
      <c r="B2076" t="s">
        <v>1090</v>
      </c>
      <c r="C2076">
        <v>2014</v>
      </c>
      <c r="D2076" s="1">
        <v>300000</v>
      </c>
      <c r="E2076">
        <v>82000</v>
      </c>
      <c r="F2076" t="s">
        <v>9</v>
      </c>
      <c r="G2076" t="s">
        <v>27</v>
      </c>
      <c r="H2076" t="s">
        <v>11</v>
      </c>
      <c r="I2076" t="s">
        <v>18</v>
      </c>
      <c r="J2076">
        <f t="shared" si="64"/>
        <v>12</v>
      </c>
      <c r="K2076" t="str">
        <f t="shared" si="65"/>
        <v>Budget</v>
      </c>
    </row>
    <row r="2077" spans="2:11" x14ac:dyDescent="0.25">
      <c r="B2077" t="s">
        <v>317</v>
      </c>
      <c r="C2077">
        <v>2006</v>
      </c>
      <c r="D2077" s="1">
        <v>160000</v>
      </c>
      <c r="E2077">
        <v>95149</v>
      </c>
      <c r="F2077" t="s">
        <v>9</v>
      </c>
      <c r="G2077" t="s">
        <v>27</v>
      </c>
      <c r="H2077" t="s">
        <v>11</v>
      </c>
      <c r="I2077" t="s">
        <v>18</v>
      </c>
      <c r="J2077">
        <f t="shared" si="64"/>
        <v>20</v>
      </c>
      <c r="K2077" t="str">
        <f t="shared" si="65"/>
        <v>Budget</v>
      </c>
    </row>
    <row r="2078" spans="2:11" x14ac:dyDescent="0.25">
      <c r="B2078" t="s">
        <v>639</v>
      </c>
      <c r="C2078">
        <v>2018</v>
      </c>
      <c r="D2078" s="1">
        <v>625000</v>
      </c>
      <c r="E2078">
        <v>68458</v>
      </c>
      <c r="F2078" t="s">
        <v>9</v>
      </c>
      <c r="G2078" t="s">
        <v>27</v>
      </c>
      <c r="H2078" t="s">
        <v>11</v>
      </c>
      <c r="I2078" t="s">
        <v>12</v>
      </c>
      <c r="J2078">
        <f t="shared" si="64"/>
        <v>8</v>
      </c>
      <c r="K2078" t="str">
        <f t="shared" si="65"/>
        <v>Mid Range</v>
      </c>
    </row>
    <row r="2079" spans="2:11" x14ac:dyDescent="0.25">
      <c r="B2079" t="s">
        <v>966</v>
      </c>
      <c r="C2079">
        <v>2010</v>
      </c>
      <c r="D2079" s="1">
        <v>265000</v>
      </c>
      <c r="E2079">
        <v>42000</v>
      </c>
      <c r="F2079" t="s">
        <v>9</v>
      </c>
      <c r="G2079" t="s">
        <v>10</v>
      </c>
      <c r="H2079" t="s">
        <v>11</v>
      </c>
      <c r="I2079" t="s">
        <v>12</v>
      </c>
      <c r="J2079">
        <f t="shared" si="64"/>
        <v>16</v>
      </c>
      <c r="K2079" t="str">
        <f t="shared" si="65"/>
        <v>Budget</v>
      </c>
    </row>
    <row r="2080" spans="2:11" x14ac:dyDescent="0.25">
      <c r="B2080" t="s">
        <v>52</v>
      </c>
      <c r="C2080">
        <v>2014</v>
      </c>
      <c r="D2080" s="1">
        <v>515000</v>
      </c>
      <c r="E2080">
        <v>90000</v>
      </c>
      <c r="F2080" t="s">
        <v>15</v>
      </c>
      <c r="G2080" t="s">
        <v>10</v>
      </c>
      <c r="H2080" t="s">
        <v>11</v>
      </c>
      <c r="I2080" t="s">
        <v>18</v>
      </c>
      <c r="J2080">
        <f t="shared" si="64"/>
        <v>12</v>
      </c>
      <c r="K2080" t="str">
        <f t="shared" si="65"/>
        <v>Mid Range</v>
      </c>
    </row>
    <row r="2081" spans="2:11" x14ac:dyDescent="0.25">
      <c r="B2081" t="s">
        <v>1099</v>
      </c>
      <c r="C2081">
        <v>2016</v>
      </c>
      <c r="D2081" s="1">
        <v>650000</v>
      </c>
      <c r="E2081">
        <v>100000</v>
      </c>
      <c r="F2081" t="s">
        <v>15</v>
      </c>
      <c r="G2081" t="s">
        <v>10</v>
      </c>
      <c r="H2081" t="s">
        <v>11</v>
      </c>
      <c r="I2081" t="s">
        <v>12</v>
      </c>
      <c r="J2081">
        <f t="shared" si="64"/>
        <v>10</v>
      </c>
      <c r="K2081" t="str">
        <f t="shared" si="65"/>
        <v>Mid Range</v>
      </c>
    </row>
    <row r="2082" spans="2:11" x14ac:dyDescent="0.25">
      <c r="B2082" t="s">
        <v>1100</v>
      </c>
      <c r="C2082">
        <v>2017</v>
      </c>
      <c r="D2082" s="1">
        <v>650000</v>
      </c>
      <c r="E2082">
        <v>80000</v>
      </c>
      <c r="F2082" t="s">
        <v>15</v>
      </c>
      <c r="G2082" t="s">
        <v>10</v>
      </c>
      <c r="H2082" t="s">
        <v>11</v>
      </c>
      <c r="I2082" t="s">
        <v>12</v>
      </c>
      <c r="J2082">
        <f t="shared" si="64"/>
        <v>9</v>
      </c>
      <c r="K2082" t="str">
        <f t="shared" si="65"/>
        <v>Mid Range</v>
      </c>
    </row>
    <row r="2083" spans="2:11" x14ac:dyDescent="0.25">
      <c r="B2083" t="s">
        <v>148</v>
      </c>
      <c r="C2083">
        <v>2010</v>
      </c>
      <c r="D2083" s="1">
        <v>150000</v>
      </c>
      <c r="E2083">
        <v>105546</v>
      </c>
      <c r="F2083" t="s">
        <v>9</v>
      </c>
      <c r="G2083" t="s">
        <v>10</v>
      </c>
      <c r="H2083" t="s">
        <v>11</v>
      </c>
      <c r="I2083" t="s">
        <v>12</v>
      </c>
      <c r="J2083">
        <f t="shared" si="64"/>
        <v>16</v>
      </c>
      <c r="K2083" t="str">
        <f t="shared" si="65"/>
        <v>Budget</v>
      </c>
    </row>
    <row r="2084" spans="2:11" x14ac:dyDescent="0.25">
      <c r="B2084" t="s">
        <v>1101</v>
      </c>
      <c r="C2084">
        <v>2018</v>
      </c>
      <c r="D2084" s="1">
        <v>500000</v>
      </c>
      <c r="E2084">
        <v>10000</v>
      </c>
      <c r="F2084" t="s">
        <v>9</v>
      </c>
      <c r="G2084" t="s">
        <v>10</v>
      </c>
      <c r="H2084" t="s">
        <v>11</v>
      </c>
      <c r="I2084" t="s">
        <v>12</v>
      </c>
      <c r="J2084">
        <f t="shared" si="64"/>
        <v>8</v>
      </c>
      <c r="K2084" t="str">
        <f t="shared" si="65"/>
        <v>Mid Range</v>
      </c>
    </row>
    <row r="2085" spans="2:11" x14ac:dyDescent="0.25">
      <c r="B2085" t="s">
        <v>1102</v>
      </c>
      <c r="C2085">
        <v>2012</v>
      </c>
      <c r="D2085" s="1">
        <v>1000000</v>
      </c>
      <c r="E2085">
        <v>80000</v>
      </c>
      <c r="F2085" t="s">
        <v>15</v>
      </c>
      <c r="G2085" t="s">
        <v>10</v>
      </c>
      <c r="H2085" t="s">
        <v>11</v>
      </c>
      <c r="I2085" t="s">
        <v>18</v>
      </c>
      <c r="J2085">
        <f t="shared" si="64"/>
        <v>14</v>
      </c>
      <c r="K2085" t="str">
        <f t="shared" si="65"/>
        <v>Mid Range</v>
      </c>
    </row>
    <row r="2086" spans="2:11" x14ac:dyDescent="0.25">
      <c r="B2086" t="s">
        <v>1103</v>
      </c>
      <c r="C2086">
        <v>2013</v>
      </c>
      <c r="D2086" s="1">
        <v>340000</v>
      </c>
      <c r="E2086">
        <v>35000</v>
      </c>
      <c r="F2086" t="s">
        <v>9</v>
      </c>
      <c r="G2086" t="s">
        <v>10</v>
      </c>
      <c r="H2086" t="s">
        <v>11</v>
      </c>
      <c r="I2086" t="s">
        <v>12</v>
      </c>
      <c r="J2086">
        <f t="shared" si="64"/>
        <v>13</v>
      </c>
      <c r="K2086" t="str">
        <f t="shared" si="65"/>
        <v>Budget</v>
      </c>
    </row>
    <row r="2087" spans="2:11" x14ac:dyDescent="0.25">
      <c r="B2087" t="s">
        <v>530</v>
      </c>
      <c r="C2087">
        <v>2013</v>
      </c>
      <c r="D2087" s="1">
        <v>1010000</v>
      </c>
      <c r="E2087">
        <v>120000</v>
      </c>
      <c r="F2087" t="s">
        <v>15</v>
      </c>
      <c r="G2087" t="s">
        <v>10</v>
      </c>
      <c r="H2087" t="s">
        <v>11</v>
      </c>
      <c r="I2087" t="s">
        <v>12</v>
      </c>
      <c r="J2087">
        <f t="shared" si="64"/>
        <v>13</v>
      </c>
      <c r="K2087" t="str">
        <f t="shared" si="65"/>
        <v>Premium</v>
      </c>
    </row>
    <row r="2088" spans="2:11" x14ac:dyDescent="0.25">
      <c r="B2088" t="s">
        <v>69</v>
      </c>
      <c r="C2088">
        <v>2011</v>
      </c>
      <c r="D2088" s="1">
        <v>350000</v>
      </c>
      <c r="E2088">
        <v>120000</v>
      </c>
      <c r="F2088" t="s">
        <v>15</v>
      </c>
      <c r="G2088" t="s">
        <v>10</v>
      </c>
      <c r="H2088" t="s">
        <v>11</v>
      </c>
      <c r="I2088" t="s">
        <v>49</v>
      </c>
      <c r="J2088">
        <f t="shared" si="64"/>
        <v>15</v>
      </c>
      <c r="K2088" t="str">
        <f t="shared" si="65"/>
        <v>Budget</v>
      </c>
    </row>
    <row r="2089" spans="2:11" x14ac:dyDescent="0.25">
      <c r="B2089" t="s">
        <v>162</v>
      </c>
      <c r="C2089">
        <v>2016</v>
      </c>
      <c r="D2089" s="1">
        <v>595000</v>
      </c>
      <c r="E2089">
        <v>70000</v>
      </c>
      <c r="F2089" t="s">
        <v>15</v>
      </c>
      <c r="G2089" t="s">
        <v>10</v>
      </c>
      <c r="H2089" t="s">
        <v>11</v>
      </c>
      <c r="I2089" t="s">
        <v>12</v>
      </c>
      <c r="J2089">
        <f t="shared" si="64"/>
        <v>10</v>
      </c>
      <c r="K2089" t="str">
        <f t="shared" si="65"/>
        <v>Mid Range</v>
      </c>
    </row>
    <row r="2090" spans="2:11" x14ac:dyDescent="0.25">
      <c r="B2090" t="s">
        <v>1009</v>
      </c>
      <c r="C2090">
        <v>2014</v>
      </c>
      <c r="D2090" s="1">
        <v>700000</v>
      </c>
      <c r="E2090">
        <v>130000</v>
      </c>
      <c r="F2090" t="s">
        <v>15</v>
      </c>
      <c r="G2090" t="s">
        <v>10</v>
      </c>
      <c r="H2090" t="s">
        <v>11</v>
      </c>
      <c r="I2090" t="s">
        <v>49</v>
      </c>
      <c r="J2090">
        <f t="shared" si="64"/>
        <v>12</v>
      </c>
      <c r="K2090" t="str">
        <f t="shared" si="65"/>
        <v>Mid Range</v>
      </c>
    </row>
    <row r="2091" spans="2:11" x14ac:dyDescent="0.25">
      <c r="B2091" t="s">
        <v>534</v>
      </c>
      <c r="C2091">
        <v>2019</v>
      </c>
      <c r="D2091" s="1">
        <v>265000</v>
      </c>
      <c r="E2091">
        <v>40000</v>
      </c>
      <c r="F2091" t="s">
        <v>9</v>
      </c>
      <c r="G2091" t="s">
        <v>10</v>
      </c>
      <c r="H2091" t="s">
        <v>11</v>
      </c>
      <c r="I2091" t="s">
        <v>12</v>
      </c>
      <c r="J2091">
        <f t="shared" si="64"/>
        <v>7</v>
      </c>
      <c r="K2091" t="str">
        <f t="shared" si="65"/>
        <v>Budget</v>
      </c>
    </row>
    <row r="2092" spans="2:11" x14ac:dyDescent="0.25">
      <c r="B2092" t="s">
        <v>170</v>
      </c>
      <c r="C2092">
        <v>2015</v>
      </c>
      <c r="D2092" s="1">
        <v>320000</v>
      </c>
      <c r="E2092">
        <v>60000</v>
      </c>
      <c r="F2092" t="s">
        <v>9</v>
      </c>
      <c r="G2092" t="s">
        <v>10</v>
      </c>
      <c r="H2092" t="s">
        <v>11</v>
      </c>
      <c r="I2092" t="s">
        <v>18</v>
      </c>
      <c r="J2092">
        <f t="shared" si="64"/>
        <v>11</v>
      </c>
      <c r="K2092" t="str">
        <f t="shared" si="65"/>
        <v>Budget</v>
      </c>
    </row>
    <row r="2093" spans="2:11" x14ac:dyDescent="0.25">
      <c r="B2093" t="s">
        <v>1104</v>
      </c>
      <c r="C2093">
        <v>2011</v>
      </c>
      <c r="D2093" s="1">
        <v>310000</v>
      </c>
      <c r="E2093">
        <v>110000</v>
      </c>
      <c r="F2093" t="s">
        <v>9</v>
      </c>
      <c r="G2093" t="s">
        <v>10</v>
      </c>
      <c r="H2093" t="s">
        <v>11</v>
      </c>
      <c r="I2093" t="s">
        <v>12</v>
      </c>
      <c r="J2093">
        <f t="shared" si="64"/>
        <v>15</v>
      </c>
      <c r="K2093" t="str">
        <f t="shared" si="65"/>
        <v>Budget</v>
      </c>
    </row>
    <row r="2094" spans="2:11" x14ac:dyDescent="0.25">
      <c r="B2094" t="s">
        <v>66</v>
      </c>
      <c r="C2094">
        <v>2014</v>
      </c>
      <c r="D2094" s="1">
        <v>700000</v>
      </c>
      <c r="E2094">
        <v>130000</v>
      </c>
      <c r="F2094" t="s">
        <v>15</v>
      </c>
      <c r="G2094" t="s">
        <v>10</v>
      </c>
      <c r="H2094" t="s">
        <v>11</v>
      </c>
      <c r="I2094" t="s">
        <v>12</v>
      </c>
      <c r="J2094">
        <f t="shared" si="64"/>
        <v>12</v>
      </c>
      <c r="K2094" t="str">
        <f t="shared" si="65"/>
        <v>Mid Range</v>
      </c>
    </row>
    <row r="2095" spans="2:11" x14ac:dyDescent="0.25">
      <c r="B2095" t="s">
        <v>211</v>
      </c>
      <c r="C2095">
        <v>2009</v>
      </c>
      <c r="D2095" s="1">
        <v>130000</v>
      </c>
      <c r="E2095">
        <v>80000</v>
      </c>
      <c r="F2095" t="s">
        <v>9</v>
      </c>
      <c r="G2095" t="s">
        <v>10</v>
      </c>
      <c r="H2095" t="s">
        <v>11</v>
      </c>
      <c r="I2095" t="s">
        <v>18</v>
      </c>
      <c r="J2095">
        <f t="shared" si="64"/>
        <v>17</v>
      </c>
      <c r="K2095" t="str">
        <f t="shared" si="65"/>
        <v>Budget</v>
      </c>
    </row>
    <row r="2096" spans="2:11" x14ac:dyDescent="0.25">
      <c r="B2096" t="s">
        <v>181</v>
      </c>
      <c r="C2096">
        <v>2009</v>
      </c>
      <c r="D2096" s="1">
        <v>150000</v>
      </c>
      <c r="E2096">
        <v>120000</v>
      </c>
      <c r="F2096" t="s">
        <v>15</v>
      </c>
      <c r="G2096" t="s">
        <v>10</v>
      </c>
      <c r="H2096" t="s">
        <v>11</v>
      </c>
      <c r="I2096" t="s">
        <v>18</v>
      </c>
      <c r="J2096">
        <f t="shared" si="64"/>
        <v>17</v>
      </c>
      <c r="K2096" t="str">
        <f t="shared" si="65"/>
        <v>Budget</v>
      </c>
    </row>
    <row r="2097" spans="2:11" x14ac:dyDescent="0.25">
      <c r="B2097" t="s">
        <v>1105</v>
      </c>
      <c r="C2097">
        <v>2015</v>
      </c>
      <c r="D2097" s="1">
        <v>300000</v>
      </c>
      <c r="E2097">
        <v>104000</v>
      </c>
      <c r="F2097" t="s">
        <v>15</v>
      </c>
      <c r="G2097" t="s">
        <v>10</v>
      </c>
      <c r="H2097" t="s">
        <v>11</v>
      </c>
      <c r="I2097" t="s">
        <v>18</v>
      </c>
      <c r="J2097">
        <f t="shared" si="64"/>
        <v>11</v>
      </c>
      <c r="K2097" t="str">
        <f t="shared" si="65"/>
        <v>Budget</v>
      </c>
    </row>
    <row r="2098" spans="2:11" x14ac:dyDescent="0.25">
      <c r="B2098" t="s">
        <v>1106</v>
      </c>
      <c r="C2098">
        <v>2011</v>
      </c>
      <c r="D2098" s="1">
        <v>150000</v>
      </c>
      <c r="E2098">
        <v>100000</v>
      </c>
      <c r="F2098" t="s">
        <v>9</v>
      </c>
      <c r="G2098" t="s">
        <v>10</v>
      </c>
      <c r="H2098" t="s">
        <v>11</v>
      </c>
      <c r="I2098" t="s">
        <v>18</v>
      </c>
      <c r="J2098">
        <f t="shared" si="64"/>
        <v>15</v>
      </c>
      <c r="K2098" t="str">
        <f t="shared" si="65"/>
        <v>Budget</v>
      </c>
    </row>
    <row r="2099" spans="2:11" x14ac:dyDescent="0.25">
      <c r="B2099" t="s">
        <v>1052</v>
      </c>
      <c r="C2099">
        <v>2003</v>
      </c>
      <c r="D2099" s="1">
        <v>120000</v>
      </c>
      <c r="E2099">
        <v>132343</v>
      </c>
      <c r="F2099" t="s">
        <v>9</v>
      </c>
      <c r="G2099" t="s">
        <v>10</v>
      </c>
      <c r="H2099" t="s">
        <v>11</v>
      </c>
      <c r="I2099" t="s">
        <v>18</v>
      </c>
      <c r="J2099">
        <f t="shared" si="64"/>
        <v>23</v>
      </c>
      <c r="K2099" t="str">
        <f t="shared" si="65"/>
        <v>Budget</v>
      </c>
    </row>
    <row r="2100" spans="2:11" x14ac:dyDescent="0.25">
      <c r="B2100" t="s">
        <v>1107</v>
      </c>
      <c r="C2100">
        <v>2016</v>
      </c>
      <c r="D2100" s="1">
        <v>950000</v>
      </c>
      <c r="E2100">
        <v>90000</v>
      </c>
      <c r="F2100" t="s">
        <v>15</v>
      </c>
      <c r="G2100" t="s">
        <v>10</v>
      </c>
      <c r="H2100" t="s">
        <v>11</v>
      </c>
      <c r="I2100" t="s">
        <v>18</v>
      </c>
      <c r="J2100">
        <f t="shared" si="64"/>
        <v>10</v>
      </c>
      <c r="K2100" t="str">
        <f t="shared" si="65"/>
        <v>Mid Range</v>
      </c>
    </row>
    <row r="2101" spans="2:11" x14ac:dyDescent="0.25">
      <c r="B2101" t="s">
        <v>54</v>
      </c>
      <c r="C2101">
        <v>2007</v>
      </c>
      <c r="D2101" s="1">
        <v>100000</v>
      </c>
      <c r="E2101">
        <v>60000</v>
      </c>
      <c r="F2101" t="s">
        <v>9</v>
      </c>
      <c r="G2101" t="s">
        <v>10</v>
      </c>
      <c r="H2101" t="s">
        <v>11</v>
      </c>
      <c r="I2101" t="s">
        <v>18</v>
      </c>
      <c r="J2101">
        <f t="shared" si="64"/>
        <v>19</v>
      </c>
      <c r="K2101" t="str">
        <f t="shared" si="65"/>
        <v>Budget</v>
      </c>
    </row>
    <row r="2102" spans="2:11" x14ac:dyDescent="0.25">
      <c r="B2102" t="s">
        <v>1108</v>
      </c>
      <c r="C2102">
        <v>2015</v>
      </c>
      <c r="D2102" s="1">
        <v>450000</v>
      </c>
      <c r="E2102">
        <v>76000</v>
      </c>
      <c r="F2102" t="s">
        <v>15</v>
      </c>
      <c r="G2102" t="s">
        <v>10</v>
      </c>
      <c r="H2102" t="s">
        <v>11</v>
      </c>
      <c r="I2102" t="s">
        <v>12</v>
      </c>
      <c r="J2102">
        <f t="shared" si="64"/>
        <v>11</v>
      </c>
      <c r="K2102" t="str">
        <f t="shared" si="65"/>
        <v>Budget</v>
      </c>
    </row>
    <row r="2103" spans="2:11" x14ac:dyDescent="0.25">
      <c r="B2103" t="s">
        <v>757</v>
      </c>
      <c r="C2103">
        <v>2004</v>
      </c>
      <c r="D2103" s="1">
        <v>30000</v>
      </c>
      <c r="E2103">
        <v>60000</v>
      </c>
      <c r="F2103" t="s">
        <v>9</v>
      </c>
      <c r="G2103" t="s">
        <v>10</v>
      </c>
      <c r="H2103" t="s">
        <v>11</v>
      </c>
      <c r="I2103" t="s">
        <v>49</v>
      </c>
      <c r="J2103">
        <f t="shared" si="64"/>
        <v>22</v>
      </c>
      <c r="K2103" t="str">
        <f t="shared" si="65"/>
        <v>Budget</v>
      </c>
    </row>
    <row r="2104" spans="2:11" x14ac:dyDescent="0.25">
      <c r="B2104" t="s">
        <v>1109</v>
      </c>
      <c r="C2104">
        <v>2009</v>
      </c>
      <c r="D2104" s="1">
        <v>200000</v>
      </c>
      <c r="E2104">
        <v>30000</v>
      </c>
      <c r="F2104" t="s">
        <v>9</v>
      </c>
      <c r="G2104" t="s">
        <v>10</v>
      </c>
      <c r="H2104" t="s">
        <v>11</v>
      </c>
      <c r="I2104" t="s">
        <v>18</v>
      </c>
      <c r="J2104">
        <f t="shared" si="64"/>
        <v>17</v>
      </c>
      <c r="K2104" t="str">
        <f t="shared" si="65"/>
        <v>Budget</v>
      </c>
    </row>
    <row r="2105" spans="2:11" x14ac:dyDescent="0.25">
      <c r="B2105" t="s">
        <v>486</v>
      </c>
      <c r="C2105">
        <v>2010</v>
      </c>
      <c r="D2105" s="1">
        <v>250000</v>
      </c>
      <c r="E2105">
        <v>96000</v>
      </c>
      <c r="F2105" t="s">
        <v>15</v>
      </c>
      <c r="G2105" t="s">
        <v>10</v>
      </c>
      <c r="H2105" t="s">
        <v>11</v>
      </c>
      <c r="I2105" t="s">
        <v>18</v>
      </c>
      <c r="J2105">
        <f t="shared" si="64"/>
        <v>16</v>
      </c>
      <c r="K2105" t="str">
        <f t="shared" si="65"/>
        <v>Budget</v>
      </c>
    </row>
    <row r="2106" spans="2:11" x14ac:dyDescent="0.25">
      <c r="B2106" t="s">
        <v>1110</v>
      </c>
      <c r="C2106">
        <v>2015</v>
      </c>
      <c r="D2106" s="1">
        <v>280000</v>
      </c>
      <c r="E2106">
        <v>26134</v>
      </c>
      <c r="F2106" t="s">
        <v>9</v>
      </c>
      <c r="G2106" t="s">
        <v>27</v>
      </c>
      <c r="H2106" t="s">
        <v>11</v>
      </c>
      <c r="I2106" t="s">
        <v>12</v>
      </c>
      <c r="J2106">
        <f t="shared" si="64"/>
        <v>11</v>
      </c>
      <c r="K2106" t="str">
        <f t="shared" si="65"/>
        <v>Budget</v>
      </c>
    </row>
    <row r="2107" spans="2:11" x14ac:dyDescent="0.25">
      <c r="B2107" t="s">
        <v>295</v>
      </c>
      <c r="C2107">
        <v>2011</v>
      </c>
      <c r="D2107" s="1">
        <v>260000</v>
      </c>
      <c r="E2107">
        <v>52895</v>
      </c>
      <c r="F2107" t="s">
        <v>15</v>
      </c>
      <c r="G2107" t="s">
        <v>27</v>
      </c>
      <c r="H2107" t="s">
        <v>11</v>
      </c>
      <c r="I2107" t="s">
        <v>12</v>
      </c>
      <c r="J2107">
        <f t="shared" si="64"/>
        <v>15</v>
      </c>
      <c r="K2107" t="str">
        <f t="shared" si="65"/>
        <v>Budget</v>
      </c>
    </row>
    <row r="2108" spans="2:11" x14ac:dyDescent="0.25">
      <c r="B2108" t="s">
        <v>923</v>
      </c>
      <c r="C2108">
        <v>2013</v>
      </c>
      <c r="D2108" s="1">
        <v>550000</v>
      </c>
      <c r="E2108">
        <v>42324</v>
      </c>
      <c r="F2108" t="s">
        <v>15</v>
      </c>
      <c r="G2108" t="s">
        <v>27</v>
      </c>
      <c r="H2108" t="s">
        <v>11</v>
      </c>
      <c r="I2108" t="s">
        <v>18</v>
      </c>
      <c r="J2108">
        <f t="shared" si="64"/>
        <v>13</v>
      </c>
      <c r="K2108" t="str">
        <f t="shared" si="65"/>
        <v>Mid Range</v>
      </c>
    </row>
    <row r="2109" spans="2:11" x14ac:dyDescent="0.25">
      <c r="B2109" t="s">
        <v>1111</v>
      </c>
      <c r="C2109">
        <v>2016</v>
      </c>
      <c r="D2109" s="1">
        <v>1044999</v>
      </c>
      <c r="E2109">
        <v>65000</v>
      </c>
      <c r="F2109" t="s">
        <v>15</v>
      </c>
      <c r="G2109" t="s">
        <v>27</v>
      </c>
      <c r="H2109" t="s">
        <v>11</v>
      </c>
      <c r="I2109" t="s">
        <v>12</v>
      </c>
      <c r="J2109">
        <f t="shared" si="64"/>
        <v>10</v>
      </c>
      <c r="K2109" t="str">
        <f t="shared" si="65"/>
        <v>Premium</v>
      </c>
    </row>
    <row r="2110" spans="2:11" x14ac:dyDescent="0.25">
      <c r="B2110" t="s">
        <v>750</v>
      </c>
      <c r="C2110">
        <v>2012</v>
      </c>
      <c r="D2110" s="1">
        <v>550000</v>
      </c>
      <c r="E2110">
        <v>60236</v>
      </c>
      <c r="F2110" t="s">
        <v>15</v>
      </c>
      <c r="G2110" t="s">
        <v>27</v>
      </c>
      <c r="H2110" t="s">
        <v>11</v>
      </c>
      <c r="I2110" t="s">
        <v>12</v>
      </c>
      <c r="J2110">
        <f t="shared" si="64"/>
        <v>14</v>
      </c>
      <c r="K2110" t="str">
        <f t="shared" si="65"/>
        <v>Mid Range</v>
      </c>
    </row>
    <row r="2111" spans="2:11" x14ac:dyDescent="0.25">
      <c r="B2111" t="s">
        <v>54</v>
      </c>
      <c r="C2111">
        <v>2014</v>
      </c>
      <c r="D2111" s="1">
        <v>210000</v>
      </c>
      <c r="E2111">
        <v>70000</v>
      </c>
      <c r="F2111" t="s">
        <v>9</v>
      </c>
      <c r="G2111" t="s">
        <v>10</v>
      </c>
      <c r="H2111" t="s">
        <v>11</v>
      </c>
      <c r="I2111" t="s">
        <v>18</v>
      </c>
      <c r="J2111">
        <f t="shared" si="64"/>
        <v>12</v>
      </c>
      <c r="K2111" t="str">
        <f t="shared" si="65"/>
        <v>Budget</v>
      </c>
    </row>
    <row r="2112" spans="2:11" x14ac:dyDescent="0.25">
      <c r="B2112" t="s">
        <v>54</v>
      </c>
      <c r="C2112">
        <v>2014</v>
      </c>
      <c r="D2112" s="1">
        <v>210000</v>
      </c>
      <c r="E2112">
        <v>70000</v>
      </c>
      <c r="F2112" t="s">
        <v>9</v>
      </c>
      <c r="G2112" t="s">
        <v>10</v>
      </c>
      <c r="H2112" t="s">
        <v>11</v>
      </c>
      <c r="I2112" t="s">
        <v>49</v>
      </c>
      <c r="J2112">
        <f t="shared" si="64"/>
        <v>12</v>
      </c>
      <c r="K2112" t="str">
        <f t="shared" si="65"/>
        <v>Budget</v>
      </c>
    </row>
    <row r="2113" spans="2:11" x14ac:dyDescent="0.25">
      <c r="B2113" t="s">
        <v>1112</v>
      </c>
      <c r="C2113">
        <v>2009</v>
      </c>
      <c r="D2113" s="1">
        <v>290000</v>
      </c>
      <c r="E2113">
        <v>100000</v>
      </c>
      <c r="F2113" t="s">
        <v>15</v>
      </c>
      <c r="G2113" t="s">
        <v>10</v>
      </c>
      <c r="H2113" t="s">
        <v>11</v>
      </c>
      <c r="I2113" t="s">
        <v>18</v>
      </c>
      <c r="J2113">
        <f t="shared" si="64"/>
        <v>17</v>
      </c>
      <c r="K2113" t="str">
        <f t="shared" si="65"/>
        <v>Budget</v>
      </c>
    </row>
    <row r="2114" spans="2:11" x14ac:dyDescent="0.25">
      <c r="B2114" t="s">
        <v>1113</v>
      </c>
      <c r="C2114">
        <v>2008</v>
      </c>
      <c r="D2114" s="1">
        <v>250999</v>
      </c>
      <c r="E2114">
        <v>110000</v>
      </c>
      <c r="F2114" t="s">
        <v>15</v>
      </c>
      <c r="G2114" t="s">
        <v>10</v>
      </c>
      <c r="H2114" t="s">
        <v>11</v>
      </c>
      <c r="I2114" t="s">
        <v>12</v>
      </c>
      <c r="J2114">
        <f t="shared" si="64"/>
        <v>18</v>
      </c>
      <c r="K2114" t="str">
        <f t="shared" si="65"/>
        <v>Budget</v>
      </c>
    </row>
    <row r="2115" spans="2:11" x14ac:dyDescent="0.25">
      <c r="B2115" t="s">
        <v>1114</v>
      </c>
      <c r="C2115">
        <v>2019</v>
      </c>
      <c r="D2115" s="1">
        <v>600000</v>
      </c>
      <c r="E2115">
        <v>10300</v>
      </c>
      <c r="F2115" t="s">
        <v>9</v>
      </c>
      <c r="G2115" t="s">
        <v>10</v>
      </c>
      <c r="H2115" t="s">
        <v>11</v>
      </c>
      <c r="I2115" t="s">
        <v>12</v>
      </c>
      <c r="J2115">
        <f t="shared" si="64"/>
        <v>7</v>
      </c>
      <c r="K2115" t="str">
        <f t="shared" si="65"/>
        <v>Mid Range</v>
      </c>
    </row>
    <row r="2116" spans="2:11" x14ac:dyDescent="0.25">
      <c r="B2116" t="s">
        <v>961</v>
      </c>
      <c r="C2116">
        <v>2014</v>
      </c>
      <c r="D2116" s="1">
        <v>270000</v>
      </c>
      <c r="E2116">
        <v>120000</v>
      </c>
      <c r="F2116" t="s">
        <v>15</v>
      </c>
      <c r="G2116" t="s">
        <v>10</v>
      </c>
      <c r="H2116" t="s">
        <v>11</v>
      </c>
      <c r="I2116" t="s">
        <v>18</v>
      </c>
      <c r="J2116">
        <f t="shared" si="64"/>
        <v>12</v>
      </c>
      <c r="K2116" t="str">
        <f t="shared" si="65"/>
        <v>Budget</v>
      </c>
    </row>
    <row r="2117" spans="2:11" x14ac:dyDescent="0.25">
      <c r="B2117" t="s">
        <v>1115</v>
      </c>
      <c r="C2117">
        <v>2012</v>
      </c>
      <c r="D2117" s="1">
        <v>550000</v>
      </c>
      <c r="E2117">
        <v>142000</v>
      </c>
      <c r="F2117" t="s">
        <v>15</v>
      </c>
      <c r="G2117" t="s">
        <v>10</v>
      </c>
      <c r="H2117" t="s">
        <v>11</v>
      </c>
      <c r="I2117" t="s">
        <v>12</v>
      </c>
      <c r="J2117">
        <f t="shared" si="64"/>
        <v>14</v>
      </c>
      <c r="K2117" t="str">
        <f t="shared" si="65"/>
        <v>Mid Range</v>
      </c>
    </row>
    <row r="2118" spans="2:11" x14ac:dyDescent="0.25">
      <c r="B2118" t="s">
        <v>1116</v>
      </c>
      <c r="C2118">
        <v>2017</v>
      </c>
      <c r="D2118" s="1">
        <v>800000</v>
      </c>
      <c r="E2118">
        <v>25000</v>
      </c>
      <c r="F2118" t="s">
        <v>15</v>
      </c>
      <c r="G2118" t="s">
        <v>10</v>
      </c>
      <c r="H2118" t="s">
        <v>11</v>
      </c>
      <c r="I2118" t="s">
        <v>12</v>
      </c>
      <c r="J2118">
        <f t="shared" ref="J2118:J2181" si="66">2026 - C2118</f>
        <v>9</v>
      </c>
      <c r="K2118" t="str">
        <f t="shared" ref="K2118:K2181" si="67">IF(D2118&lt;500000,"Budget",IF(D2118&lt;=1000000,"Mid Range","Premium"))</f>
        <v>Mid Range</v>
      </c>
    </row>
    <row r="2119" spans="2:11" x14ac:dyDescent="0.25">
      <c r="B2119" t="s">
        <v>1117</v>
      </c>
      <c r="C2119">
        <v>2020</v>
      </c>
      <c r="D2119" s="1">
        <v>500000</v>
      </c>
      <c r="E2119">
        <v>5000</v>
      </c>
      <c r="F2119" t="s">
        <v>9</v>
      </c>
      <c r="G2119" t="s">
        <v>10</v>
      </c>
      <c r="H2119" t="s">
        <v>11</v>
      </c>
      <c r="I2119" t="s">
        <v>12</v>
      </c>
      <c r="J2119">
        <f t="shared" si="66"/>
        <v>6</v>
      </c>
      <c r="K2119" t="str">
        <f t="shared" si="67"/>
        <v>Mid Range</v>
      </c>
    </row>
    <row r="2120" spans="2:11" x14ac:dyDescent="0.25">
      <c r="B2120" t="s">
        <v>540</v>
      </c>
      <c r="C2120">
        <v>2016</v>
      </c>
      <c r="D2120" s="1">
        <v>396000</v>
      </c>
      <c r="E2120">
        <v>28643</v>
      </c>
      <c r="F2120" t="s">
        <v>9</v>
      </c>
      <c r="G2120" t="s">
        <v>27</v>
      </c>
      <c r="H2120" t="s">
        <v>11</v>
      </c>
      <c r="I2120" t="s">
        <v>12</v>
      </c>
      <c r="J2120">
        <f t="shared" si="66"/>
        <v>10</v>
      </c>
      <c r="K2120" t="str">
        <f t="shared" si="67"/>
        <v>Budget</v>
      </c>
    </row>
    <row r="2121" spans="2:11" x14ac:dyDescent="0.25">
      <c r="B2121" t="s">
        <v>66</v>
      </c>
      <c r="C2121">
        <v>2014</v>
      </c>
      <c r="D2121" s="1">
        <v>600000</v>
      </c>
      <c r="E2121">
        <v>50000</v>
      </c>
      <c r="F2121" t="s">
        <v>15</v>
      </c>
      <c r="G2121" t="s">
        <v>10</v>
      </c>
      <c r="H2121" t="s">
        <v>11</v>
      </c>
      <c r="I2121" t="s">
        <v>12</v>
      </c>
      <c r="J2121">
        <f t="shared" si="66"/>
        <v>12</v>
      </c>
      <c r="K2121" t="str">
        <f t="shared" si="67"/>
        <v>Mid Range</v>
      </c>
    </row>
    <row r="2122" spans="2:11" x14ac:dyDescent="0.25">
      <c r="B2122" t="s">
        <v>1118</v>
      </c>
      <c r="C2122">
        <v>2019</v>
      </c>
      <c r="D2122" s="1">
        <v>575000</v>
      </c>
      <c r="E2122">
        <v>30000</v>
      </c>
      <c r="F2122" t="s">
        <v>9</v>
      </c>
      <c r="G2122" t="s">
        <v>27</v>
      </c>
      <c r="H2122" t="s">
        <v>11</v>
      </c>
      <c r="I2122" t="s">
        <v>12</v>
      </c>
      <c r="J2122">
        <f t="shared" si="66"/>
        <v>7</v>
      </c>
      <c r="K2122" t="str">
        <f t="shared" si="67"/>
        <v>Mid Range</v>
      </c>
    </row>
    <row r="2123" spans="2:11" x14ac:dyDescent="0.25">
      <c r="B2123" t="s">
        <v>854</v>
      </c>
      <c r="C2123">
        <v>2020</v>
      </c>
      <c r="D2123" s="1">
        <v>520000</v>
      </c>
      <c r="E2123">
        <v>5000</v>
      </c>
      <c r="F2123" t="s">
        <v>9</v>
      </c>
      <c r="G2123" t="s">
        <v>10</v>
      </c>
      <c r="H2123" t="s">
        <v>11</v>
      </c>
      <c r="I2123" t="s">
        <v>12</v>
      </c>
      <c r="J2123">
        <f t="shared" si="66"/>
        <v>6</v>
      </c>
      <c r="K2123" t="str">
        <f t="shared" si="67"/>
        <v>Mid Range</v>
      </c>
    </row>
    <row r="2124" spans="2:11" x14ac:dyDescent="0.25">
      <c r="B2124" t="s">
        <v>1008</v>
      </c>
      <c r="C2124">
        <v>2018</v>
      </c>
      <c r="D2124" s="1">
        <v>1400000</v>
      </c>
      <c r="E2124">
        <v>30000</v>
      </c>
      <c r="F2124" t="s">
        <v>15</v>
      </c>
      <c r="G2124" t="s">
        <v>10</v>
      </c>
      <c r="H2124" t="s">
        <v>28</v>
      </c>
      <c r="I2124" t="s">
        <v>12</v>
      </c>
      <c r="J2124">
        <f t="shared" si="66"/>
        <v>8</v>
      </c>
      <c r="K2124" t="str">
        <f t="shared" si="67"/>
        <v>Premium</v>
      </c>
    </row>
    <row r="2125" spans="2:11" x14ac:dyDescent="0.25">
      <c r="B2125" t="s">
        <v>697</v>
      </c>
      <c r="C2125">
        <v>2018</v>
      </c>
      <c r="D2125" s="1">
        <v>600000</v>
      </c>
      <c r="E2125">
        <v>7600</v>
      </c>
      <c r="F2125" t="s">
        <v>9</v>
      </c>
      <c r="G2125" t="s">
        <v>10</v>
      </c>
      <c r="H2125" t="s">
        <v>28</v>
      </c>
      <c r="I2125" t="s">
        <v>12</v>
      </c>
      <c r="J2125">
        <f t="shared" si="66"/>
        <v>8</v>
      </c>
      <c r="K2125" t="str">
        <f t="shared" si="67"/>
        <v>Mid Range</v>
      </c>
    </row>
    <row r="2126" spans="2:11" x14ac:dyDescent="0.25">
      <c r="B2126" t="s">
        <v>218</v>
      </c>
      <c r="C2126">
        <v>2013</v>
      </c>
      <c r="D2126" s="1">
        <v>195000</v>
      </c>
      <c r="E2126">
        <v>47253</v>
      </c>
      <c r="F2126" t="s">
        <v>15</v>
      </c>
      <c r="G2126" t="s">
        <v>27</v>
      </c>
      <c r="H2126" t="s">
        <v>11</v>
      </c>
      <c r="I2126" t="s">
        <v>12</v>
      </c>
      <c r="J2126">
        <f t="shared" si="66"/>
        <v>13</v>
      </c>
      <c r="K2126" t="str">
        <f t="shared" si="67"/>
        <v>Budget</v>
      </c>
    </row>
    <row r="2127" spans="2:11" x14ac:dyDescent="0.25">
      <c r="B2127" t="s">
        <v>919</v>
      </c>
      <c r="C2127">
        <v>2015</v>
      </c>
      <c r="D2127" s="1">
        <v>281000</v>
      </c>
      <c r="E2127">
        <v>4432</v>
      </c>
      <c r="F2127" t="s">
        <v>9</v>
      </c>
      <c r="G2127" t="s">
        <v>27</v>
      </c>
      <c r="H2127" t="s">
        <v>28</v>
      </c>
      <c r="I2127" t="s">
        <v>18</v>
      </c>
      <c r="J2127">
        <f t="shared" si="66"/>
        <v>11</v>
      </c>
      <c r="K2127" t="str">
        <f t="shared" si="67"/>
        <v>Budget</v>
      </c>
    </row>
    <row r="2128" spans="2:11" x14ac:dyDescent="0.25">
      <c r="B2128" t="s">
        <v>504</v>
      </c>
      <c r="C2128">
        <v>2010</v>
      </c>
      <c r="D2128" s="1">
        <v>75000</v>
      </c>
      <c r="E2128">
        <v>110000</v>
      </c>
      <c r="F2128" t="s">
        <v>9</v>
      </c>
      <c r="G2128" t="s">
        <v>10</v>
      </c>
      <c r="H2128" t="s">
        <v>11</v>
      </c>
      <c r="I2128" t="s">
        <v>18</v>
      </c>
      <c r="J2128">
        <f t="shared" si="66"/>
        <v>16</v>
      </c>
      <c r="K2128" t="str">
        <f t="shared" si="67"/>
        <v>Budget</v>
      </c>
    </row>
    <row r="2129" spans="2:11" x14ac:dyDescent="0.25">
      <c r="B2129" t="s">
        <v>289</v>
      </c>
      <c r="C2129">
        <v>2014</v>
      </c>
      <c r="D2129" s="1">
        <v>400000</v>
      </c>
      <c r="E2129">
        <v>25000</v>
      </c>
      <c r="F2129" t="s">
        <v>9</v>
      </c>
      <c r="G2129" t="s">
        <v>10</v>
      </c>
      <c r="H2129" t="s">
        <v>11</v>
      </c>
      <c r="I2129" t="s">
        <v>12</v>
      </c>
      <c r="J2129">
        <f t="shared" si="66"/>
        <v>12</v>
      </c>
      <c r="K2129" t="str">
        <f t="shared" si="67"/>
        <v>Budget</v>
      </c>
    </row>
    <row r="2130" spans="2:11" x14ac:dyDescent="0.25">
      <c r="B2130" t="s">
        <v>351</v>
      </c>
      <c r="C2130">
        <v>2009</v>
      </c>
      <c r="D2130" s="1">
        <v>93000</v>
      </c>
      <c r="E2130">
        <v>70000</v>
      </c>
      <c r="F2130" t="s">
        <v>15</v>
      </c>
      <c r="G2130" t="s">
        <v>10</v>
      </c>
      <c r="H2130" t="s">
        <v>11</v>
      </c>
      <c r="I2130" t="s">
        <v>18</v>
      </c>
      <c r="J2130">
        <f t="shared" si="66"/>
        <v>17</v>
      </c>
      <c r="K2130" t="str">
        <f t="shared" si="67"/>
        <v>Budget</v>
      </c>
    </row>
    <row r="2131" spans="2:11" x14ac:dyDescent="0.25">
      <c r="B2131" t="s">
        <v>698</v>
      </c>
      <c r="C2131">
        <v>2016</v>
      </c>
      <c r="D2131" s="1">
        <v>560000</v>
      </c>
      <c r="E2131">
        <v>68523</v>
      </c>
      <c r="F2131" t="s">
        <v>9</v>
      </c>
      <c r="G2131" t="s">
        <v>27</v>
      </c>
      <c r="H2131" t="s">
        <v>11</v>
      </c>
      <c r="I2131" t="s">
        <v>12</v>
      </c>
      <c r="J2131">
        <f t="shared" si="66"/>
        <v>10</v>
      </c>
      <c r="K2131" t="str">
        <f t="shared" si="67"/>
        <v>Mid Range</v>
      </c>
    </row>
    <row r="2132" spans="2:11" x14ac:dyDescent="0.25">
      <c r="B2132" t="s">
        <v>529</v>
      </c>
      <c r="C2132">
        <v>2019</v>
      </c>
      <c r="D2132" s="1">
        <v>400000</v>
      </c>
      <c r="E2132">
        <v>5000</v>
      </c>
      <c r="F2132" t="s">
        <v>9</v>
      </c>
      <c r="G2132" t="s">
        <v>10</v>
      </c>
      <c r="H2132" t="s">
        <v>11</v>
      </c>
      <c r="I2132" t="s">
        <v>12</v>
      </c>
      <c r="J2132">
        <f t="shared" si="66"/>
        <v>7</v>
      </c>
      <c r="K2132" t="str">
        <f t="shared" si="67"/>
        <v>Budget</v>
      </c>
    </row>
    <row r="2133" spans="2:11" x14ac:dyDescent="0.25">
      <c r="B2133" t="s">
        <v>37</v>
      </c>
      <c r="C2133">
        <v>2018</v>
      </c>
      <c r="D2133" s="1">
        <v>459999</v>
      </c>
      <c r="E2133">
        <v>40000</v>
      </c>
      <c r="F2133" t="s">
        <v>9</v>
      </c>
      <c r="G2133" t="s">
        <v>10</v>
      </c>
      <c r="H2133" t="s">
        <v>11</v>
      </c>
      <c r="I2133" t="s">
        <v>12</v>
      </c>
      <c r="J2133">
        <f t="shared" si="66"/>
        <v>8</v>
      </c>
      <c r="K2133" t="str">
        <f t="shared" si="67"/>
        <v>Budget</v>
      </c>
    </row>
    <row r="2134" spans="2:11" x14ac:dyDescent="0.25">
      <c r="B2134" t="s">
        <v>1119</v>
      </c>
      <c r="C2134">
        <v>2017</v>
      </c>
      <c r="D2134" s="1">
        <v>450000</v>
      </c>
      <c r="E2134">
        <v>43000</v>
      </c>
      <c r="F2134" t="s">
        <v>15</v>
      </c>
      <c r="G2134" t="s">
        <v>10</v>
      </c>
      <c r="H2134" t="s">
        <v>11</v>
      </c>
      <c r="I2134" t="s">
        <v>12</v>
      </c>
      <c r="J2134">
        <f t="shared" si="66"/>
        <v>9</v>
      </c>
      <c r="K2134" t="str">
        <f t="shared" si="67"/>
        <v>Budget</v>
      </c>
    </row>
    <row r="2135" spans="2:11" x14ac:dyDescent="0.25">
      <c r="B2135" t="s">
        <v>1120</v>
      </c>
      <c r="C2135">
        <v>2010</v>
      </c>
      <c r="D2135" s="1">
        <v>88000</v>
      </c>
      <c r="E2135">
        <v>80251</v>
      </c>
      <c r="F2135" t="s">
        <v>24</v>
      </c>
      <c r="G2135" t="s">
        <v>27</v>
      </c>
      <c r="H2135" t="s">
        <v>11</v>
      </c>
      <c r="I2135" t="s">
        <v>18</v>
      </c>
      <c r="J2135">
        <f t="shared" si="66"/>
        <v>16</v>
      </c>
      <c r="K2135" t="str">
        <f t="shared" si="67"/>
        <v>Budget</v>
      </c>
    </row>
    <row r="2136" spans="2:11" x14ac:dyDescent="0.25">
      <c r="B2136" t="s">
        <v>1121</v>
      </c>
      <c r="C2136">
        <v>2010</v>
      </c>
      <c r="D2136" s="1">
        <v>250000</v>
      </c>
      <c r="E2136">
        <v>34500</v>
      </c>
      <c r="F2136" t="s">
        <v>9</v>
      </c>
      <c r="G2136" t="s">
        <v>10</v>
      </c>
      <c r="H2136" t="s">
        <v>11</v>
      </c>
      <c r="I2136" t="s">
        <v>18</v>
      </c>
      <c r="J2136">
        <f t="shared" si="66"/>
        <v>16</v>
      </c>
      <c r="K2136" t="str">
        <f t="shared" si="67"/>
        <v>Budget</v>
      </c>
    </row>
    <row r="2137" spans="2:11" x14ac:dyDescent="0.25">
      <c r="B2137" t="s">
        <v>1122</v>
      </c>
      <c r="C2137">
        <v>2000</v>
      </c>
      <c r="D2137" s="1">
        <v>22000</v>
      </c>
      <c r="E2137">
        <v>42743</v>
      </c>
      <c r="F2137" t="s">
        <v>9</v>
      </c>
      <c r="G2137" t="s">
        <v>27</v>
      </c>
      <c r="H2137" t="s">
        <v>11</v>
      </c>
      <c r="I2137" t="s">
        <v>49</v>
      </c>
      <c r="J2137">
        <f t="shared" si="66"/>
        <v>26</v>
      </c>
      <c r="K2137" t="str">
        <f t="shared" si="67"/>
        <v>Budget</v>
      </c>
    </row>
    <row r="2138" spans="2:11" x14ac:dyDescent="0.25">
      <c r="B2138" t="s">
        <v>218</v>
      </c>
      <c r="C2138">
        <v>2013</v>
      </c>
      <c r="D2138" s="1">
        <v>130000</v>
      </c>
      <c r="E2138">
        <v>93900</v>
      </c>
      <c r="F2138" t="s">
        <v>15</v>
      </c>
      <c r="G2138" t="s">
        <v>10</v>
      </c>
      <c r="H2138" t="s">
        <v>11</v>
      </c>
      <c r="I2138" t="s">
        <v>18</v>
      </c>
      <c r="J2138">
        <f t="shared" si="66"/>
        <v>13</v>
      </c>
      <c r="K2138" t="str">
        <f t="shared" si="67"/>
        <v>Budget</v>
      </c>
    </row>
    <row r="2139" spans="2:11" x14ac:dyDescent="0.25">
      <c r="B2139" t="s">
        <v>1123</v>
      </c>
      <c r="C2139">
        <v>2004</v>
      </c>
      <c r="D2139" s="1">
        <v>79000</v>
      </c>
      <c r="E2139">
        <v>80000</v>
      </c>
      <c r="F2139" t="s">
        <v>9</v>
      </c>
      <c r="G2139" t="s">
        <v>10</v>
      </c>
      <c r="H2139" t="s">
        <v>11</v>
      </c>
      <c r="I2139" t="s">
        <v>12</v>
      </c>
      <c r="J2139">
        <f t="shared" si="66"/>
        <v>22</v>
      </c>
      <c r="K2139" t="str">
        <f t="shared" si="67"/>
        <v>Budget</v>
      </c>
    </row>
    <row r="2140" spans="2:11" x14ac:dyDescent="0.25">
      <c r="B2140" t="s">
        <v>218</v>
      </c>
      <c r="C2140">
        <v>2012</v>
      </c>
      <c r="D2140" s="1">
        <v>120000</v>
      </c>
      <c r="E2140">
        <v>110000</v>
      </c>
      <c r="F2140" t="s">
        <v>15</v>
      </c>
      <c r="G2140" t="s">
        <v>10</v>
      </c>
      <c r="H2140" t="s">
        <v>11</v>
      </c>
      <c r="I2140" t="s">
        <v>12</v>
      </c>
      <c r="J2140">
        <f t="shared" si="66"/>
        <v>14</v>
      </c>
      <c r="K2140" t="str">
        <f t="shared" si="67"/>
        <v>Budget</v>
      </c>
    </row>
    <row r="2141" spans="2:11" x14ac:dyDescent="0.25">
      <c r="B2141" t="s">
        <v>104</v>
      </c>
      <c r="C2141">
        <v>2011</v>
      </c>
      <c r="D2141" s="1">
        <v>1700000</v>
      </c>
      <c r="E2141">
        <v>100000</v>
      </c>
      <c r="F2141" t="s">
        <v>15</v>
      </c>
      <c r="G2141" t="s">
        <v>10</v>
      </c>
      <c r="H2141" t="s">
        <v>28</v>
      </c>
      <c r="I2141" t="s">
        <v>18</v>
      </c>
      <c r="J2141">
        <f t="shared" si="66"/>
        <v>15</v>
      </c>
      <c r="K2141" t="str">
        <f t="shared" si="67"/>
        <v>Premium</v>
      </c>
    </row>
    <row r="2142" spans="2:11" x14ac:dyDescent="0.25">
      <c r="B2142" t="s">
        <v>1124</v>
      </c>
      <c r="C2142">
        <v>2012</v>
      </c>
      <c r="D2142" s="1">
        <v>300000</v>
      </c>
      <c r="E2142">
        <v>25000</v>
      </c>
      <c r="F2142" t="s">
        <v>15</v>
      </c>
      <c r="G2142" t="s">
        <v>10</v>
      </c>
      <c r="H2142" t="s">
        <v>11</v>
      </c>
      <c r="I2142" t="s">
        <v>12</v>
      </c>
      <c r="J2142">
        <f t="shared" si="66"/>
        <v>14</v>
      </c>
      <c r="K2142" t="str">
        <f t="shared" si="67"/>
        <v>Budget</v>
      </c>
    </row>
    <row r="2143" spans="2:11" x14ac:dyDescent="0.25">
      <c r="B2143" t="s">
        <v>813</v>
      </c>
      <c r="C2143">
        <v>2009</v>
      </c>
      <c r="D2143" s="1">
        <v>145000</v>
      </c>
      <c r="E2143">
        <v>25000</v>
      </c>
      <c r="F2143" t="s">
        <v>9</v>
      </c>
      <c r="G2143" t="s">
        <v>10</v>
      </c>
      <c r="H2143" t="s">
        <v>11</v>
      </c>
      <c r="I2143" t="s">
        <v>12</v>
      </c>
      <c r="J2143">
        <f t="shared" si="66"/>
        <v>17</v>
      </c>
      <c r="K2143" t="str">
        <f t="shared" si="67"/>
        <v>Budget</v>
      </c>
    </row>
    <row r="2144" spans="2:11" x14ac:dyDescent="0.25">
      <c r="B2144" t="s">
        <v>621</v>
      </c>
      <c r="C2144">
        <v>2019</v>
      </c>
      <c r="D2144" s="1">
        <v>3200000</v>
      </c>
      <c r="E2144">
        <v>20000</v>
      </c>
      <c r="F2144" t="s">
        <v>15</v>
      </c>
      <c r="G2144" t="s">
        <v>10</v>
      </c>
      <c r="H2144" t="s">
        <v>28</v>
      </c>
      <c r="I2144" t="s">
        <v>12</v>
      </c>
      <c r="J2144">
        <f t="shared" si="66"/>
        <v>7</v>
      </c>
      <c r="K2144" t="str">
        <f t="shared" si="67"/>
        <v>Premium</v>
      </c>
    </row>
    <row r="2145" spans="2:11" x14ac:dyDescent="0.25">
      <c r="B2145" t="s">
        <v>258</v>
      </c>
      <c r="C2145">
        <v>2013</v>
      </c>
      <c r="D2145" s="1">
        <v>240000</v>
      </c>
      <c r="E2145">
        <v>10000</v>
      </c>
      <c r="F2145" t="s">
        <v>9</v>
      </c>
      <c r="G2145" t="s">
        <v>10</v>
      </c>
      <c r="H2145" t="s">
        <v>11</v>
      </c>
      <c r="I2145" t="s">
        <v>12</v>
      </c>
      <c r="J2145">
        <f t="shared" si="66"/>
        <v>13</v>
      </c>
      <c r="K2145" t="str">
        <f t="shared" si="67"/>
        <v>Budget</v>
      </c>
    </row>
    <row r="2146" spans="2:11" x14ac:dyDescent="0.25">
      <c r="B2146" t="s">
        <v>771</v>
      </c>
      <c r="C2146">
        <v>2018</v>
      </c>
      <c r="D2146" s="1">
        <v>700000</v>
      </c>
      <c r="E2146">
        <v>30000</v>
      </c>
      <c r="F2146" t="s">
        <v>15</v>
      </c>
      <c r="G2146" t="s">
        <v>10</v>
      </c>
      <c r="H2146" t="s">
        <v>11</v>
      </c>
      <c r="I2146" t="s">
        <v>12</v>
      </c>
      <c r="J2146">
        <f t="shared" si="66"/>
        <v>8</v>
      </c>
      <c r="K2146" t="str">
        <f t="shared" si="67"/>
        <v>Mid Range</v>
      </c>
    </row>
    <row r="2147" spans="2:11" x14ac:dyDescent="0.25">
      <c r="B2147" t="s">
        <v>906</v>
      </c>
      <c r="C2147">
        <v>2010</v>
      </c>
      <c r="D2147" s="1">
        <v>145000</v>
      </c>
      <c r="E2147">
        <v>110000</v>
      </c>
      <c r="F2147" t="s">
        <v>9</v>
      </c>
      <c r="G2147" t="s">
        <v>10</v>
      </c>
      <c r="H2147" t="s">
        <v>11</v>
      </c>
      <c r="I2147" t="s">
        <v>18</v>
      </c>
      <c r="J2147">
        <f t="shared" si="66"/>
        <v>16</v>
      </c>
      <c r="K2147" t="str">
        <f t="shared" si="67"/>
        <v>Budget</v>
      </c>
    </row>
    <row r="2148" spans="2:11" x14ac:dyDescent="0.25">
      <c r="B2148" t="s">
        <v>1125</v>
      </c>
      <c r="C2148">
        <v>2014</v>
      </c>
      <c r="D2148" s="1">
        <v>535000</v>
      </c>
      <c r="E2148">
        <v>80000</v>
      </c>
      <c r="F2148" t="s">
        <v>15</v>
      </c>
      <c r="G2148" t="s">
        <v>10</v>
      </c>
      <c r="H2148" t="s">
        <v>11</v>
      </c>
      <c r="I2148" t="s">
        <v>18</v>
      </c>
      <c r="J2148">
        <f t="shared" si="66"/>
        <v>12</v>
      </c>
      <c r="K2148" t="str">
        <f t="shared" si="67"/>
        <v>Mid Range</v>
      </c>
    </row>
    <row r="2149" spans="2:11" x14ac:dyDescent="0.25">
      <c r="B2149" t="s">
        <v>1126</v>
      </c>
      <c r="C2149">
        <v>2016</v>
      </c>
      <c r="D2149" s="1">
        <v>420000</v>
      </c>
      <c r="E2149">
        <v>21000</v>
      </c>
      <c r="F2149" t="s">
        <v>9</v>
      </c>
      <c r="G2149" t="s">
        <v>10</v>
      </c>
      <c r="H2149" t="s">
        <v>11</v>
      </c>
      <c r="I2149" t="s">
        <v>12</v>
      </c>
      <c r="J2149">
        <f t="shared" si="66"/>
        <v>10</v>
      </c>
      <c r="K2149" t="str">
        <f t="shared" si="67"/>
        <v>Budget</v>
      </c>
    </row>
    <row r="2150" spans="2:11" x14ac:dyDescent="0.25">
      <c r="B2150" t="s">
        <v>170</v>
      </c>
      <c r="C2150">
        <v>2016</v>
      </c>
      <c r="D2150" s="1">
        <v>350000</v>
      </c>
      <c r="E2150">
        <v>20000</v>
      </c>
      <c r="F2150" t="s">
        <v>9</v>
      </c>
      <c r="G2150" t="s">
        <v>10</v>
      </c>
      <c r="H2150" t="s">
        <v>11</v>
      </c>
      <c r="I2150" t="s">
        <v>12</v>
      </c>
      <c r="J2150">
        <f t="shared" si="66"/>
        <v>10</v>
      </c>
      <c r="K2150" t="str">
        <f t="shared" si="67"/>
        <v>Budget</v>
      </c>
    </row>
    <row r="2151" spans="2:11" x14ac:dyDescent="0.25">
      <c r="B2151" t="s">
        <v>162</v>
      </c>
      <c r="C2151">
        <v>2015</v>
      </c>
      <c r="D2151" s="1">
        <v>550000</v>
      </c>
      <c r="E2151">
        <v>32000</v>
      </c>
      <c r="F2151" t="s">
        <v>15</v>
      </c>
      <c r="G2151" t="s">
        <v>10</v>
      </c>
      <c r="H2151" t="s">
        <v>11</v>
      </c>
      <c r="I2151" t="s">
        <v>12</v>
      </c>
      <c r="J2151">
        <f t="shared" si="66"/>
        <v>11</v>
      </c>
      <c r="K2151" t="str">
        <f t="shared" si="67"/>
        <v>Mid Range</v>
      </c>
    </row>
    <row r="2152" spans="2:11" x14ac:dyDescent="0.25">
      <c r="B2152" t="s">
        <v>1127</v>
      </c>
      <c r="C2152">
        <v>2007</v>
      </c>
      <c r="D2152" s="1">
        <v>750000</v>
      </c>
      <c r="E2152">
        <v>180000</v>
      </c>
      <c r="F2152" t="s">
        <v>15</v>
      </c>
      <c r="G2152" t="s">
        <v>10</v>
      </c>
      <c r="H2152" t="s">
        <v>11</v>
      </c>
      <c r="I2152" t="s">
        <v>12</v>
      </c>
      <c r="J2152">
        <f t="shared" si="66"/>
        <v>19</v>
      </c>
      <c r="K2152" t="str">
        <f t="shared" si="67"/>
        <v>Mid Range</v>
      </c>
    </row>
    <row r="2153" spans="2:11" x14ac:dyDescent="0.25">
      <c r="B2153" t="s">
        <v>1128</v>
      </c>
      <c r="C2153">
        <v>2012</v>
      </c>
      <c r="D2153" s="1">
        <v>198000</v>
      </c>
      <c r="E2153">
        <v>70000</v>
      </c>
      <c r="F2153" t="s">
        <v>15</v>
      </c>
      <c r="G2153" t="s">
        <v>10</v>
      </c>
      <c r="H2153" t="s">
        <v>11</v>
      </c>
      <c r="I2153" t="s">
        <v>18</v>
      </c>
      <c r="J2153">
        <f t="shared" si="66"/>
        <v>14</v>
      </c>
      <c r="K2153" t="str">
        <f t="shared" si="67"/>
        <v>Budget</v>
      </c>
    </row>
    <row r="2154" spans="2:11" x14ac:dyDescent="0.25">
      <c r="B2154" t="s">
        <v>1129</v>
      </c>
      <c r="C2154">
        <v>2013</v>
      </c>
      <c r="D2154" s="1">
        <v>420000</v>
      </c>
      <c r="E2154">
        <v>50000</v>
      </c>
      <c r="F2154" t="s">
        <v>15</v>
      </c>
      <c r="G2154" t="s">
        <v>10</v>
      </c>
      <c r="H2154" t="s">
        <v>11</v>
      </c>
      <c r="I2154" t="s">
        <v>12</v>
      </c>
      <c r="J2154">
        <f t="shared" si="66"/>
        <v>13</v>
      </c>
      <c r="K2154" t="str">
        <f t="shared" si="67"/>
        <v>Budget</v>
      </c>
    </row>
    <row r="2155" spans="2:11" x14ac:dyDescent="0.25">
      <c r="B2155" t="s">
        <v>1130</v>
      </c>
      <c r="C2155">
        <v>2004</v>
      </c>
      <c r="D2155" s="1">
        <v>195000</v>
      </c>
      <c r="E2155">
        <v>120000</v>
      </c>
      <c r="F2155" t="s">
        <v>15</v>
      </c>
      <c r="G2155" t="s">
        <v>10</v>
      </c>
      <c r="H2155" t="s">
        <v>11</v>
      </c>
      <c r="I2155" t="s">
        <v>12</v>
      </c>
      <c r="J2155">
        <f t="shared" si="66"/>
        <v>22</v>
      </c>
      <c r="K2155" t="str">
        <f t="shared" si="67"/>
        <v>Budget</v>
      </c>
    </row>
    <row r="2156" spans="2:11" x14ac:dyDescent="0.25">
      <c r="B2156" t="s">
        <v>1131</v>
      </c>
      <c r="C2156">
        <v>2012</v>
      </c>
      <c r="D2156" s="1">
        <v>150000</v>
      </c>
      <c r="E2156">
        <v>55766</v>
      </c>
      <c r="F2156" t="s">
        <v>9</v>
      </c>
      <c r="G2156" t="s">
        <v>10</v>
      </c>
      <c r="H2156" t="s">
        <v>11</v>
      </c>
      <c r="I2156" t="s">
        <v>18</v>
      </c>
      <c r="J2156">
        <f t="shared" si="66"/>
        <v>14</v>
      </c>
      <c r="K2156" t="str">
        <f t="shared" si="67"/>
        <v>Budget</v>
      </c>
    </row>
    <row r="2157" spans="2:11" x14ac:dyDescent="0.25">
      <c r="B2157" t="s">
        <v>187</v>
      </c>
      <c r="C2157">
        <v>2011</v>
      </c>
      <c r="D2157" s="1">
        <v>275000</v>
      </c>
      <c r="E2157">
        <v>40000</v>
      </c>
      <c r="F2157" t="s">
        <v>9</v>
      </c>
      <c r="G2157" t="s">
        <v>10</v>
      </c>
      <c r="H2157" t="s">
        <v>11</v>
      </c>
      <c r="I2157" t="s">
        <v>18</v>
      </c>
      <c r="J2157">
        <f t="shared" si="66"/>
        <v>15</v>
      </c>
      <c r="K2157" t="str">
        <f t="shared" si="67"/>
        <v>Budget</v>
      </c>
    </row>
    <row r="2158" spans="2:11" x14ac:dyDescent="0.25">
      <c r="B2158" t="s">
        <v>134</v>
      </c>
      <c r="C2158">
        <v>2001</v>
      </c>
      <c r="D2158" s="1">
        <v>65000</v>
      </c>
      <c r="E2158">
        <v>60000</v>
      </c>
      <c r="F2158" t="s">
        <v>9</v>
      </c>
      <c r="G2158" t="s">
        <v>10</v>
      </c>
      <c r="H2158" t="s">
        <v>11</v>
      </c>
      <c r="I2158" t="s">
        <v>49</v>
      </c>
      <c r="J2158">
        <f t="shared" si="66"/>
        <v>25</v>
      </c>
      <c r="K2158" t="str">
        <f t="shared" si="67"/>
        <v>Budget</v>
      </c>
    </row>
    <row r="2159" spans="2:11" x14ac:dyDescent="0.25">
      <c r="B2159" t="s">
        <v>1132</v>
      </c>
      <c r="C2159">
        <v>2008</v>
      </c>
      <c r="D2159" s="1">
        <v>200000</v>
      </c>
      <c r="E2159">
        <v>50000</v>
      </c>
      <c r="F2159" t="s">
        <v>9</v>
      </c>
      <c r="G2159" t="s">
        <v>10</v>
      </c>
      <c r="H2159" t="s">
        <v>11</v>
      </c>
      <c r="I2159" t="s">
        <v>12</v>
      </c>
      <c r="J2159">
        <f t="shared" si="66"/>
        <v>18</v>
      </c>
      <c r="K2159" t="str">
        <f t="shared" si="67"/>
        <v>Budget</v>
      </c>
    </row>
    <row r="2160" spans="2:11" x14ac:dyDescent="0.25">
      <c r="B2160" t="s">
        <v>181</v>
      </c>
      <c r="C2160">
        <v>2010</v>
      </c>
      <c r="D2160" s="1">
        <v>250000</v>
      </c>
      <c r="E2160">
        <v>110000</v>
      </c>
      <c r="F2160" t="s">
        <v>15</v>
      </c>
      <c r="G2160" t="s">
        <v>10</v>
      </c>
      <c r="H2160" t="s">
        <v>11</v>
      </c>
      <c r="I2160" t="s">
        <v>18</v>
      </c>
      <c r="J2160">
        <f t="shared" si="66"/>
        <v>16</v>
      </c>
      <c r="K2160" t="str">
        <f t="shared" si="67"/>
        <v>Budget</v>
      </c>
    </row>
    <row r="2161" spans="2:11" x14ac:dyDescent="0.25">
      <c r="B2161" t="s">
        <v>1040</v>
      </c>
      <c r="C2161">
        <v>2013</v>
      </c>
      <c r="D2161" s="1">
        <v>182000</v>
      </c>
      <c r="E2161">
        <v>100000</v>
      </c>
      <c r="F2161" t="s">
        <v>15</v>
      </c>
      <c r="G2161" t="s">
        <v>10</v>
      </c>
      <c r="H2161" t="s">
        <v>11</v>
      </c>
      <c r="I2161" t="s">
        <v>12</v>
      </c>
      <c r="J2161">
        <f t="shared" si="66"/>
        <v>13</v>
      </c>
      <c r="K2161" t="str">
        <f t="shared" si="67"/>
        <v>Budget</v>
      </c>
    </row>
    <row r="2162" spans="2:11" x14ac:dyDescent="0.25">
      <c r="B2162" t="s">
        <v>1133</v>
      </c>
      <c r="C2162">
        <v>2001</v>
      </c>
      <c r="D2162" s="1">
        <v>85000</v>
      </c>
      <c r="E2162">
        <v>86000</v>
      </c>
      <c r="F2162" t="s">
        <v>9</v>
      </c>
      <c r="G2162" t="s">
        <v>10</v>
      </c>
      <c r="H2162" t="s">
        <v>11</v>
      </c>
      <c r="I2162" t="s">
        <v>18</v>
      </c>
      <c r="J2162">
        <f t="shared" si="66"/>
        <v>25</v>
      </c>
      <c r="K2162" t="str">
        <f t="shared" si="67"/>
        <v>Budget</v>
      </c>
    </row>
    <row r="2163" spans="2:11" x14ac:dyDescent="0.25">
      <c r="B2163" t="s">
        <v>354</v>
      </c>
      <c r="C2163">
        <v>2013</v>
      </c>
      <c r="D2163" s="1">
        <v>400000</v>
      </c>
      <c r="E2163">
        <v>50000</v>
      </c>
      <c r="F2163" t="s">
        <v>15</v>
      </c>
      <c r="G2163" t="s">
        <v>10</v>
      </c>
      <c r="H2163" t="s">
        <v>11</v>
      </c>
      <c r="I2163" t="s">
        <v>12</v>
      </c>
      <c r="J2163">
        <f t="shared" si="66"/>
        <v>13</v>
      </c>
      <c r="K2163" t="str">
        <f t="shared" si="67"/>
        <v>Budget</v>
      </c>
    </row>
    <row r="2164" spans="2:11" x14ac:dyDescent="0.25">
      <c r="B2164" t="s">
        <v>1017</v>
      </c>
      <c r="C2164">
        <v>2017</v>
      </c>
      <c r="D2164" s="1">
        <v>650000</v>
      </c>
      <c r="E2164">
        <v>20000</v>
      </c>
      <c r="F2164" t="s">
        <v>15</v>
      </c>
      <c r="G2164" t="s">
        <v>10</v>
      </c>
      <c r="H2164" t="s">
        <v>11</v>
      </c>
      <c r="I2164" t="s">
        <v>12</v>
      </c>
      <c r="J2164">
        <f t="shared" si="66"/>
        <v>9</v>
      </c>
      <c r="K2164" t="str">
        <f t="shared" si="67"/>
        <v>Mid Range</v>
      </c>
    </row>
    <row r="2165" spans="2:11" x14ac:dyDescent="0.25">
      <c r="B2165" t="s">
        <v>928</v>
      </c>
      <c r="C2165">
        <v>2010</v>
      </c>
      <c r="D2165" s="1">
        <v>400000</v>
      </c>
      <c r="E2165">
        <v>50000</v>
      </c>
      <c r="F2165" t="s">
        <v>9</v>
      </c>
      <c r="G2165" t="s">
        <v>10</v>
      </c>
      <c r="H2165" t="s">
        <v>11</v>
      </c>
      <c r="I2165" t="s">
        <v>12</v>
      </c>
      <c r="J2165">
        <f t="shared" si="66"/>
        <v>16</v>
      </c>
      <c r="K2165" t="str">
        <f t="shared" si="67"/>
        <v>Budget</v>
      </c>
    </row>
    <row r="2166" spans="2:11" x14ac:dyDescent="0.25">
      <c r="B2166" t="s">
        <v>954</v>
      </c>
      <c r="C2166">
        <v>2012</v>
      </c>
      <c r="D2166" s="1">
        <v>295000</v>
      </c>
      <c r="E2166">
        <v>80000</v>
      </c>
      <c r="F2166" t="s">
        <v>15</v>
      </c>
      <c r="G2166" t="s">
        <v>10</v>
      </c>
      <c r="H2166" t="s">
        <v>11</v>
      </c>
      <c r="I2166" t="s">
        <v>18</v>
      </c>
      <c r="J2166">
        <f t="shared" si="66"/>
        <v>14</v>
      </c>
      <c r="K2166" t="str">
        <f t="shared" si="67"/>
        <v>Budget</v>
      </c>
    </row>
    <row r="2167" spans="2:11" x14ac:dyDescent="0.25">
      <c r="B2167" t="s">
        <v>1134</v>
      </c>
      <c r="C2167">
        <v>2006</v>
      </c>
      <c r="D2167" s="1">
        <v>60000</v>
      </c>
      <c r="E2167">
        <v>135000</v>
      </c>
      <c r="F2167" t="s">
        <v>152</v>
      </c>
      <c r="G2167" t="s">
        <v>10</v>
      </c>
      <c r="H2167" t="s">
        <v>11</v>
      </c>
      <c r="I2167" t="s">
        <v>46</v>
      </c>
      <c r="J2167">
        <f t="shared" si="66"/>
        <v>20</v>
      </c>
      <c r="K2167" t="str">
        <f t="shared" si="67"/>
        <v>Budget</v>
      </c>
    </row>
    <row r="2168" spans="2:11" x14ac:dyDescent="0.25">
      <c r="B2168" t="s">
        <v>1135</v>
      </c>
      <c r="C2168">
        <v>2003</v>
      </c>
      <c r="D2168" s="1">
        <v>110000</v>
      </c>
      <c r="E2168">
        <v>120000</v>
      </c>
      <c r="F2168" t="s">
        <v>15</v>
      </c>
      <c r="G2168" t="s">
        <v>10</v>
      </c>
      <c r="H2168" t="s">
        <v>11</v>
      </c>
      <c r="I2168" t="s">
        <v>49</v>
      </c>
      <c r="J2168">
        <f t="shared" si="66"/>
        <v>23</v>
      </c>
      <c r="K2168" t="str">
        <f t="shared" si="67"/>
        <v>Budget</v>
      </c>
    </row>
    <row r="2169" spans="2:11" x14ac:dyDescent="0.25">
      <c r="B2169" t="s">
        <v>1136</v>
      </c>
      <c r="C2169">
        <v>2015</v>
      </c>
      <c r="D2169" s="1">
        <v>550000</v>
      </c>
      <c r="E2169">
        <v>113600</v>
      </c>
      <c r="F2169" t="s">
        <v>15</v>
      </c>
      <c r="G2169" t="s">
        <v>10</v>
      </c>
      <c r="H2169" t="s">
        <v>11</v>
      </c>
      <c r="I2169" t="s">
        <v>12</v>
      </c>
      <c r="J2169">
        <f t="shared" si="66"/>
        <v>11</v>
      </c>
      <c r="K2169" t="str">
        <f t="shared" si="67"/>
        <v>Mid Range</v>
      </c>
    </row>
    <row r="2170" spans="2:11" x14ac:dyDescent="0.25">
      <c r="B2170" t="s">
        <v>56</v>
      </c>
      <c r="C2170">
        <v>2008</v>
      </c>
      <c r="D2170" s="1">
        <v>190000</v>
      </c>
      <c r="E2170">
        <v>70000</v>
      </c>
      <c r="F2170" t="s">
        <v>9</v>
      </c>
      <c r="G2170" t="s">
        <v>10</v>
      </c>
      <c r="H2170" t="s">
        <v>11</v>
      </c>
      <c r="I2170" t="s">
        <v>49</v>
      </c>
      <c r="J2170">
        <f t="shared" si="66"/>
        <v>18</v>
      </c>
      <c r="K2170" t="str">
        <f t="shared" si="67"/>
        <v>Budget</v>
      </c>
    </row>
    <row r="2171" spans="2:11" x14ac:dyDescent="0.25">
      <c r="B2171" t="s">
        <v>1137</v>
      </c>
      <c r="C2171">
        <v>2018</v>
      </c>
      <c r="D2171" s="1">
        <v>861999</v>
      </c>
      <c r="E2171">
        <v>20000</v>
      </c>
      <c r="F2171" t="s">
        <v>15</v>
      </c>
      <c r="G2171" t="s">
        <v>27</v>
      </c>
      <c r="H2171" t="s">
        <v>11</v>
      </c>
      <c r="I2171" t="s">
        <v>12</v>
      </c>
      <c r="J2171">
        <f t="shared" si="66"/>
        <v>8</v>
      </c>
      <c r="K2171" t="str">
        <f t="shared" si="67"/>
        <v>Mid Range</v>
      </c>
    </row>
    <row r="2172" spans="2:11" x14ac:dyDescent="0.25">
      <c r="B2172" t="s">
        <v>1138</v>
      </c>
      <c r="C2172">
        <v>2018</v>
      </c>
      <c r="D2172" s="1">
        <v>782000</v>
      </c>
      <c r="E2172">
        <v>14000</v>
      </c>
      <c r="F2172" t="s">
        <v>9</v>
      </c>
      <c r="G2172" t="s">
        <v>27</v>
      </c>
      <c r="H2172" t="s">
        <v>11</v>
      </c>
      <c r="I2172" t="s">
        <v>12</v>
      </c>
      <c r="J2172">
        <f t="shared" si="66"/>
        <v>8</v>
      </c>
      <c r="K2172" t="str">
        <f t="shared" si="67"/>
        <v>Mid Range</v>
      </c>
    </row>
    <row r="2173" spans="2:11" x14ac:dyDescent="0.25">
      <c r="B2173" t="s">
        <v>1139</v>
      </c>
      <c r="C2173">
        <v>2018</v>
      </c>
      <c r="D2173" s="1">
        <v>836000</v>
      </c>
      <c r="E2173">
        <v>26000</v>
      </c>
      <c r="F2173" t="s">
        <v>15</v>
      </c>
      <c r="G2173" t="s">
        <v>27</v>
      </c>
      <c r="H2173" t="s">
        <v>11</v>
      </c>
      <c r="I2173" t="s">
        <v>12</v>
      </c>
      <c r="J2173">
        <f t="shared" si="66"/>
        <v>8</v>
      </c>
      <c r="K2173" t="str">
        <f t="shared" si="67"/>
        <v>Mid Range</v>
      </c>
    </row>
    <row r="2174" spans="2:11" x14ac:dyDescent="0.25">
      <c r="B2174" t="s">
        <v>415</v>
      </c>
      <c r="C2174">
        <v>2016</v>
      </c>
      <c r="D2174" s="1">
        <v>696000</v>
      </c>
      <c r="E2174">
        <v>138925</v>
      </c>
      <c r="F2174" t="s">
        <v>9</v>
      </c>
      <c r="G2174" t="s">
        <v>27</v>
      </c>
      <c r="H2174" t="s">
        <v>11</v>
      </c>
      <c r="I2174" t="s">
        <v>12</v>
      </c>
      <c r="J2174">
        <f t="shared" si="66"/>
        <v>10</v>
      </c>
      <c r="K2174" t="str">
        <f t="shared" si="67"/>
        <v>Mid Range</v>
      </c>
    </row>
    <row r="2175" spans="2:11" x14ac:dyDescent="0.25">
      <c r="B2175" t="s">
        <v>630</v>
      </c>
      <c r="C2175">
        <v>2016</v>
      </c>
      <c r="D2175" s="1">
        <v>596000</v>
      </c>
      <c r="E2175">
        <v>121764</v>
      </c>
      <c r="F2175" t="s">
        <v>15</v>
      </c>
      <c r="G2175" t="s">
        <v>27</v>
      </c>
      <c r="H2175" t="s">
        <v>11</v>
      </c>
      <c r="I2175" t="s">
        <v>12</v>
      </c>
      <c r="J2175">
        <f t="shared" si="66"/>
        <v>10</v>
      </c>
      <c r="K2175" t="str">
        <f t="shared" si="67"/>
        <v>Mid Range</v>
      </c>
    </row>
    <row r="2176" spans="2:11" x14ac:dyDescent="0.25">
      <c r="B2176" t="s">
        <v>1140</v>
      </c>
      <c r="C2176">
        <v>2016</v>
      </c>
      <c r="D2176" s="1">
        <v>612000</v>
      </c>
      <c r="E2176">
        <v>105429</v>
      </c>
      <c r="F2176" t="s">
        <v>9</v>
      </c>
      <c r="G2176" t="s">
        <v>27</v>
      </c>
      <c r="H2176" t="s">
        <v>11</v>
      </c>
      <c r="I2176" t="s">
        <v>12</v>
      </c>
      <c r="J2176">
        <f t="shared" si="66"/>
        <v>10</v>
      </c>
      <c r="K2176" t="str">
        <f t="shared" si="67"/>
        <v>Mid Range</v>
      </c>
    </row>
    <row r="2177" spans="2:11" x14ac:dyDescent="0.25">
      <c r="B2177" t="s">
        <v>249</v>
      </c>
      <c r="C2177">
        <v>2015</v>
      </c>
      <c r="D2177" s="1">
        <v>114999</v>
      </c>
      <c r="E2177">
        <v>35000</v>
      </c>
      <c r="F2177" t="s">
        <v>9</v>
      </c>
      <c r="G2177" t="s">
        <v>10</v>
      </c>
      <c r="H2177" t="s">
        <v>11</v>
      </c>
      <c r="I2177" t="s">
        <v>12</v>
      </c>
      <c r="J2177">
        <f t="shared" si="66"/>
        <v>11</v>
      </c>
      <c r="K2177" t="str">
        <f t="shared" si="67"/>
        <v>Budget</v>
      </c>
    </row>
    <row r="2178" spans="2:11" x14ac:dyDescent="0.25">
      <c r="B2178" t="s">
        <v>139</v>
      </c>
      <c r="C2178">
        <v>2017</v>
      </c>
      <c r="D2178" s="1">
        <v>340000</v>
      </c>
      <c r="E2178">
        <v>60000</v>
      </c>
      <c r="F2178" t="s">
        <v>15</v>
      </c>
      <c r="G2178" t="s">
        <v>10</v>
      </c>
      <c r="H2178" t="s">
        <v>11</v>
      </c>
      <c r="I2178" t="s">
        <v>12</v>
      </c>
      <c r="J2178">
        <f t="shared" si="66"/>
        <v>9</v>
      </c>
      <c r="K2178" t="str">
        <f t="shared" si="67"/>
        <v>Budget</v>
      </c>
    </row>
    <row r="2179" spans="2:11" x14ac:dyDescent="0.25">
      <c r="B2179" t="s">
        <v>1085</v>
      </c>
      <c r="C2179">
        <v>2020</v>
      </c>
      <c r="D2179" s="1">
        <v>550000</v>
      </c>
      <c r="E2179">
        <v>5000</v>
      </c>
      <c r="F2179" t="s">
        <v>9</v>
      </c>
      <c r="G2179" t="s">
        <v>10</v>
      </c>
      <c r="H2179" t="s">
        <v>11</v>
      </c>
      <c r="I2179" t="s">
        <v>12</v>
      </c>
      <c r="J2179">
        <f t="shared" si="66"/>
        <v>6</v>
      </c>
      <c r="K2179" t="str">
        <f t="shared" si="67"/>
        <v>Mid Range</v>
      </c>
    </row>
    <row r="2180" spans="2:11" x14ac:dyDescent="0.25">
      <c r="B2180" t="s">
        <v>1141</v>
      </c>
      <c r="C2180">
        <v>2008</v>
      </c>
      <c r="D2180" s="1">
        <v>114999</v>
      </c>
      <c r="E2180">
        <v>70000</v>
      </c>
      <c r="F2180" t="s">
        <v>9</v>
      </c>
      <c r="G2180" t="s">
        <v>10</v>
      </c>
      <c r="H2180" t="s">
        <v>11</v>
      </c>
      <c r="I2180" t="s">
        <v>49</v>
      </c>
      <c r="J2180">
        <f t="shared" si="66"/>
        <v>18</v>
      </c>
      <c r="K2180" t="str">
        <f t="shared" si="67"/>
        <v>Budget</v>
      </c>
    </row>
    <row r="2181" spans="2:11" x14ac:dyDescent="0.25">
      <c r="B2181" t="s">
        <v>257</v>
      </c>
      <c r="C2181">
        <v>2000</v>
      </c>
      <c r="D2181" s="1">
        <v>105000</v>
      </c>
      <c r="E2181">
        <v>80000</v>
      </c>
      <c r="F2181" t="s">
        <v>9</v>
      </c>
      <c r="G2181" t="s">
        <v>10</v>
      </c>
      <c r="H2181" t="s">
        <v>11</v>
      </c>
      <c r="I2181" t="s">
        <v>12</v>
      </c>
      <c r="J2181">
        <f t="shared" si="66"/>
        <v>26</v>
      </c>
      <c r="K2181" t="str">
        <f t="shared" si="67"/>
        <v>Budget</v>
      </c>
    </row>
    <row r="2182" spans="2:11" x14ac:dyDescent="0.25">
      <c r="B2182" t="s">
        <v>316</v>
      </c>
      <c r="C2182">
        <v>2019</v>
      </c>
      <c r="D2182" s="1">
        <v>890000</v>
      </c>
      <c r="E2182">
        <v>20000</v>
      </c>
      <c r="F2182" t="s">
        <v>15</v>
      </c>
      <c r="G2182" t="s">
        <v>10</v>
      </c>
      <c r="H2182" t="s">
        <v>11</v>
      </c>
      <c r="I2182" t="s">
        <v>12</v>
      </c>
      <c r="J2182">
        <f t="shared" ref="J2182:J2245" si="68">2026 - C2182</f>
        <v>7</v>
      </c>
      <c r="K2182" t="str">
        <f t="shared" ref="K2182:K2245" si="69">IF(D2182&lt;500000,"Budget",IF(D2182&lt;=1000000,"Mid Range","Premium"))</f>
        <v>Mid Range</v>
      </c>
    </row>
    <row r="2183" spans="2:11" x14ac:dyDescent="0.25">
      <c r="B2183" t="s">
        <v>1142</v>
      </c>
      <c r="C2183">
        <v>2019</v>
      </c>
      <c r="D2183" s="1">
        <v>715000</v>
      </c>
      <c r="E2183">
        <v>8000</v>
      </c>
      <c r="F2183" t="s">
        <v>9</v>
      </c>
      <c r="G2183" t="s">
        <v>10</v>
      </c>
      <c r="H2183" t="s">
        <v>11</v>
      </c>
      <c r="I2183" t="s">
        <v>12</v>
      </c>
      <c r="J2183">
        <f t="shared" si="68"/>
        <v>7</v>
      </c>
      <c r="K2183" t="str">
        <f t="shared" si="69"/>
        <v>Mid Range</v>
      </c>
    </row>
    <row r="2184" spans="2:11" x14ac:dyDescent="0.25">
      <c r="B2184" t="s">
        <v>242</v>
      </c>
      <c r="C2184">
        <v>2014</v>
      </c>
      <c r="D2184" s="1">
        <v>525000</v>
      </c>
      <c r="E2184">
        <v>54000</v>
      </c>
      <c r="F2184" t="s">
        <v>9</v>
      </c>
      <c r="G2184" t="s">
        <v>27</v>
      </c>
      <c r="H2184" t="s">
        <v>11</v>
      </c>
      <c r="I2184" t="s">
        <v>18</v>
      </c>
      <c r="J2184">
        <f t="shared" si="68"/>
        <v>12</v>
      </c>
      <c r="K2184" t="str">
        <f t="shared" si="69"/>
        <v>Mid Range</v>
      </c>
    </row>
    <row r="2185" spans="2:11" x14ac:dyDescent="0.25">
      <c r="B2185" t="s">
        <v>343</v>
      </c>
      <c r="C2185">
        <v>2014</v>
      </c>
      <c r="D2185" s="1">
        <v>475000</v>
      </c>
      <c r="E2185">
        <v>23122</v>
      </c>
      <c r="F2185" t="s">
        <v>9</v>
      </c>
      <c r="G2185" t="s">
        <v>27</v>
      </c>
      <c r="H2185" t="s">
        <v>11</v>
      </c>
      <c r="I2185" t="s">
        <v>18</v>
      </c>
      <c r="J2185">
        <f t="shared" si="68"/>
        <v>12</v>
      </c>
      <c r="K2185" t="str">
        <f t="shared" si="69"/>
        <v>Budget</v>
      </c>
    </row>
    <row r="2186" spans="2:11" x14ac:dyDescent="0.25">
      <c r="B2186" t="s">
        <v>1143</v>
      </c>
      <c r="C2186">
        <v>2012</v>
      </c>
      <c r="D2186" s="1">
        <v>349000</v>
      </c>
      <c r="E2186">
        <v>44500</v>
      </c>
      <c r="F2186" t="s">
        <v>15</v>
      </c>
      <c r="G2186" t="s">
        <v>27</v>
      </c>
      <c r="H2186" t="s">
        <v>11</v>
      </c>
      <c r="I2186" t="s">
        <v>18</v>
      </c>
      <c r="J2186">
        <f t="shared" si="68"/>
        <v>14</v>
      </c>
      <c r="K2186" t="str">
        <f t="shared" si="69"/>
        <v>Budget</v>
      </c>
    </row>
    <row r="2187" spans="2:11" x14ac:dyDescent="0.25">
      <c r="B2187" t="s">
        <v>410</v>
      </c>
      <c r="C2187">
        <v>2017</v>
      </c>
      <c r="D2187" s="1">
        <v>825000</v>
      </c>
      <c r="E2187">
        <v>13599</v>
      </c>
      <c r="F2187" t="s">
        <v>9</v>
      </c>
      <c r="G2187" t="s">
        <v>27</v>
      </c>
      <c r="H2187" t="s">
        <v>28</v>
      </c>
      <c r="I2187" t="s">
        <v>12</v>
      </c>
      <c r="J2187">
        <f t="shared" si="68"/>
        <v>9</v>
      </c>
      <c r="K2187" t="str">
        <f t="shared" si="69"/>
        <v>Mid Range</v>
      </c>
    </row>
    <row r="2188" spans="2:11" x14ac:dyDescent="0.25">
      <c r="B2188" t="s">
        <v>302</v>
      </c>
      <c r="C2188">
        <v>2014</v>
      </c>
      <c r="D2188" s="1">
        <v>550000</v>
      </c>
      <c r="E2188">
        <v>100000</v>
      </c>
      <c r="F2188" t="s">
        <v>15</v>
      </c>
      <c r="G2188" t="s">
        <v>10</v>
      </c>
      <c r="H2188" t="s">
        <v>11</v>
      </c>
      <c r="I2188" t="s">
        <v>18</v>
      </c>
      <c r="J2188">
        <f t="shared" si="68"/>
        <v>12</v>
      </c>
      <c r="K2188" t="str">
        <f t="shared" si="69"/>
        <v>Mid Range</v>
      </c>
    </row>
    <row r="2189" spans="2:11" x14ac:dyDescent="0.25">
      <c r="B2189" t="s">
        <v>525</v>
      </c>
      <c r="C2189">
        <v>2006</v>
      </c>
      <c r="D2189" s="1">
        <v>95000</v>
      </c>
      <c r="E2189">
        <v>110000</v>
      </c>
      <c r="F2189" t="s">
        <v>9</v>
      </c>
      <c r="G2189" t="s">
        <v>10</v>
      </c>
      <c r="H2189" t="s">
        <v>11</v>
      </c>
      <c r="I2189" t="s">
        <v>49</v>
      </c>
      <c r="J2189">
        <f t="shared" si="68"/>
        <v>20</v>
      </c>
      <c r="K2189" t="str">
        <f t="shared" si="69"/>
        <v>Budget</v>
      </c>
    </row>
    <row r="2190" spans="2:11" x14ac:dyDescent="0.25">
      <c r="B2190" t="s">
        <v>42</v>
      </c>
      <c r="C2190">
        <v>2014</v>
      </c>
      <c r="D2190" s="1">
        <v>725000</v>
      </c>
      <c r="E2190">
        <v>90000</v>
      </c>
      <c r="F2190" t="s">
        <v>15</v>
      </c>
      <c r="G2190" t="s">
        <v>10</v>
      </c>
      <c r="H2190" t="s">
        <v>11</v>
      </c>
      <c r="I2190" t="s">
        <v>18</v>
      </c>
      <c r="J2190">
        <f t="shared" si="68"/>
        <v>12</v>
      </c>
      <c r="K2190" t="str">
        <f t="shared" si="69"/>
        <v>Mid Range</v>
      </c>
    </row>
    <row r="2191" spans="2:11" x14ac:dyDescent="0.25">
      <c r="B2191" t="s">
        <v>1144</v>
      </c>
      <c r="C2191">
        <v>2019</v>
      </c>
      <c r="D2191" s="1">
        <v>670000</v>
      </c>
      <c r="E2191">
        <v>17000</v>
      </c>
      <c r="F2191" t="s">
        <v>9</v>
      </c>
      <c r="G2191" t="s">
        <v>10</v>
      </c>
      <c r="H2191" t="s">
        <v>11</v>
      </c>
      <c r="I2191" t="s">
        <v>12</v>
      </c>
      <c r="J2191">
        <f t="shared" si="68"/>
        <v>7</v>
      </c>
      <c r="K2191" t="str">
        <f t="shared" si="69"/>
        <v>Mid Range</v>
      </c>
    </row>
    <row r="2192" spans="2:11" x14ac:dyDescent="0.25">
      <c r="B2192" t="s">
        <v>172</v>
      </c>
      <c r="C2192">
        <v>2008</v>
      </c>
      <c r="D2192" s="1">
        <v>65000</v>
      </c>
      <c r="E2192">
        <v>140000</v>
      </c>
      <c r="F2192" t="s">
        <v>9</v>
      </c>
      <c r="G2192" t="s">
        <v>10</v>
      </c>
      <c r="H2192" t="s">
        <v>11</v>
      </c>
      <c r="I2192" t="s">
        <v>12</v>
      </c>
      <c r="J2192">
        <f t="shared" si="68"/>
        <v>18</v>
      </c>
      <c r="K2192" t="str">
        <f t="shared" si="69"/>
        <v>Budget</v>
      </c>
    </row>
    <row r="2193" spans="2:11" x14ac:dyDescent="0.25">
      <c r="B2193" t="s">
        <v>108</v>
      </c>
      <c r="C2193">
        <v>2015</v>
      </c>
      <c r="D2193" s="1">
        <v>500000</v>
      </c>
      <c r="E2193">
        <v>50000</v>
      </c>
      <c r="F2193" t="s">
        <v>15</v>
      </c>
      <c r="G2193" t="s">
        <v>10</v>
      </c>
      <c r="H2193" t="s">
        <v>11</v>
      </c>
      <c r="I2193" t="s">
        <v>18</v>
      </c>
      <c r="J2193">
        <f t="shared" si="68"/>
        <v>11</v>
      </c>
      <c r="K2193" t="str">
        <f t="shared" si="69"/>
        <v>Mid Range</v>
      </c>
    </row>
    <row r="2194" spans="2:11" x14ac:dyDescent="0.25">
      <c r="B2194" t="s">
        <v>991</v>
      </c>
      <c r="C2194">
        <v>2017</v>
      </c>
      <c r="D2194" s="1">
        <v>600000</v>
      </c>
      <c r="E2194">
        <v>53000</v>
      </c>
      <c r="F2194" t="s">
        <v>9</v>
      </c>
      <c r="G2194" t="s">
        <v>10</v>
      </c>
      <c r="H2194" t="s">
        <v>11</v>
      </c>
      <c r="I2194" t="s">
        <v>12</v>
      </c>
      <c r="J2194">
        <f t="shared" si="68"/>
        <v>9</v>
      </c>
      <c r="K2194" t="str">
        <f t="shared" si="69"/>
        <v>Mid Range</v>
      </c>
    </row>
    <row r="2195" spans="2:11" x14ac:dyDescent="0.25">
      <c r="B2195" t="s">
        <v>744</v>
      </c>
      <c r="C2195">
        <v>2017</v>
      </c>
      <c r="D2195" s="1">
        <v>350000</v>
      </c>
      <c r="E2195">
        <v>70000</v>
      </c>
      <c r="F2195" t="s">
        <v>9</v>
      </c>
      <c r="G2195" t="s">
        <v>10</v>
      </c>
      <c r="H2195" t="s">
        <v>11</v>
      </c>
      <c r="I2195" t="s">
        <v>18</v>
      </c>
      <c r="J2195">
        <f t="shared" si="68"/>
        <v>9</v>
      </c>
      <c r="K2195" t="str">
        <f t="shared" si="69"/>
        <v>Budget</v>
      </c>
    </row>
    <row r="2196" spans="2:11" x14ac:dyDescent="0.25">
      <c r="B2196" t="s">
        <v>185</v>
      </c>
      <c r="C2196">
        <v>2012</v>
      </c>
      <c r="D2196" s="1">
        <v>200000</v>
      </c>
      <c r="E2196">
        <v>70000</v>
      </c>
      <c r="F2196" t="s">
        <v>15</v>
      </c>
      <c r="G2196" t="s">
        <v>10</v>
      </c>
      <c r="H2196" t="s">
        <v>11</v>
      </c>
      <c r="I2196" t="s">
        <v>18</v>
      </c>
      <c r="J2196">
        <f t="shared" si="68"/>
        <v>14</v>
      </c>
      <c r="K2196" t="str">
        <f t="shared" si="69"/>
        <v>Budget</v>
      </c>
    </row>
    <row r="2197" spans="2:11" x14ac:dyDescent="0.25">
      <c r="B2197" t="s">
        <v>1131</v>
      </c>
      <c r="C2197">
        <v>2012</v>
      </c>
      <c r="D2197" s="1">
        <v>150000</v>
      </c>
      <c r="E2197">
        <v>80000</v>
      </c>
      <c r="F2197" t="s">
        <v>9</v>
      </c>
      <c r="G2197" t="s">
        <v>10</v>
      </c>
      <c r="H2197" t="s">
        <v>11</v>
      </c>
      <c r="I2197" t="s">
        <v>12</v>
      </c>
      <c r="J2197">
        <f t="shared" si="68"/>
        <v>14</v>
      </c>
      <c r="K2197" t="str">
        <f t="shared" si="69"/>
        <v>Budget</v>
      </c>
    </row>
    <row r="2198" spans="2:11" x14ac:dyDescent="0.25">
      <c r="B2198" t="s">
        <v>1135</v>
      </c>
      <c r="C2198">
        <v>2003</v>
      </c>
      <c r="D2198" s="1">
        <v>75000</v>
      </c>
      <c r="E2198">
        <v>110000</v>
      </c>
      <c r="F2198" t="s">
        <v>15</v>
      </c>
      <c r="G2198" t="s">
        <v>10</v>
      </c>
      <c r="H2198" t="s">
        <v>11</v>
      </c>
      <c r="I2198" t="s">
        <v>18</v>
      </c>
      <c r="J2198">
        <f t="shared" si="68"/>
        <v>23</v>
      </c>
      <c r="K2198" t="str">
        <f t="shared" si="69"/>
        <v>Budget</v>
      </c>
    </row>
    <row r="2199" spans="2:11" x14ac:dyDescent="0.25">
      <c r="B2199" t="s">
        <v>394</v>
      </c>
      <c r="C2199">
        <v>2013</v>
      </c>
      <c r="D2199" s="1">
        <v>350000</v>
      </c>
      <c r="E2199">
        <v>90000</v>
      </c>
      <c r="F2199" t="s">
        <v>15</v>
      </c>
      <c r="G2199" t="s">
        <v>10</v>
      </c>
      <c r="H2199" t="s">
        <v>11</v>
      </c>
      <c r="I2199" t="s">
        <v>18</v>
      </c>
      <c r="J2199">
        <f t="shared" si="68"/>
        <v>13</v>
      </c>
      <c r="K2199" t="str">
        <f t="shared" si="69"/>
        <v>Budget</v>
      </c>
    </row>
    <row r="2200" spans="2:11" x14ac:dyDescent="0.25">
      <c r="B2200" t="s">
        <v>690</v>
      </c>
      <c r="C2200">
        <v>2018</v>
      </c>
      <c r="D2200" s="1">
        <v>1700000</v>
      </c>
      <c r="E2200">
        <v>15000</v>
      </c>
      <c r="F2200" t="s">
        <v>15</v>
      </c>
      <c r="G2200" t="s">
        <v>10</v>
      </c>
      <c r="H2200" t="s">
        <v>11</v>
      </c>
      <c r="I2200" t="s">
        <v>12</v>
      </c>
      <c r="J2200">
        <f t="shared" si="68"/>
        <v>8</v>
      </c>
      <c r="K2200" t="str">
        <f t="shared" si="69"/>
        <v>Premium</v>
      </c>
    </row>
    <row r="2201" spans="2:11" x14ac:dyDescent="0.25">
      <c r="B2201" t="s">
        <v>1145</v>
      </c>
      <c r="C2201">
        <v>2011</v>
      </c>
      <c r="D2201" s="1">
        <v>890000</v>
      </c>
      <c r="E2201">
        <v>86000</v>
      </c>
      <c r="F2201" t="s">
        <v>15</v>
      </c>
      <c r="G2201" t="s">
        <v>10</v>
      </c>
      <c r="H2201" t="s">
        <v>28</v>
      </c>
      <c r="I2201" t="s">
        <v>18</v>
      </c>
      <c r="J2201">
        <f t="shared" si="68"/>
        <v>15</v>
      </c>
      <c r="K2201" t="str">
        <f t="shared" si="69"/>
        <v>Mid Range</v>
      </c>
    </row>
    <row r="2202" spans="2:11" x14ac:dyDescent="0.25">
      <c r="B2202" t="s">
        <v>589</v>
      </c>
      <c r="C2202">
        <v>2014</v>
      </c>
      <c r="D2202" s="1">
        <v>500000</v>
      </c>
      <c r="E2202">
        <v>120000</v>
      </c>
      <c r="F2202" t="s">
        <v>15</v>
      </c>
      <c r="G2202" t="s">
        <v>10</v>
      </c>
      <c r="H2202" t="s">
        <v>11</v>
      </c>
      <c r="I2202" t="s">
        <v>12</v>
      </c>
      <c r="J2202">
        <f t="shared" si="68"/>
        <v>12</v>
      </c>
      <c r="K2202" t="str">
        <f t="shared" si="69"/>
        <v>Mid Range</v>
      </c>
    </row>
    <row r="2203" spans="2:11" x14ac:dyDescent="0.25">
      <c r="B2203" t="s">
        <v>109</v>
      </c>
      <c r="C2203">
        <v>2019</v>
      </c>
      <c r="D2203" s="1">
        <v>600000</v>
      </c>
      <c r="E2203">
        <v>5200</v>
      </c>
      <c r="F2203" t="s">
        <v>9</v>
      </c>
      <c r="G2203" t="s">
        <v>10</v>
      </c>
      <c r="H2203" t="s">
        <v>11</v>
      </c>
      <c r="I2203" t="s">
        <v>12</v>
      </c>
      <c r="J2203">
        <f t="shared" si="68"/>
        <v>7</v>
      </c>
      <c r="K2203" t="str">
        <f t="shared" si="69"/>
        <v>Mid Range</v>
      </c>
    </row>
    <row r="2204" spans="2:11" x14ac:dyDescent="0.25">
      <c r="B2204" t="s">
        <v>353</v>
      </c>
      <c r="C2204">
        <v>2010</v>
      </c>
      <c r="D2204" s="1">
        <v>99000</v>
      </c>
      <c r="E2204">
        <v>60000</v>
      </c>
      <c r="F2204" t="s">
        <v>9</v>
      </c>
      <c r="G2204" t="s">
        <v>10</v>
      </c>
      <c r="H2204" t="s">
        <v>11</v>
      </c>
      <c r="I2204" t="s">
        <v>18</v>
      </c>
      <c r="J2204">
        <f t="shared" si="68"/>
        <v>16</v>
      </c>
      <c r="K2204" t="str">
        <f t="shared" si="69"/>
        <v>Budget</v>
      </c>
    </row>
    <row r="2205" spans="2:11" x14ac:dyDescent="0.25">
      <c r="B2205" t="s">
        <v>605</v>
      </c>
      <c r="C2205">
        <v>2011</v>
      </c>
      <c r="D2205" s="1">
        <v>235000</v>
      </c>
      <c r="E2205">
        <v>46000</v>
      </c>
      <c r="F2205" t="s">
        <v>9</v>
      </c>
      <c r="G2205" t="s">
        <v>10</v>
      </c>
      <c r="H2205" t="s">
        <v>11</v>
      </c>
      <c r="I2205" t="s">
        <v>12</v>
      </c>
      <c r="J2205">
        <f t="shared" si="68"/>
        <v>15</v>
      </c>
      <c r="K2205" t="str">
        <f t="shared" si="69"/>
        <v>Budget</v>
      </c>
    </row>
    <row r="2206" spans="2:11" x14ac:dyDescent="0.25">
      <c r="B2206" t="s">
        <v>833</v>
      </c>
      <c r="C2206">
        <v>2006</v>
      </c>
      <c r="D2206" s="1">
        <v>75000</v>
      </c>
      <c r="E2206">
        <v>40000</v>
      </c>
      <c r="F2206" t="s">
        <v>9</v>
      </c>
      <c r="G2206" t="s">
        <v>10</v>
      </c>
      <c r="H2206" t="s">
        <v>11</v>
      </c>
      <c r="I2206" t="s">
        <v>18</v>
      </c>
      <c r="J2206">
        <f t="shared" si="68"/>
        <v>20</v>
      </c>
      <c r="K2206" t="str">
        <f t="shared" si="69"/>
        <v>Budget</v>
      </c>
    </row>
    <row r="2207" spans="2:11" x14ac:dyDescent="0.25">
      <c r="B2207" t="s">
        <v>66</v>
      </c>
      <c r="C2207">
        <v>2014</v>
      </c>
      <c r="D2207" s="1">
        <v>600000</v>
      </c>
      <c r="E2207">
        <v>90000</v>
      </c>
      <c r="F2207" t="s">
        <v>15</v>
      </c>
      <c r="G2207" t="s">
        <v>10</v>
      </c>
      <c r="H2207" t="s">
        <v>11</v>
      </c>
      <c r="I2207" t="s">
        <v>18</v>
      </c>
      <c r="J2207">
        <f t="shared" si="68"/>
        <v>12</v>
      </c>
      <c r="K2207" t="str">
        <f t="shared" si="69"/>
        <v>Mid Range</v>
      </c>
    </row>
    <row r="2208" spans="2:11" x14ac:dyDescent="0.25">
      <c r="B2208" t="s">
        <v>611</v>
      </c>
      <c r="C2208">
        <v>2019</v>
      </c>
      <c r="D2208" s="1">
        <v>1000000</v>
      </c>
      <c r="E2208">
        <v>25000</v>
      </c>
      <c r="F2208" t="s">
        <v>15</v>
      </c>
      <c r="G2208" t="s">
        <v>10</v>
      </c>
      <c r="H2208" t="s">
        <v>11</v>
      </c>
      <c r="I2208" t="s">
        <v>18</v>
      </c>
      <c r="J2208">
        <f t="shared" si="68"/>
        <v>7</v>
      </c>
      <c r="K2208" t="str">
        <f t="shared" si="69"/>
        <v>Mid Range</v>
      </c>
    </row>
    <row r="2209" spans="2:11" x14ac:dyDescent="0.25">
      <c r="B2209" t="s">
        <v>14</v>
      </c>
      <c r="C2209">
        <v>2012</v>
      </c>
      <c r="D2209" s="1">
        <v>390000</v>
      </c>
      <c r="E2209">
        <v>90000</v>
      </c>
      <c r="F2209" t="s">
        <v>15</v>
      </c>
      <c r="G2209" t="s">
        <v>10</v>
      </c>
      <c r="H2209" t="s">
        <v>11</v>
      </c>
      <c r="I2209" t="s">
        <v>12</v>
      </c>
      <c r="J2209">
        <f t="shared" si="68"/>
        <v>14</v>
      </c>
      <c r="K2209" t="str">
        <f t="shared" si="69"/>
        <v>Budget</v>
      </c>
    </row>
    <row r="2210" spans="2:11" x14ac:dyDescent="0.25">
      <c r="B2210" t="s">
        <v>342</v>
      </c>
      <c r="C2210">
        <v>2015</v>
      </c>
      <c r="D2210" s="1">
        <v>600000</v>
      </c>
      <c r="E2210">
        <v>70000</v>
      </c>
      <c r="F2210" t="s">
        <v>15</v>
      </c>
      <c r="G2210" t="s">
        <v>10</v>
      </c>
      <c r="H2210" t="s">
        <v>11</v>
      </c>
      <c r="I2210" t="s">
        <v>12</v>
      </c>
      <c r="J2210">
        <f t="shared" si="68"/>
        <v>11</v>
      </c>
      <c r="K2210" t="str">
        <f t="shared" si="69"/>
        <v>Mid Range</v>
      </c>
    </row>
    <row r="2211" spans="2:11" x14ac:dyDescent="0.25">
      <c r="B2211" t="s">
        <v>240</v>
      </c>
      <c r="C2211">
        <v>2017</v>
      </c>
      <c r="D2211" s="1">
        <v>600000</v>
      </c>
      <c r="E2211">
        <v>70000</v>
      </c>
      <c r="F2211" t="s">
        <v>9</v>
      </c>
      <c r="G2211" t="s">
        <v>10</v>
      </c>
      <c r="H2211" t="s">
        <v>11</v>
      </c>
      <c r="I2211" t="s">
        <v>18</v>
      </c>
      <c r="J2211">
        <f t="shared" si="68"/>
        <v>9</v>
      </c>
      <c r="K2211" t="str">
        <f t="shared" si="69"/>
        <v>Mid Range</v>
      </c>
    </row>
    <row r="2212" spans="2:11" x14ac:dyDescent="0.25">
      <c r="B2212" t="s">
        <v>1146</v>
      </c>
      <c r="C2212">
        <v>2019</v>
      </c>
      <c r="D2212" s="1">
        <v>730000</v>
      </c>
      <c r="E2212">
        <v>35000</v>
      </c>
      <c r="F2212" t="s">
        <v>15</v>
      </c>
      <c r="G2212" t="s">
        <v>10</v>
      </c>
      <c r="H2212" t="s">
        <v>11</v>
      </c>
      <c r="I2212" t="s">
        <v>18</v>
      </c>
      <c r="J2212">
        <f t="shared" si="68"/>
        <v>7</v>
      </c>
      <c r="K2212" t="str">
        <f t="shared" si="69"/>
        <v>Mid Range</v>
      </c>
    </row>
    <row r="2213" spans="2:11" x14ac:dyDescent="0.25">
      <c r="B2213" t="s">
        <v>422</v>
      </c>
      <c r="C2213">
        <v>2017</v>
      </c>
      <c r="D2213" s="1">
        <v>450000</v>
      </c>
      <c r="E2213">
        <v>12700</v>
      </c>
      <c r="F2213" t="s">
        <v>9</v>
      </c>
      <c r="G2213" t="s">
        <v>10</v>
      </c>
      <c r="H2213" t="s">
        <v>28</v>
      </c>
      <c r="I2213" t="s">
        <v>12</v>
      </c>
      <c r="J2213">
        <f t="shared" si="68"/>
        <v>9</v>
      </c>
      <c r="K2213" t="str">
        <f t="shared" si="69"/>
        <v>Budget</v>
      </c>
    </row>
    <row r="2214" spans="2:11" x14ac:dyDescent="0.25">
      <c r="B2214" t="s">
        <v>389</v>
      </c>
      <c r="C2214">
        <v>2011</v>
      </c>
      <c r="D2214" s="1">
        <v>250000</v>
      </c>
      <c r="E2214">
        <v>80000</v>
      </c>
      <c r="F2214" t="s">
        <v>15</v>
      </c>
      <c r="G2214" t="s">
        <v>10</v>
      </c>
      <c r="H2214" t="s">
        <v>11</v>
      </c>
      <c r="I2214" t="s">
        <v>12</v>
      </c>
      <c r="J2214">
        <f t="shared" si="68"/>
        <v>15</v>
      </c>
      <c r="K2214" t="str">
        <f t="shared" si="69"/>
        <v>Budget</v>
      </c>
    </row>
    <row r="2215" spans="2:11" x14ac:dyDescent="0.25">
      <c r="B2215" t="s">
        <v>945</v>
      </c>
      <c r="C2215">
        <v>2018</v>
      </c>
      <c r="D2215" s="1">
        <v>1400000</v>
      </c>
      <c r="E2215">
        <v>20000</v>
      </c>
      <c r="F2215" t="s">
        <v>15</v>
      </c>
      <c r="G2215" t="s">
        <v>10</v>
      </c>
      <c r="H2215" t="s">
        <v>11</v>
      </c>
      <c r="I2215" t="s">
        <v>12</v>
      </c>
      <c r="J2215">
        <f t="shared" si="68"/>
        <v>8</v>
      </c>
      <c r="K2215" t="str">
        <f t="shared" si="69"/>
        <v>Premium</v>
      </c>
    </row>
    <row r="2216" spans="2:11" x14ac:dyDescent="0.25">
      <c r="B2216" t="s">
        <v>306</v>
      </c>
      <c r="C2216">
        <v>2018</v>
      </c>
      <c r="D2216" s="1">
        <v>300000</v>
      </c>
      <c r="E2216">
        <v>20000</v>
      </c>
      <c r="F2216" t="s">
        <v>9</v>
      </c>
      <c r="G2216" t="s">
        <v>10</v>
      </c>
      <c r="H2216" t="s">
        <v>11</v>
      </c>
      <c r="I2216" t="s">
        <v>12</v>
      </c>
      <c r="J2216">
        <f t="shared" si="68"/>
        <v>8</v>
      </c>
      <c r="K2216" t="str">
        <f t="shared" si="69"/>
        <v>Budget</v>
      </c>
    </row>
    <row r="2217" spans="2:11" x14ac:dyDescent="0.25">
      <c r="B2217" t="s">
        <v>1147</v>
      </c>
      <c r="C2217">
        <v>2017</v>
      </c>
      <c r="D2217" s="1">
        <v>800000</v>
      </c>
      <c r="E2217">
        <v>19000</v>
      </c>
      <c r="F2217" t="s">
        <v>9</v>
      </c>
      <c r="G2217" t="s">
        <v>10</v>
      </c>
      <c r="H2217" t="s">
        <v>11</v>
      </c>
      <c r="I2217" t="s">
        <v>12</v>
      </c>
      <c r="J2217">
        <f t="shared" si="68"/>
        <v>9</v>
      </c>
      <c r="K2217" t="str">
        <f t="shared" si="69"/>
        <v>Mid Range</v>
      </c>
    </row>
    <row r="2218" spans="2:11" x14ac:dyDescent="0.25">
      <c r="B2218" t="s">
        <v>1148</v>
      </c>
      <c r="C2218">
        <v>2009</v>
      </c>
      <c r="D2218" s="1">
        <v>125000</v>
      </c>
      <c r="E2218">
        <v>95000</v>
      </c>
      <c r="F2218" t="s">
        <v>15</v>
      </c>
      <c r="G2218" t="s">
        <v>10</v>
      </c>
      <c r="H2218" t="s">
        <v>11</v>
      </c>
      <c r="I2218" t="s">
        <v>18</v>
      </c>
      <c r="J2218">
        <f t="shared" si="68"/>
        <v>17</v>
      </c>
      <c r="K2218" t="str">
        <f t="shared" si="69"/>
        <v>Budget</v>
      </c>
    </row>
    <row r="2219" spans="2:11" x14ac:dyDescent="0.25">
      <c r="B2219" t="s">
        <v>361</v>
      </c>
      <c r="C2219">
        <v>2012</v>
      </c>
      <c r="D2219" s="1">
        <v>295000</v>
      </c>
      <c r="E2219">
        <v>90000</v>
      </c>
      <c r="F2219" t="s">
        <v>15</v>
      </c>
      <c r="G2219" t="s">
        <v>10</v>
      </c>
      <c r="H2219" t="s">
        <v>11</v>
      </c>
      <c r="I2219" t="s">
        <v>12</v>
      </c>
      <c r="J2219">
        <f t="shared" si="68"/>
        <v>14</v>
      </c>
      <c r="K2219" t="str">
        <f t="shared" si="69"/>
        <v>Budget</v>
      </c>
    </row>
    <row r="2220" spans="2:11" x14ac:dyDescent="0.25">
      <c r="B2220" t="s">
        <v>1149</v>
      </c>
      <c r="C2220">
        <v>2013</v>
      </c>
      <c r="D2220" s="1">
        <v>650000</v>
      </c>
      <c r="E2220">
        <v>45839</v>
      </c>
      <c r="F2220" t="s">
        <v>9</v>
      </c>
      <c r="G2220" t="s">
        <v>27</v>
      </c>
      <c r="H2220" t="s">
        <v>11</v>
      </c>
      <c r="I2220" t="s">
        <v>12</v>
      </c>
      <c r="J2220">
        <f t="shared" si="68"/>
        <v>13</v>
      </c>
      <c r="K2220" t="str">
        <f t="shared" si="69"/>
        <v>Mid Range</v>
      </c>
    </row>
    <row r="2221" spans="2:11" x14ac:dyDescent="0.25">
      <c r="B2221" t="s">
        <v>702</v>
      </c>
      <c r="C2221">
        <v>2010</v>
      </c>
      <c r="D2221" s="1">
        <v>200000</v>
      </c>
      <c r="E2221">
        <v>74510</v>
      </c>
      <c r="F2221" t="s">
        <v>9</v>
      </c>
      <c r="G2221" t="s">
        <v>27</v>
      </c>
      <c r="H2221" t="s">
        <v>11</v>
      </c>
      <c r="I2221" t="s">
        <v>12</v>
      </c>
      <c r="J2221">
        <f t="shared" si="68"/>
        <v>16</v>
      </c>
      <c r="K2221" t="str">
        <f t="shared" si="69"/>
        <v>Budget</v>
      </c>
    </row>
    <row r="2222" spans="2:11" x14ac:dyDescent="0.25">
      <c r="B2222" t="s">
        <v>448</v>
      </c>
      <c r="C2222">
        <v>2009</v>
      </c>
      <c r="D2222" s="1">
        <v>130000</v>
      </c>
      <c r="E2222">
        <v>87293</v>
      </c>
      <c r="F2222" t="s">
        <v>9</v>
      </c>
      <c r="G2222" t="s">
        <v>27</v>
      </c>
      <c r="H2222" t="s">
        <v>11</v>
      </c>
      <c r="I2222" t="s">
        <v>12</v>
      </c>
      <c r="J2222">
        <f t="shared" si="68"/>
        <v>17</v>
      </c>
      <c r="K2222" t="str">
        <f t="shared" si="69"/>
        <v>Budget</v>
      </c>
    </row>
    <row r="2223" spans="2:11" x14ac:dyDescent="0.25">
      <c r="B2223" t="s">
        <v>725</v>
      </c>
      <c r="C2223">
        <v>2012</v>
      </c>
      <c r="D2223" s="1">
        <v>250000</v>
      </c>
      <c r="E2223">
        <v>156040</v>
      </c>
      <c r="F2223" t="s">
        <v>15</v>
      </c>
      <c r="G2223" t="s">
        <v>27</v>
      </c>
      <c r="H2223" t="s">
        <v>11</v>
      </c>
      <c r="I2223" t="s">
        <v>12</v>
      </c>
      <c r="J2223">
        <f t="shared" si="68"/>
        <v>14</v>
      </c>
      <c r="K2223" t="str">
        <f t="shared" si="69"/>
        <v>Budget</v>
      </c>
    </row>
    <row r="2224" spans="2:11" x14ac:dyDescent="0.25">
      <c r="B2224" t="s">
        <v>328</v>
      </c>
      <c r="C2224">
        <v>2004</v>
      </c>
      <c r="D2224" s="1">
        <v>400000</v>
      </c>
      <c r="E2224">
        <v>93415</v>
      </c>
      <c r="F2224" t="s">
        <v>15</v>
      </c>
      <c r="G2224" t="s">
        <v>27</v>
      </c>
      <c r="H2224" t="s">
        <v>11</v>
      </c>
      <c r="I2224" t="s">
        <v>12</v>
      </c>
      <c r="J2224">
        <f t="shared" si="68"/>
        <v>22</v>
      </c>
      <c r="K2224" t="str">
        <f t="shared" si="69"/>
        <v>Budget</v>
      </c>
    </row>
    <row r="2225" spans="2:11" x14ac:dyDescent="0.25">
      <c r="B2225" t="s">
        <v>931</v>
      </c>
      <c r="C2225">
        <v>2017</v>
      </c>
      <c r="D2225" s="1">
        <v>430000</v>
      </c>
      <c r="E2225">
        <v>101159</v>
      </c>
      <c r="F2225" t="s">
        <v>9</v>
      </c>
      <c r="G2225" t="s">
        <v>27</v>
      </c>
      <c r="H2225" t="s">
        <v>11</v>
      </c>
      <c r="I2225" t="s">
        <v>12</v>
      </c>
      <c r="J2225">
        <f t="shared" si="68"/>
        <v>9</v>
      </c>
      <c r="K2225" t="str">
        <f t="shared" si="69"/>
        <v>Budget</v>
      </c>
    </row>
    <row r="2226" spans="2:11" x14ac:dyDescent="0.25">
      <c r="B2226" t="s">
        <v>260</v>
      </c>
      <c r="C2226">
        <v>2015</v>
      </c>
      <c r="D2226" s="1">
        <v>170000</v>
      </c>
      <c r="E2226">
        <v>80000</v>
      </c>
      <c r="F2226" t="s">
        <v>9</v>
      </c>
      <c r="G2226" t="s">
        <v>10</v>
      </c>
      <c r="H2226" t="s">
        <v>11</v>
      </c>
      <c r="I2226" t="s">
        <v>18</v>
      </c>
      <c r="J2226">
        <f t="shared" si="68"/>
        <v>11</v>
      </c>
      <c r="K2226" t="str">
        <f t="shared" si="69"/>
        <v>Budget</v>
      </c>
    </row>
    <row r="2227" spans="2:11" x14ac:dyDescent="0.25">
      <c r="B2227" t="s">
        <v>1150</v>
      </c>
      <c r="C2227">
        <v>2019</v>
      </c>
      <c r="D2227" s="1">
        <v>450000</v>
      </c>
      <c r="E2227">
        <v>12000</v>
      </c>
      <c r="F2227" t="s">
        <v>9</v>
      </c>
      <c r="G2227" t="s">
        <v>10</v>
      </c>
      <c r="H2227" t="s">
        <v>11</v>
      </c>
      <c r="I2227" t="s">
        <v>12</v>
      </c>
      <c r="J2227">
        <f t="shared" si="68"/>
        <v>7</v>
      </c>
      <c r="K2227" t="str">
        <f t="shared" si="69"/>
        <v>Budget</v>
      </c>
    </row>
    <row r="2228" spans="2:11" x14ac:dyDescent="0.25">
      <c r="B2228" t="s">
        <v>1151</v>
      </c>
      <c r="C2228">
        <v>2013</v>
      </c>
      <c r="D2228" s="1">
        <v>350000</v>
      </c>
      <c r="E2228">
        <v>90000</v>
      </c>
      <c r="F2228" t="s">
        <v>9</v>
      </c>
      <c r="G2228" t="s">
        <v>10</v>
      </c>
      <c r="H2228" t="s">
        <v>11</v>
      </c>
      <c r="I2228" t="s">
        <v>12</v>
      </c>
      <c r="J2228">
        <f t="shared" si="68"/>
        <v>13</v>
      </c>
      <c r="K2228" t="str">
        <f t="shared" si="69"/>
        <v>Budget</v>
      </c>
    </row>
    <row r="2229" spans="2:11" x14ac:dyDescent="0.25">
      <c r="B2229" t="s">
        <v>258</v>
      </c>
      <c r="C2229">
        <v>2011</v>
      </c>
      <c r="D2229" s="1">
        <v>130000</v>
      </c>
      <c r="E2229">
        <v>68519</v>
      </c>
      <c r="F2229" t="s">
        <v>9</v>
      </c>
      <c r="G2229" t="s">
        <v>27</v>
      </c>
      <c r="H2229" t="s">
        <v>11</v>
      </c>
      <c r="I2229" t="s">
        <v>12</v>
      </c>
      <c r="J2229">
        <f t="shared" si="68"/>
        <v>15</v>
      </c>
      <c r="K2229" t="str">
        <f t="shared" si="69"/>
        <v>Budget</v>
      </c>
    </row>
    <row r="2230" spans="2:11" x14ac:dyDescent="0.25">
      <c r="B2230" t="s">
        <v>218</v>
      </c>
      <c r="C2230">
        <v>2012</v>
      </c>
      <c r="D2230" s="1">
        <v>180000</v>
      </c>
      <c r="E2230">
        <v>55130</v>
      </c>
      <c r="F2230" t="s">
        <v>15</v>
      </c>
      <c r="G2230" t="s">
        <v>27</v>
      </c>
      <c r="H2230" t="s">
        <v>11</v>
      </c>
      <c r="I2230" t="s">
        <v>12</v>
      </c>
      <c r="J2230">
        <f t="shared" si="68"/>
        <v>14</v>
      </c>
      <c r="K2230" t="str">
        <f t="shared" si="69"/>
        <v>Budget</v>
      </c>
    </row>
    <row r="2231" spans="2:11" x14ac:dyDescent="0.25">
      <c r="B2231" t="s">
        <v>526</v>
      </c>
      <c r="C2231">
        <v>2014</v>
      </c>
      <c r="D2231" s="1">
        <v>475000</v>
      </c>
      <c r="E2231">
        <v>65239</v>
      </c>
      <c r="F2231" t="s">
        <v>9</v>
      </c>
      <c r="G2231" t="s">
        <v>27</v>
      </c>
      <c r="H2231" t="s">
        <v>11</v>
      </c>
      <c r="I2231" t="s">
        <v>12</v>
      </c>
      <c r="J2231">
        <f t="shared" si="68"/>
        <v>12</v>
      </c>
      <c r="K2231" t="str">
        <f t="shared" si="69"/>
        <v>Budget</v>
      </c>
    </row>
    <row r="2232" spans="2:11" x14ac:dyDescent="0.25">
      <c r="B2232" t="s">
        <v>1152</v>
      </c>
      <c r="C2232">
        <v>2015</v>
      </c>
      <c r="D2232" s="1">
        <v>470000</v>
      </c>
      <c r="E2232">
        <v>58182</v>
      </c>
      <c r="F2232" t="s">
        <v>9</v>
      </c>
      <c r="G2232" t="s">
        <v>27</v>
      </c>
      <c r="H2232" t="s">
        <v>11</v>
      </c>
      <c r="I2232" t="s">
        <v>12</v>
      </c>
      <c r="J2232">
        <f t="shared" si="68"/>
        <v>11</v>
      </c>
      <c r="K2232" t="str">
        <f t="shared" si="69"/>
        <v>Budget</v>
      </c>
    </row>
    <row r="2233" spans="2:11" x14ac:dyDescent="0.25">
      <c r="B2233" t="s">
        <v>1153</v>
      </c>
      <c r="C2233">
        <v>2012</v>
      </c>
      <c r="D2233" s="1">
        <v>200000</v>
      </c>
      <c r="E2233">
        <v>91245</v>
      </c>
      <c r="F2233" t="s">
        <v>15</v>
      </c>
      <c r="G2233" t="s">
        <v>27</v>
      </c>
      <c r="H2233" t="s">
        <v>11</v>
      </c>
      <c r="I2233" t="s">
        <v>12</v>
      </c>
      <c r="J2233">
        <f t="shared" si="68"/>
        <v>14</v>
      </c>
      <c r="K2233" t="str">
        <f t="shared" si="69"/>
        <v>Budget</v>
      </c>
    </row>
    <row r="2234" spans="2:11" x14ac:dyDescent="0.25">
      <c r="B2234" t="s">
        <v>90</v>
      </c>
      <c r="C2234">
        <v>2013</v>
      </c>
      <c r="D2234" s="1">
        <v>650000</v>
      </c>
      <c r="E2234">
        <v>102989</v>
      </c>
      <c r="F2234" t="s">
        <v>15</v>
      </c>
      <c r="G2234" t="s">
        <v>27</v>
      </c>
      <c r="H2234" t="s">
        <v>11</v>
      </c>
      <c r="I2234" t="s">
        <v>12</v>
      </c>
      <c r="J2234">
        <f t="shared" si="68"/>
        <v>13</v>
      </c>
      <c r="K2234" t="str">
        <f t="shared" si="69"/>
        <v>Mid Range</v>
      </c>
    </row>
    <row r="2235" spans="2:11" x14ac:dyDescent="0.25">
      <c r="B2235" t="s">
        <v>1154</v>
      </c>
      <c r="C2235">
        <v>2010</v>
      </c>
      <c r="D2235" s="1">
        <v>400000</v>
      </c>
      <c r="E2235">
        <v>50000</v>
      </c>
      <c r="F2235" t="s">
        <v>9</v>
      </c>
      <c r="G2235" t="s">
        <v>10</v>
      </c>
      <c r="H2235" t="s">
        <v>11</v>
      </c>
      <c r="I2235" t="s">
        <v>12</v>
      </c>
      <c r="J2235">
        <f t="shared" si="68"/>
        <v>16</v>
      </c>
      <c r="K2235" t="str">
        <f t="shared" si="69"/>
        <v>Budget</v>
      </c>
    </row>
    <row r="2236" spans="2:11" x14ac:dyDescent="0.25">
      <c r="B2236" t="s">
        <v>352</v>
      </c>
      <c r="C2236">
        <v>2000</v>
      </c>
      <c r="D2236" s="1">
        <v>100000</v>
      </c>
      <c r="E2236">
        <v>120000</v>
      </c>
      <c r="F2236" t="s">
        <v>9</v>
      </c>
      <c r="G2236" t="s">
        <v>10</v>
      </c>
      <c r="H2236" t="s">
        <v>11</v>
      </c>
      <c r="I2236" t="s">
        <v>12</v>
      </c>
      <c r="J2236">
        <f t="shared" si="68"/>
        <v>26</v>
      </c>
      <c r="K2236" t="str">
        <f t="shared" si="69"/>
        <v>Budget</v>
      </c>
    </row>
    <row r="2237" spans="2:11" x14ac:dyDescent="0.25">
      <c r="B2237" t="s">
        <v>114</v>
      </c>
      <c r="C2237">
        <v>2014</v>
      </c>
      <c r="D2237" s="1">
        <v>409999</v>
      </c>
      <c r="E2237">
        <v>90000</v>
      </c>
      <c r="F2237" t="s">
        <v>15</v>
      </c>
      <c r="G2237" t="s">
        <v>10</v>
      </c>
      <c r="H2237" t="s">
        <v>11</v>
      </c>
      <c r="I2237" t="s">
        <v>12</v>
      </c>
      <c r="J2237">
        <f t="shared" si="68"/>
        <v>12</v>
      </c>
      <c r="K2237" t="str">
        <f t="shared" si="69"/>
        <v>Budget</v>
      </c>
    </row>
    <row r="2238" spans="2:11" x14ac:dyDescent="0.25">
      <c r="B2238" t="s">
        <v>162</v>
      </c>
      <c r="C2238">
        <v>2018</v>
      </c>
      <c r="D2238" s="1">
        <v>640000</v>
      </c>
      <c r="E2238">
        <v>25000</v>
      </c>
      <c r="F2238" t="s">
        <v>15</v>
      </c>
      <c r="G2238" t="s">
        <v>10</v>
      </c>
      <c r="H2238" t="s">
        <v>11</v>
      </c>
      <c r="I2238" t="s">
        <v>12</v>
      </c>
      <c r="J2238">
        <f t="shared" si="68"/>
        <v>8</v>
      </c>
      <c r="K2238" t="str">
        <f t="shared" si="69"/>
        <v>Mid Range</v>
      </c>
    </row>
    <row r="2239" spans="2:11" x14ac:dyDescent="0.25">
      <c r="B2239" t="s">
        <v>13</v>
      </c>
      <c r="C2239">
        <v>2007</v>
      </c>
      <c r="D2239" s="1">
        <v>160000</v>
      </c>
      <c r="E2239">
        <v>80000</v>
      </c>
      <c r="F2239" t="s">
        <v>9</v>
      </c>
      <c r="G2239" t="s">
        <v>10</v>
      </c>
      <c r="H2239" t="s">
        <v>11</v>
      </c>
      <c r="I2239" t="s">
        <v>18</v>
      </c>
      <c r="J2239">
        <f t="shared" si="68"/>
        <v>19</v>
      </c>
      <c r="K2239" t="str">
        <f t="shared" si="69"/>
        <v>Budget</v>
      </c>
    </row>
    <row r="2240" spans="2:11" x14ac:dyDescent="0.25">
      <c r="B2240" t="s">
        <v>1155</v>
      </c>
      <c r="C2240">
        <v>2018</v>
      </c>
      <c r="D2240" s="1">
        <v>750000</v>
      </c>
      <c r="E2240">
        <v>70000</v>
      </c>
      <c r="F2240" t="s">
        <v>15</v>
      </c>
      <c r="G2240" t="s">
        <v>10</v>
      </c>
      <c r="H2240" t="s">
        <v>11</v>
      </c>
      <c r="I2240" t="s">
        <v>12</v>
      </c>
      <c r="J2240">
        <f t="shared" si="68"/>
        <v>8</v>
      </c>
      <c r="K2240" t="str">
        <f t="shared" si="69"/>
        <v>Mid Range</v>
      </c>
    </row>
    <row r="2241" spans="2:11" x14ac:dyDescent="0.25">
      <c r="B2241" t="s">
        <v>1156</v>
      </c>
      <c r="C2241">
        <v>2002</v>
      </c>
      <c r="D2241" s="1">
        <v>150000</v>
      </c>
      <c r="E2241">
        <v>50000</v>
      </c>
      <c r="F2241" t="s">
        <v>15</v>
      </c>
      <c r="G2241" t="s">
        <v>10</v>
      </c>
      <c r="H2241" t="s">
        <v>11</v>
      </c>
      <c r="I2241" t="s">
        <v>49</v>
      </c>
      <c r="J2241">
        <f t="shared" si="68"/>
        <v>24</v>
      </c>
      <c r="K2241" t="str">
        <f t="shared" si="69"/>
        <v>Budget</v>
      </c>
    </row>
    <row r="2242" spans="2:11" x14ac:dyDescent="0.25">
      <c r="B2242" t="s">
        <v>1157</v>
      </c>
      <c r="C2242">
        <v>2008</v>
      </c>
      <c r="D2242" s="1">
        <v>80000</v>
      </c>
      <c r="E2242">
        <v>100000</v>
      </c>
      <c r="F2242" t="s">
        <v>9</v>
      </c>
      <c r="G2242" t="s">
        <v>10</v>
      </c>
      <c r="H2242" t="s">
        <v>11</v>
      </c>
      <c r="I2242" t="s">
        <v>18</v>
      </c>
      <c r="J2242">
        <f t="shared" si="68"/>
        <v>18</v>
      </c>
      <c r="K2242" t="str">
        <f t="shared" si="69"/>
        <v>Budget</v>
      </c>
    </row>
    <row r="2243" spans="2:11" x14ac:dyDescent="0.25">
      <c r="B2243" t="s">
        <v>1158</v>
      </c>
      <c r="C2243">
        <v>2016</v>
      </c>
      <c r="D2243" s="1">
        <v>240000</v>
      </c>
      <c r="E2243">
        <v>90000</v>
      </c>
      <c r="F2243" t="s">
        <v>15</v>
      </c>
      <c r="G2243" t="s">
        <v>10</v>
      </c>
      <c r="H2243" t="s">
        <v>11</v>
      </c>
      <c r="I2243" t="s">
        <v>49</v>
      </c>
      <c r="J2243">
        <f t="shared" si="68"/>
        <v>10</v>
      </c>
      <c r="K2243" t="str">
        <f t="shared" si="69"/>
        <v>Budget</v>
      </c>
    </row>
    <row r="2244" spans="2:11" x14ac:dyDescent="0.25">
      <c r="B2244" t="s">
        <v>774</v>
      </c>
      <c r="C2244">
        <v>2005</v>
      </c>
      <c r="D2244" s="1">
        <v>60000</v>
      </c>
      <c r="E2244">
        <v>60000</v>
      </c>
      <c r="F2244" t="s">
        <v>9</v>
      </c>
      <c r="G2244" t="s">
        <v>10</v>
      </c>
      <c r="H2244" t="s">
        <v>11</v>
      </c>
      <c r="I2244" t="s">
        <v>49</v>
      </c>
      <c r="J2244">
        <f t="shared" si="68"/>
        <v>21</v>
      </c>
      <c r="K2244" t="str">
        <f t="shared" si="69"/>
        <v>Budget</v>
      </c>
    </row>
    <row r="2245" spans="2:11" x14ac:dyDescent="0.25">
      <c r="B2245" t="s">
        <v>172</v>
      </c>
      <c r="C2245">
        <v>2007</v>
      </c>
      <c r="D2245" s="1">
        <v>70000</v>
      </c>
      <c r="E2245">
        <v>120000</v>
      </c>
      <c r="F2245" t="s">
        <v>9</v>
      </c>
      <c r="G2245" t="s">
        <v>10</v>
      </c>
      <c r="H2245" t="s">
        <v>11</v>
      </c>
      <c r="I2245" t="s">
        <v>49</v>
      </c>
      <c r="J2245">
        <f t="shared" si="68"/>
        <v>19</v>
      </c>
      <c r="K2245" t="str">
        <f t="shared" si="69"/>
        <v>Budget</v>
      </c>
    </row>
    <row r="2246" spans="2:11" x14ac:dyDescent="0.25">
      <c r="B2246" t="s">
        <v>577</v>
      </c>
      <c r="C2246">
        <v>2008</v>
      </c>
      <c r="D2246" s="1">
        <v>285000</v>
      </c>
      <c r="E2246">
        <v>90000</v>
      </c>
      <c r="F2246" t="s">
        <v>15</v>
      </c>
      <c r="G2246" t="s">
        <v>10</v>
      </c>
      <c r="H2246" t="s">
        <v>28</v>
      </c>
      <c r="I2246" t="s">
        <v>18</v>
      </c>
      <c r="J2246">
        <f t="shared" ref="J2246:J2309" si="70">2026 - C2246</f>
        <v>18</v>
      </c>
      <c r="K2246" t="str">
        <f t="shared" ref="K2246:K2309" si="71">IF(D2246&lt;500000,"Budget",IF(D2246&lt;=1000000,"Mid Range","Premium"))</f>
        <v>Budget</v>
      </c>
    </row>
    <row r="2247" spans="2:11" x14ac:dyDescent="0.25">
      <c r="B2247" t="s">
        <v>162</v>
      </c>
      <c r="C2247">
        <v>2015</v>
      </c>
      <c r="D2247" s="1">
        <v>350000</v>
      </c>
      <c r="E2247">
        <v>60000</v>
      </c>
      <c r="F2247" t="s">
        <v>15</v>
      </c>
      <c r="G2247" t="s">
        <v>10</v>
      </c>
      <c r="H2247" t="s">
        <v>11</v>
      </c>
      <c r="I2247" t="s">
        <v>18</v>
      </c>
      <c r="J2247">
        <f t="shared" si="70"/>
        <v>11</v>
      </c>
      <c r="K2247" t="str">
        <f t="shared" si="71"/>
        <v>Budget</v>
      </c>
    </row>
    <row r="2248" spans="2:11" x14ac:dyDescent="0.25">
      <c r="B2248" t="s">
        <v>1159</v>
      </c>
      <c r="C2248">
        <v>2015</v>
      </c>
      <c r="D2248" s="1">
        <v>699000</v>
      </c>
      <c r="E2248">
        <v>30000</v>
      </c>
      <c r="F2248" t="s">
        <v>15</v>
      </c>
      <c r="G2248" t="s">
        <v>10</v>
      </c>
      <c r="H2248" t="s">
        <v>11</v>
      </c>
      <c r="I2248" t="s">
        <v>18</v>
      </c>
      <c r="J2248">
        <f t="shared" si="70"/>
        <v>11</v>
      </c>
      <c r="K2248" t="str">
        <f t="shared" si="71"/>
        <v>Mid Range</v>
      </c>
    </row>
    <row r="2249" spans="2:11" x14ac:dyDescent="0.25">
      <c r="B2249" t="s">
        <v>367</v>
      </c>
      <c r="C2249">
        <v>2011</v>
      </c>
      <c r="D2249" s="1">
        <v>275000</v>
      </c>
      <c r="E2249">
        <v>108000</v>
      </c>
      <c r="F2249" t="s">
        <v>15</v>
      </c>
      <c r="G2249" t="s">
        <v>10</v>
      </c>
      <c r="H2249" t="s">
        <v>11</v>
      </c>
      <c r="I2249" t="s">
        <v>18</v>
      </c>
      <c r="J2249">
        <f t="shared" si="70"/>
        <v>15</v>
      </c>
      <c r="K2249" t="str">
        <f t="shared" si="71"/>
        <v>Budget</v>
      </c>
    </row>
    <row r="2250" spans="2:11" x14ac:dyDescent="0.25">
      <c r="B2250" t="s">
        <v>1160</v>
      </c>
      <c r="C2250">
        <v>2012</v>
      </c>
      <c r="D2250" s="1">
        <v>350000</v>
      </c>
      <c r="E2250">
        <v>160000</v>
      </c>
      <c r="F2250" t="s">
        <v>15</v>
      </c>
      <c r="G2250" t="s">
        <v>10</v>
      </c>
      <c r="H2250" t="s">
        <v>11</v>
      </c>
      <c r="I2250" t="s">
        <v>18</v>
      </c>
      <c r="J2250">
        <f t="shared" si="70"/>
        <v>14</v>
      </c>
      <c r="K2250" t="str">
        <f t="shared" si="71"/>
        <v>Budget</v>
      </c>
    </row>
    <row r="2251" spans="2:11" x14ac:dyDescent="0.25">
      <c r="B2251" t="s">
        <v>211</v>
      </c>
      <c r="C2251">
        <v>2006</v>
      </c>
      <c r="D2251" s="1">
        <v>135000</v>
      </c>
      <c r="E2251">
        <v>90000</v>
      </c>
      <c r="F2251" t="s">
        <v>9</v>
      </c>
      <c r="G2251" t="s">
        <v>10</v>
      </c>
      <c r="H2251" t="s">
        <v>11</v>
      </c>
      <c r="I2251" t="s">
        <v>49</v>
      </c>
      <c r="J2251">
        <f t="shared" si="70"/>
        <v>20</v>
      </c>
      <c r="K2251" t="str">
        <f t="shared" si="71"/>
        <v>Budget</v>
      </c>
    </row>
    <row r="2252" spans="2:11" x14ac:dyDescent="0.25">
      <c r="B2252" t="s">
        <v>1161</v>
      </c>
      <c r="C2252">
        <v>2010</v>
      </c>
      <c r="D2252" s="1">
        <v>325000</v>
      </c>
      <c r="E2252">
        <v>120000</v>
      </c>
      <c r="F2252" t="s">
        <v>15</v>
      </c>
      <c r="G2252" t="s">
        <v>10</v>
      </c>
      <c r="H2252" t="s">
        <v>11</v>
      </c>
      <c r="I2252" t="s">
        <v>49</v>
      </c>
      <c r="J2252">
        <f t="shared" si="70"/>
        <v>16</v>
      </c>
      <c r="K2252" t="str">
        <f t="shared" si="71"/>
        <v>Budget</v>
      </c>
    </row>
    <row r="2253" spans="2:11" x14ac:dyDescent="0.25">
      <c r="B2253" t="s">
        <v>90</v>
      </c>
      <c r="C2253">
        <v>2012</v>
      </c>
      <c r="D2253" s="1">
        <v>650000</v>
      </c>
      <c r="E2253">
        <v>102000</v>
      </c>
      <c r="F2253" t="s">
        <v>15</v>
      </c>
      <c r="G2253" t="s">
        <v>10</v>
      </c>
      <c r="H2253" t="s">
        <v>11</v>
      </c>
      <c r="I2253" t="s">
        <v>18</v>
      </c>
      <c r="J2253">
        <f t="shared" si="70"/>
        <v>14</v>
      </c>
      <c r="K2253" t="str">
        <f t="shared" si="71"/>
        <v>Mid Range</v>
      </c>
    </row>
    <row r="2254" spans="2:11" x14ac:dyDescent="0.25">
      <c r="B2254" t="s">
        <v>777</v>
      </c>
      <c r="C2254">
        <v>2009</v>
      </c>
      <c r="D2254" s="1">
        <v>300000</v>
      </c>
      <c r="E2254">
        <v>178000</v>
      </c>
      <c r="F2254" t="s">
        <v>15</v>
      </c>
      <c r="G2254" t="s">
        <v>10</v>
      </c>
      <c r="H2254" t="s">
        <v>11</v>
      </c>
      <c r="I2254" t="s">
        <v>18</v>
      </c>
      <c r="J2254">
        <f t="shared" si="70"/>
        <v>17</v>
      </c>
      <c r="K2254" t="str">
        <f t="shared" si="71"/>
        <v>Budget</v>
      </c>
    </row>
    <row r="2255" spans="2:11" x14ac:dyDescent="0.25">
      <c r="B2255" t="s">
        <v>221</v>
      </c>
      <c r="C2255">
        <v>2014</v>
      </c>
      <c r="D2255" s="1">
        <v>1200000</v>
      </c>
      <c r="E2255">
        <v>200000</v>
      </c>
      <c r="F2255" t="s">
        <v>15</v>
      </c>
      <c r="G2255" t="s">
        <v>10</v>
      </c>
      <c r="H2255" t="s">
        <v>11</v>
      </c>
      <c r="I2255" t="s">
        <v>18</v>
      </c>
      <c r="J2255">
        <f t="shared" si="70"/>
        <v>12</v>
      </c>
      <c r="K2255" t="str">
        <f t="shared" si="71"/>
        <v>Premium</v>
      </c>
    </row>
    <row r="2256" spans="2:11" x14ac:dyDescent="0.25">
      <c r="B2256" t="s">
        <v>1162</v>
      </c>
      <c r="C2256">
        <v>2012</v>
      </c>
      <c r="D2256" s="1">
        <v>450000</v>
      </c>
      <c r="E2256">
        <v>60000</v>
      </c>
      <c r="F2256" t="s">
        <v>9</v>
      </c>
      <c r="G2256" t="s">
        <v>27</v>
      </c>
      <c r="H2256" t="s">
        <v>11</v>
      </c>
      <c r="I2256" t="s">
        <v>12</v>
      </c>
      <c r="J2256">
        <f t="shared" si="70"/>
        <v>14</v>
      </c>
      <c r="K2256" t="str">
        <f t="shared" si="71"/>
        <v>Budget</v>
      </c>
    </row>
    <row r="2257" spans="2:11" x14ac:dyDescent="0.25">
      <c r="B2257" t="s">
        <v>1057</v>
      </c>
      <c r="C2257">
        <v>2019</v>
      </c>
      <c r="D2257" s="1">
        <v>425000</v>
      </c>
      <c r="E2257">
        <v>3000</v>
      </c>
      <c r="F2257" t="s">
        <v>9</v>
      </c>
      <c r="G2257" t="s">
        <v>10</v>
      </c>
      <c r="H2257" t="s">
        <v>11</v>
      </c>
      <c r="I2257" t="s">
        <v>12</v>
      </c>
      <c r="J2257">
        <f t="shared" si="70"/>
        <v>7</v>
      </c>
      <c r="K2257" t="str">
        <f t="shared" si="71"/>
        <v>Budget</v>
      </c>
    </row>
    <row r="2258" spans="2:11" x14ac:dyDescent="0.25">
      <c r="B2258" t="s">
        <v>58</v>
      </c>
      <c r="C2258">
        <v>2006</v>
      </c>
      <c r="D2258" s="1">
        <v>150000</v>
      </c>
      <c r="E2258">
        <v>75118</v>
      </c>
      <c r="F2258" t="s">
        <v>9</v>
      </c>
      <c r="G2258" t="s">
        <v>10</v>
      </c>
      <c r="H2258" t="s">
        <v>11</v>
      </c>
      <c r="I2258" t="s">
        <v>18</v>
      </c>
      <c r="J2258">
        <f t="shared" si="70"/>
        <v>20</v>
      </c>
      <c r="K2258" t="str">
        <f t="shared" si="71"/>
        <v>Budget</v>
      </c>
    </row>
    <row r="2259" spans="2:11" x14ac:dyDescent="0.25">
      <c r="B2259" t="s">
        <v>389</v>
      </c>
      <c r="C2259">
        <v>2013</v>
      </c>
      <c r="D2259" s="1">
        <v>290000</v>
      </c>
      <c r="E2259">
        <v>140000</v>
      </c>
      <c r="F2259" t="s">
        <v>15</v>
      </c>
      <c r="G2259" t="s">
        <v>10</v>
      </c>
      <c r="H2259" t="s">
        <v>11</v>
      </c>
      <c r="I2259" t="s">
        <v>18</v>
      </c>
      <c r="J2259">
        <f t="shared" si="70"/>
        <v>13</v>
      </c>
      <c r="K2259" t="str">
        <f t="shared" si="71"/>
        <v>Budget</v>
      </c>
    </row>
    <row r="2260" spans="2:11" x14ac:dyDescent="0.25">
      <c r="B2260" t="s">
        <v>1163</v>
      </c>
      <c r="C2260">
        <v>2014</v>
      </c>
      <c r="D2260" s="1">
        <v>335000</v>
      </c>
      <c r="E2260">
        <v>60000</v>
      </c>
      <c r="F2260" t="s">
        <v>9</v>
      </c>
      <c r="G2260" t="s">
        <v>10</v>
      </c>
      <c r="H2260" t="s">
        <v>11</v>
      </c>
      <c r="I2260" t="s">
        <v>18</v>
      </c>
      <c r="J2260">
        <f t="shared" si="70"/>
        <v>12</v>
      </c>
      <c r="K2260" t="str">
        <f t="shared" si="71"/>
        <v>Budget</v>
      </c>
    </row>
    <row r="2261" spans="2:11" x14ac:dyDescent="0.25">
      <c r="B2261" t="s">
        <v>1164</v>
      </c>
      <c r="C2261">
        <v>2006</v>
      </c>
      <c r="D2261" s="1">
        <v>120000</v>
      </c>
      <c r="E2261">
        <v>79000</v>
      </c>
      <c r="F2261" t="s">
        <v>9</v>
      </c>
      <c r="G2261" t="s">
        <v>27</v>
      </c>
      <c r="H2261" t="s">
        <v>11</v>
      </c>
      <c r="I2261" t="s">
        <v>46</v>
      </c>
      <c r="J2261">
        <f t="shared" si="70"/>
        <v>20</v>
      </c>
      <c r="K2261" t="str">
        <f t="shared" si="71"/>
        <v>Budget</v>
      </c>
    </row>
    <row r="2262" spans="2:11" x14ac:dyDescent="0.25">
      <c r="B2262" t="s">
        <v>1165</v>
      </c>
      <c r="C2262">
        <v>2005</v>
      </c>
      <c r="D2262" s="1">
        <v>20000</v>
      </c>
      <c r="E2262">
        <v>25000</v>
      </c>
      <c r="F2262" t="s">
        <v>9</v>
      </c>
      <c r="G2262" t="s">
        <v>10</v>
      </c>
      <c r="H2262" t="s">
        <v>11</v>
      </c>
      <c r="I2262" t="s">
        <v>18</v>
      </c>
      <c r="J2262">
        <f t="shared" si="70"/>
        <v>21</v>
      </c>
      <c r="K2262" t="str">
        <f t="shared" si="71"/>
        <v>Budget</v>
      </c>
    </row>
    <row r="2263" spans="2:11" x14ac:dyDescent="0.25">
      <c r="B2263" t="s">
        <v>486</v>
      </c>
      <c r="C2263">
        <v>2012</v>
      </c>
      <c r="D2263" s="1">
        <v>220000</v>
      </c>
      <c r="E2263">
        <v>70000</v>
      </c>
      <c r="F2263" t="s">
        <v>15</v>
      </c>
      <c r="G2263" t="s">
        <v>10</v>
      </c>
      <c r="H2263" t="s">
        <v>11</v>
      </c>
      <c r="I2263" t="s">
        <v>18</v>
      </c>
      <c r="J2263">
        <f t="shared" si="70"/>
        <v>14</v>
      </c>
      <c r="K2263" t="str">
        <f t="shared" si="71"/>
        <v>Budget</v>
      </c>
    </row>
    <row r="2264" spans="2:11" x14ac:dyDescent="0.25">
      <c r="B2264" t="s">
        <v>1166</v>
      </c>
      <c r="C2264">
        <v>2005</v>
      </c>
      <c r="D2264" s="1">
        <v>61000</v>
      </c>
      <c r="E2264">
        <v>4637</v>
      </c>
      <c r="F2264" t="s">
        <v>9</v>
      </c>
      <c r="G2264" t="s">
        <v>10</v>
      </c>
      <c r="H2264" t="s">
        <v>11</v>
      </c>
      <c r="I2264" t="s">
        <v>18</v>
      </c>
      <c r="J2264">
        <f t="shared" si="70"/>
        <v>21</v>
      </c>
      <c r="K2264" t="str">
        <f t="shared" si="71"/>
        <v>Budget</v>
      </c>
    </row>
    <row r="2265" spans="2:11" x14ac:dyDescent="0.25">
      <c r="B2265" t="s">
        <v>162</v>
      </c>
      <c r="C2265">
        <v>2016</v>
      </c>
      <c r="D2265" s="1">
        <v>620000</v>
      </c>
      <c r="E2265">
        <v>70000</v>
      </c>
      <c r="F2265" t="s">
        <v>15</v>
      </c>
      <c r="G2265" t="s">
        <v>10</v>
      </c>
      <c r="H2265" t="s">
        <v>11</v>
      </c>
      <c r="I2265" t="s">
        <v>12</v>
      </c>
      <c r="J2265">
        <f t="shared" si="70"/>
        <v>10</v>
      </c>
      <c r="K2265" t="str">
        <f t="shared" si="71"/>
        <v>Mid Range</v>
      </c>
    </row>
    <row r="2266" spans="2:11" x14ac:dyDescent="0.25">
      <c r="B2266" t="s">
        <v>1167</v>
      </c>
      <c r="C2266">
        <v>2014</v>
      </c>
      <c r="D2266" s="1">
        <v>425000</v>
      </c>
      <c r="E2266">
        <v>100000</v>
      </c>
      <c r="F2266" t="s">
        <v>15</v>
      </c>
      <c r="G2266" t="s">
        <v>10</v>
      </c>
      <c r="H2266" t="s">
        <v>11</v>
      </c>
      <c r="I2266" t="s">
        <v>18</v>
      </c>
      <c r="J2266">
        <f t="shared" si="70"/>
        <v>12</v>
      </c>
      <c r="K2266" t="str">
        <f t="shared" si="71"/>
        <v>Budget</v>
      </c>
    </row>
    <row r="2267" spans="2:11" x14ac:dyDescent="0.25">
      <c r="B2267" t="s">
        <v>711</v>
      </c>
      <c r="C2267">
        <v>2009</v>
      </c>
      <c r="D2267" s="1">
        <v>85000</v>
      </c>
      <c r="E2267">
        <v>120000</v>
      </c>
      <c r="F2267" t="s">
        <v>15</v>
      </c>
      <c r="G2267" t="s">
        <v>10</v>
      </c>
      <c r="H2267" t="s">
        <v>11</v>
      </c>
      <c r="I2267" t="s">
        <v>18</v>
      </c>
      <c r="J2267">
        <f t="shared" si="70"/>
        <v>17</v>
      </c>
      <c r="K2267" t="str">
        <f t="shared" si="71"/>
        <v>Budget</v>
      </c>
    </row>
    <row r="2268" spans="2:11" x14ac:dyDescent="0.25">
      <c r="B2268" t="s">
        <v>1168</v>
      </c>
      <c r="C2268">
        <v>2015</v>
      </c>
      <c r="D2268" s="1">
        <v>270000</v>
      </c>
      <c r="E2268">
        <v>40000</v>
      </c>
      <c r="F2268" t="s">
        <v>15</v>
      </c>
      <c r="G2268" t="s">
        <v>10</v>
      </c>
      <c r="H2268" t="s">
        <v>11</v>
      </c>
      <c r="I2268" t="s">
        <v>18</v>
      </c>
      <c r="J2268">
        <f t="shared" si="70"/>
        <v>11</v>
      </c>
      <c r="K2268" t="str">
        <f t="shared" si="71"/>
        <v>Budget</v>
      </c>
    </row>
    <row r="2269" spans="2:11" x14ac:dyDescent="0.25">
      <c r="B2269" t="s">
        <v>122</v>
      </c>
      <c r="C2269">
        <v>2009</v>
      </c>
      <c r="D2269" s="1">
        <v>180000</v>
      </c>
      <c r="E2269">
        <v>220000</v>
      </c>
      <c r="F2269" t="s">
        <v>15</v>
      </c>
      <c r="G2269" t="s">
        <v>10</v>
      </c>
      <c r="H2269" t="s">
        <v>11</v>
      </c>
      <c r="I2269" t="s">
        <v>12</v>
      </c>
      <c r="J2269">
        <f t="shared" si="70"/>
        <v>17</v>
      </c>
      <c r="K2269" t="str">
        <f t="shared" si="71"/>
        <v>Budget</v>
      </c>
    </row>
    <row r="2270" spans="2:11" x14ac:dyDescent="0.25">
      <c r="B2270" t="s">
        <v>640</v>
      </c>
      <c r="C2270">
        <v>2017</v>
      </c>
      <c r="D2270" s="1">
        <v>450000</v>
      </c>
      <c r="E2270">
        <v>30000</v>
      </c>
      <c r="F2270" t="s">
        <v>9</v>
      </c>
      <c r="G2270" t="s">
        <v>10</v>
      </c>
      <c r="H2270" t="s">
        <v>11</v>
      </c>
      <c r="I2270" t="s">
        <v>12</v>
      </c>
      <c r="J2270">
        <f t="shared" si="70"/>
        <v>9</v>
      </c>
      <c r="K2270" t="str">
        <f t="shared" si="71"/>
        <v>Budget</v>
      </c>
    </row>
    <row r="2271" spans="2:11" x14ac:dyDescent="0.25">
      <c r="B2271" t="s">
        <v>1169</v>
      </c>
      <c r="C2271">
        <v>2012</v>
      </c>
      <c r="D2271" s="1">
        <v>450000</v>
      </c>
      <c r="E2271">
        <v>42655</v>
      </c>
      <c r="F2271" t="s">
        <v>15</v>
      </c>
      <c r="G2271" t="s">
        <v>10</v>
      </c>
      <c r="H2271" t="s">
        <v>11</v>
      </c>
      <c r="I2271" t="s">
        <v>12</v>
      </c>
      <c r="J2271">
        <f t="shared" si="70"/>
        <v>14</v>
      </c>
      <c r="K2271" t="str">
        <f t="shared" si="71"/>
        <v>Budget</v>
      </c>
    </row>
    <row r="2272" spans="2:11" x14ac:dyDescent="0.25">
      <c r="B2272" t="s">
        <v>1170</v>
      </c>
      <c r="C2272">
        <v>2017</v>
      </c>
      <c r="D2272" s="1">
        <v>250000</v>
      </c>
      <c r="E2272">
        <v>43000</v>
      </c>
      <c r="F2272" t="s">
        <v>9</v>
      </c>
      <c r="G2272" t="s">
        <v>10</v>
      </c>
      <c r="H2272" t="s">
        <v>11</v>
      </c>
      <c r="I2272" t="s">
        <v>18</v>
      </c>
      <c r="J2272">
        <f t="shared" si="70"/>
        <v>9</v>
      </c>
      <c r="K2272" t="str">
        <f t="shared" si="71"/>
        <v>Budget</v>
      </c>
    </row>
    <row r="2273" spans="2:11" x14ac:dyDescent="0.25">
      <c r="B2273" t="s">
        <v>1171</v>
      </c>
      <c r="C2273">
        <v>2012</v>
      </c>
      <c r="D2273" s="1">
        <v>725000</v>
      </c>
      <c r="E2273">
        <v>70000</v>
      </c>
      <c r="F2273" t="s">
        <v>15</v>
      </c>
      <c r="G2273" t="s">
        <v>10</v>
      </c>
      <c r="H2273" t="s">
        <v>11</v>
      </c>
      <c r="I2273" t="s">
        <v>12</v>
      </c>
      <c r="J2273">
        <f t="shared" si="70"/>
        <v>14</v>
      </c>
      <c r="K2273" t="str">
        <f t="shared" si="71"/>
        <v>Mid Range</v>
      </c>
    </row>
    <row r="2274" spans="2:11" x14ac:dyDescent="0.25">
      <c r="B2274" t="s">
        <v>489</v>
      </c>
      <c r="C2274">
        <v>2010</v>
      </c>
      <c r="D2274" s="1">
        <v>250000</v>
      </c>
      <c r="E2274">
        <v>55000</v>
      </c>
      <c r="F2274" t="s">
        <v>9</v>
      </c>
      <c r="G2274" t="s">
        <v>10</v>
      </c>
      <c r="H2274" t="s">
        <v>11</v>
      </c>
      <c r="I2274" t="s">
        <v>12</v>
      </c>
      <c r="J2274">
        <f t="shared" si="70"/>
        <v>16</v>
      </c>
      <c r="K2274" t="str">
        <f t="shared" si="71"/>
        <v>Budget</v>
      </c>
    </row>
    <row r="2275" spans="2:11" x14ac:dyDescent="0.25">
      <c r="B2275" t="s">
        <v>1172</v>
      </c>
      <c r="C2275">
        <v>2010</v>
      </c>
      <c r="D2275" s="1">
        <v>99000</v>
      </c>
      <c r="E2275">
        <v>80000</v>
      </c>
      <c r="F2275" t="s">
        <v>15</v>
      </c>
      <c r="G2275" t="s">
        <v>10</v>
      </c>
      <c r="H2275" t="s">
        <v>11</v>
      </c>
      <c r="I2275" t="s">
        <v>18</v>
      </c>
      <c r="J2275">
        <f t="shared" si="70"/>
        <v>16</v>
      </c>
      <c r="K2275" t="str">
        <f t="shared" si="71"/>
        <v>Budget</v>
      </c>
    </row>
    <row r="2276" spans="2:11" x14ac:dyDescent="0.25">
      <c r="B2276" t="s">
        <v>957</v>
      </c>
      <c r="C2276">
        <v>2017</v>
      </c>
      <c r="D2276" s="1">
        <v>350000</v>
      </c>
      <c r="E2276">
        <v>55000</v>
      </c>
      <c r="F2276" t="s">
        <v>9</v>
      </c>
      <c r="G2276" t="s">
        <v>10</v>
      </c>
      <c r="H2276" t="s">
        <v>11</v>
      </c>
      <c r="I2276" t="s">
        <v>12</v>
      </c>
      <c r="J2276">
        <f t="shared" si="70"/>
        <v>9</v>
      </c>
      <c r="K2276" t="str">
        <f t="shared" si="71"/>
        <v>Budget</v>
      </c>
    </row>
    <row r="2277" spans="2:11" x14ac:dyDescent="0.25">
      <c r="B2277" t="s">
        <v>1173</v>
      </c>
      <c r="C2277">
        <v>2018</v>
      </c>
      <c r="D2277" s="1">
        <v>511000</v>
      </c>
      <c r="E2277">
        <v>70000</v>
      </c>
      <c r="F2277" t="s">
        <v>9</v>
      </c>
      <c r="G2277" t="s">
        <v>10</v>
      </c>
      <c r="H2277" t="s">
        <v>11</v>
      </c>
      <c r="I2277" t="s">
        <v>12</v>
      </c>
      <c r="J2277">
        <f t="shared" si="70"/>
        <v>8</v>
      </c>
      <c r="K2277" t="str">
        <f t="shared" si="71"/>
        <v>Mid Range</v>
      </c>
    </row>
    <row r="2278" spans="2:11" x14ac:dyDescent="0.25">
      <c r="B2278" t="s">
        <v>295</v>
      </c>
      <c r="C2278">
        <v>2012</v>
      </c>
      <c r="D2278" s="1">
        <v>300000</v>
      </c>
      <c r="E2278">
        <v>80000</v>
      </c>
      <c r="F2278" t="s">
        <v>15</v>
      </c>
      <c r="G2278" t="s">
        <v>10</v>
      </c>
      <c r="H2278" t="s">
        <v>11</v>
      </c>
      <c r="I2278" t="s">
        <v>12</v>
      </c>
      <c r="J2278">
        <f t="shared" si="70"/>
        <v>14</v>
      </c>
      <c r="K2278" t="str">
        <f t="shared" si="71"/>
        <v>Budget</v>
      </c>
    </row>
    <row r="2279" spans="2:11" x14ac:dyDescent="0.25">
      <c r="B2279" t="s">
        <v>1174</v>
      </c>
      <c r="C2279">
        <v>2010</v>
      </c>
      <c r="D2279" s="1">
        <v>1100000</v>
      </c>
      <c r="E2279">
        <v>110000</v>
      </c>
      <c r="F2279" t="s">
        <v>9</v>
      </c>
      <c r="G2279" t="s">
        <v>10</v>
      </c>
      <c r="H2279" t="s">
        <v>28</v>
      </c>
      <c r="I2279" t="s">
        <v>12</v>
      </c>
      <c r="J2279">
        <f t="shared" si="70"/>
        <v>16</v>
      </c>
      <c r="K2279" t="str">
        <f t="shared" si="71"/>
        <v>Premium</v>
      </c>
    </row>
    <row r="2280" spans="2:11" x14ac:dyDescent="0.25">
      <c r="B2280" t="s">
        <v>80</v>
      </c>
      <c r="C2280">
        <v>2010</v>
      </c>
      <c r="D2280" s="1">
        <v>125000</v>
      </c>
      <c r="E2280">
        <v>60000</v>
      </c>
      <c r="F2280" t="s">
        <v>9</v>
      </c>
      <c r="G2280" t="s">
        <v>10</v>
      </c>
      <c r="H2280" t="s">
        <v>11</v>
      </c>
      <c r="I2280" t="s">
        <v>49</v>
      </c>
      <c r="J2280">
        <f t="shared" si="70"/>
        <v>16</v>
      </c>
      <c r="K2280" t="str">
        <f t="shared" si="71"/>
        <v>Budget</v>
      </c>
    </row>
    <row r="2281" spans="2:11" x14ac:dyDescent="0.25">
      <c r="B2281" t="s">
        <v>254</v>
      </c>
      <c r="C2281">
        <v>2018</v>
      </c>
      <c r="D2281" s="1">
        <v>500000</v>
      </c>
      <c r="E2281">
        <v>30000</v>
      </c>
      <c r="F2281" t="s">
        <v>9</v>
      </c>
      <c r="G2281" t="s">
        <v>10</v>
      </c>
      <c r="H2281" t="s">
        <v>11</v>
      </c>
      <c r="I2281" t="s">
        <v>12</v>
      </c>
      <c r="J2281">
        <f t="shared" si="70"/>
        <v>8</v>
      </c>
      <c r="K2281" t="str">
        <f t="shared" si="71"/>
        <v>Mid Range</v>
      </c>
    </row>
    <row r="2282" spans="2:11" x14ac:dyDescent="0.25">
      <c r="B2282" t="s">
        <v>364</v>
      </c>
      <c r="C2282">
        <v>2013</v>
      </c>
      <c r="D2282" s="1">
        <v>385000</v>
      </c>
      <c r="E2282">
        <v>80000</v>
      </c>
      <c r="F2282" t="s">
        <v>15</v>
      </c>
      <c r="G2282" t="s">
        <v>10</v>
      </c>
      <c r="H2282" t="s">
        <v>11</v>
      </c>
      <c r="I2282" t="s">
        <v>18</v>
      </c>
      <c r="J2282">
        <f t="shared" si="70"/>
        <v>13</v>
      </c>
      <c r="K2282" t="str">
        <f t="shared" si="71"/>
        <v>Budget</v>
      </c>
    </row>
    <row r="2283" spans="2:11" x14ac:dyDescent="0.25">
      <c r="B2283" t="s">
        <v>1175</v>
      </c>
      <c r="C2283">
        <v>2012</v>
      </c>
      <c r="D2283" s="1">
        <v>350000</v>
      </c>
      <c r="E2283">
        <v>90000</v>
      </c>
      <c r="F2283" t="s">
        <v>9</v>
      </c>
      <c r="G2283" t="s">
        <v>10</v>
      </c>
      <c r="H2283" t="s">
        <v>11</v>
      </c>
      <c r="I2283" t="s">
        <v>12</v>
      </c>
      <c r="J2283">
        <f t="shared" si="70"/>
        <v>14</v>
      </c>
      <c r="K2283" t="str">
        <f t="shared" si="71"/>
        <v>Budget</v>
      </c>
    </row>
    <row r="2284" spans="2:11" x14ac:dyDescent="0.25">
      <c r="B2284" t="s">
        <v>1176</v>
      </c>
      <c r="C2284">
        <v>2003</v>
      </c>
      <c r="D2284" s="1">
        <v>60000</v>
      </c>
      <c r="E2284">
        <v>50000</v>
      </c>
      <c r="F2284" t="s">
        <v>9</v>
      </c>
      <c r="G2284" t="s">
        <v>10</v>
      </c>
      <c r="H2284" t="s">
        <v>11</v>
      </c>
      <c r="I2284" t="s">
        <v>12</v>
      </c>
      <c r="J2284">
        <f t="shared" si="70"/>
        <v>23</v>
      </c>
      <c r="K2284" t="str">
        <f t="shared" si="71"/>
        <v>Budget</v>
      </c>
    </row>
    <row r="2285" spans="2:11" x14ac:dyDescent="0.25">
      <c r="B2285" t="s">
        <v>56</v>
      </c>
      <c r="C2285">
        <v>2012</v>
      </c>
      <c r="D2285" s="1">
        <v>300000</v>
      </c>
      <c r="E2285">
        <v>50000</v>
      </c>
      <c r="F2285" t="s">
        <v>9</v>
      </c>
      <c r="G2285" t="s">
        <v>10</v>
      </c>
      <c r="H2285" t="s">
        <v>11</v>
      </c>
      <c r="I2285" t="s">
        <v>12</v>
      </c>
      <c r="J2285">
        <f t="shared" si="70"/>
        <v>14</v>
      </c>
      <c r="K2285" t="str">
        <f t="shared" si="71"/>
        <v>Budget</v>
      </c>
    </row>
    <row r="2286" spans="2:11" x14ac:dyDescent="0.25">
      <c r="B2286" t="s">
        <v>798</v>
      </c>
      <c r="C2286">
        <v>2012</v>
      </c>
      <c r="D2286" s="1">
        <v>400000</v>
      </c>
      <c r="E2286">
        <v>70000</v>
      </c>
      <c r="F2286" t="s">
        <v>15</v>
      </c>
      <c r="G2286" t="s">
        <v>10</v>
      </c>
      <c r="H2286" t="s">
        <v>11</v>
      </c>
      <c r="I2286" t="s">
        <v>12</v>
      </c>
      <c r="J2286">
        <f t="shared" si="70"/>
        <v>14</v>
      </c>
      <c r="K2286" t="str">
        <f t="shared" si="71"/>
        <v>Budget</v>
      </c>
    </row>
    <row r="2287" spans="2:11" x14ac:dyDescent="0.25">
      <c r="B2287" t="s">
        <v>325</v>
      </c>
      <c r="C2287">
        <v>2014</v>
      </c>
      <c r="D2287" s="1">
        <v>550000</v>
      </c>
      <c r="E2287">
        <v>110000</v>
      </c>
      <c r="F2287" t="s">
        <v>15</v>
      </c>
      <c r="G2287" t="s">
        <v>10</v>
      </c>
      <c r="H2287" t="s">
        <v>11</v>
      </c>
      <c r="I2287" t="s">
        <v>12</v>
      </c>
      <c r="J2287">
        <f t="shared" si="70"/>
        <v>12</v>
      </c>
      <c r="K2287" t="str">
        <f t="shared" si="71"/>
        <v>Mid Range</v>
      </c>
    </row>
    <row r="2288" spans="2:11" x14ac:dyDescent="0.25">
      <c r="B2288" t="s">
        <v>700</v>
      </c>
      <c r="C2288">
        <v>2012</v>
      </c>
      <c r="D2288" s="1">
        <v>300000</v>
      </c>
      <c r="E2288">
        <v>80000</v>
      </c>
      <c r="F2288" t="s">
        <v>9</v>
      </c>
      <c r="G2288" t="s">
        <v>10</v>
      </c>
      <c r="H2288" t="s">
        <v>11</v>
      </c>
      <c r="I2288" t="s">
        <v>18</v>
      </c>
      <c r="J2288">
        <f t="shared" si="70"/>
        <v>14</v>
      </c>
      <c r="K2288" t="str">
        <f t="shared" si="71"/>
        <v>Budget</v>
      </c>
    </row>
    <row r="2289" spans="2:11" x14ac:dyDescent="0.25">
      <c r="B2289" t="s">
        <v>354</v>
      </c>
      <c r="C2289">
        <v>2012</v>
      </c>
      <c r="D2289" s="1">
        <v>250000</v>
      </c>
      <c r="E2289">
        <v>156000</v>
      </c>
      <c r="F2289" t="s">
        <v>15</v>
      </c>
      <c r="G2289" t="s">
        <v>10</v>
      </c>
      <c r="H2289" t="s">
        <v>11</v>
      </c>
      <c r="I2289" t="s">
        <v>12</v>
      </c>
      <c r="J2289">
        <f t="shared" si="70"/>
        <v>14</v>
      </c>
      <c r="K2289" t="str">
        <f t="shared" si="71"/>
        <v>Budget</v>
      </c>
    </row>
    <row r="2290" spans="2:11" x14ac:dyDescent="0.25">
      <c r="B2290" t="s">
        <v>1177</v>
      </c>
      <c r="C2290">
        <v>2012</v>
      </c>
      <c r="D2290" s="1">
        <v>800000</v>
      </c>
      <c r="E2290">
        <v>180000</v>
      </c>
      <c r="F2290" t="s">
        <v>15</v>
      </c>
      <c r="G2290" t="s">
        <v>10</v>
      </c>
      <c r="H2290" t="s">
        <v>11</v>
      </c>
      <c r="I2290" t="s">
        <v>12</v>
      </c>
      <c r="J2290">
        <f t="shared" si="70"/>
        <v>14</v>
      </c>
      <c r="K2290" t="str">
        <f t="shared" si="71"/>
        <v>Mid Range</v>
      </c>
    </row>
    <row r="2291" spans="2:11" x14ac:dyDescent="0.25">
      <c r="B2291" t="s">
        <v>60</v>
      </c>
      <c r="C2291">
        <v>2018</v>
      </c>
      <c r="D2291" s="1">
        <v>300000</v>
      </c>
      <c r="E2291">
        <v>25000</v>
      </c>
      <c r="F2291" t="s">
        <v>9</v>
      </c>
      <c r="G2291" t="s">
        <v>10</v>
      </c>
      <c r="H2291" t="s">
        <v>11</v>
      </c>
      <c r="I2291" t="s">
        <v>12</v>
      </c>
      <c r="J2291">
        <f t="shared" si="70"/>
        <v>8</v>
      </c>
      <c r="K2291" t="str">
        <f t="shared" si="71"/>
        <v>Budget</v>
      </c>
    </row>
    <row r="2292" spans="2:11" x14ac:dyDescent="0.25">
      <c r="B2292" t="s">
        <v>172</v>
      </c>
      <c r="C2292">
        <v>2004</v>
      </c>
      <c r="D2292" s="1">
        <v>80000</v>
      </c>
      <c r="E2292">
        <v>120000</v>
      </c>
      <c r="F2292" t="s">
        <v>9</v>
      </c>
      <c r="G2292" t="s">
        <v>10</v>
      </c>
      <c r="H2292" t="s">
        <v>11</v>
      </c>
      <c r="I2292" t="s">
        <v>12</v>
      </c>
      <c r="J2292">
        <f t="shared" si="70"/>
        <v>22</v>
      </c>
      <c r="K2292" t="str">
        <f t="shared" si="71"/>
        <v>Budget</v>
      </c>
    </row>
    <row r="2293" spans="2:11" x14ac:dyDescent="0.25">
      <c r="B2293" t="s">
        <v>1178</v>
      </c>
      <c r="C2293">
        <v>2020</v>
      </c>
      <c r="D2293" s="1">
        <v>1200000</v>
      </c>
      <c r="E2293">
        <v>11000</v>
      </c>
      <c r="F2293" t="s">
        <v>15</v>
      </c>
      <c r="G2293" t="s">
        <v>10</v>
      </c>
      <c r="H2293" t="s">
        <v>11</v>
      </c>
      <c r="I2293" t="s">
        <v>12</v>
      </c>
      <c r="J2293">
        <f t="shared" si="70"/>
        <v>6</v>
      </c>
      <c r="K2293" t="str">
        <f t="shared" si="71"/>
        <v>Premium</v>
      </c>
    </row>
    <row r="2294" spans="2:11" x14ac:dyDescent="0.25">
      <c r="B2294" t="s">
        <v>1179</v>
      </c>
      <c r="C2294">
        <v>2017</v>
      </c>
      <c r="D2294" s="1">
        <v>355000</v>
      </c>
      <c r="E2294">
        <v>40000</v>
      </c>
      <c r="F2294" t="s">
        <v>9</v>
      </c>
      <c r="G2294" t="s">
        <v>10</v>
      </c>
      <c r="H2294" t="s">
        <v>28</v>
      </c>
      <c r="I2294" t="s">
        <v>12</v>
      </c>
      <c r="J2294">
        <f t="shared" si="70"/>
        <v>9</v>
      </c>
      <c r="K2294" t="str">
        <f t="shared" si="71"/>
        <v>Budget</v>
      </c>
    </row>
    <row r="2295" spans="2:11" x14ac:dyDescent="0.25">
      <c r="B2295" t="s">
        <v>114</v>
      </c>
      <c r="C2295">
        <v>2015</v>
      </c>
      <c r="D2295" s="1">
        <v>520000</v>
      </c>
      <c r="E2295">
        <v>50000</v>
      </c>
      <c r="F2295" t="s">
        <v>15</v>
      </c>
      <c r="G2295" t="s">
        <v>10</v>
      </c>
      <c r="H2295" t="s">
        <v>11</v>
      </c>
      <c r="I2295" t="s">
        <v>12</v>
      </c>
      <c r="J2295">
        <f t="shared" si="70"/>
        <v>11</v>
      </c>
      <c r="K2295" t="str">
        <f t="shared" si="71"/>
        <v>Mid Range</v>
      </c>
    </row>
    <row r="2296" spans="2:11" x14ac:dyDescent="0.25">
      <c r="B2296" t="s">
        <v>338</v>
      </c>
      <c r="C2296">
        <v>2012</v>
      </c>
      <c r="D2296" s="1">
        <v>500000</v>
      </c>
      <c r="E2296">
        <v>26000</v>
      </c>
      <c r="F2296" t="s">
        <v>15</v>
      </c>
      <c r="G2296" t="s">
        <v>10</v>
      </c>
      <c r="H2296" t="s">
        <v>11</v>
      </c>
      <c r="I2296" t="s">
        <v>12</v>
      </c>
      <c r="J2296">
        <f t="shared" si="70"/>
        <v>14</v>
      </c>
      <c r="K2296" t="str">
        <f t="shared" si="71"/>
        <v>Mid Range</v>
      </c>
    </row>
    <row r="2297" spans="2:11" x14ac:dyDescent="0.25">
      <c r="B2297" t="s">
        <v>58</v>
      </c>
      <c r="C2297">
        <v>2008</v>
      </c>
      <c r="D2297" s="1">
        <v>114999</v>
      </c>
      <c r="E2297">
        <v>30000</v>
      </c>
      <c r="F2297" t="s">
        <v>9</v>
      </c>
      <c r="G2297" t="s">
        <v>10</v>
      </c>
      <c r="H2297" t="s">
        <v>11</v>
      </c>
      <c r="I2297" t="s">
        <v>12</v>
      </c>
      <c r="J2297">
        <f t="shared" si="70"/>
        <v>18</v>
      </c>
      <c r="K2297" t="str">
        <f t="shared" si="71"/>
        <v>Budget</v>
      </c>
    </row>
    <row r="2298" spans="2:11" x14ac:dyDescent="0.25">
      <c r="B2298" t="s">
        <v>1180</v>
      </c>
      <c r="C2298">
        <v>2014</v>
      </c>
      <c r="D2298" s="1">
        <v>1800000</v>
      </c>
      <c r="E2298">
        <v>50000</v>
      </c>
      <c r="F2298" t="s">
        <v>15</v>
      </c>
      <c r="G2298" t="s">
        <v>10</v>
      </c>
      <c r="H2298" t="s">
        <v>11</v>
      </c>
      <c r="I2298" t="s">
        <v>12</v>
      </c>
      <c r="J2298">
        <f t="shared" si="70"/>
        <v>12</v>
      </c>
      <c r="K2298" t="str">
        <f t="shared" si="71"/>
        <v>Premium</v>
      </c>
    </row>
    <row r="2299" spans="2:11" x14ac:dyDescent="0.25">
      <c r="B2299" t="s">
        <v>1181</v>
      </c>
      <c r="C2299">
        <v>2018</v>
      </c>
      <c r="D2299" s="1">
        <v>800000</v>
      </c>
      <c r="E2299">
        <v>20000</v>
      </c>
      <c r="F2299" t="s">
        <v>15</v>
      </c>
      <c r="G2299" t="s">
        <v>10</v>
      </c>
      <c r="H2299" t="s">
        <v>11</v>
      </c>
      <c r="I2299" t="s">
        <v>12</v>
      </c>
      <c r="J2299">
        <f t="shared" si="70"/>
        <v>8</v>
      </c>
      <c r="K2299" t="str">
        <f t="shared" si="71"/>
        <v>Mid Range</v>
      </c>
    </row>
    <row r="2300" spans="2:11" x14ac:dyDescent="0.25">
      <c r="B2300" t="s">
        <v>211</v>
      </c>
      <c r="C2300">
        <v>2008</v>
      </c>
      <c r="D2300" s="1">
        <v>105000</v>
      </c>
      <c r="E2300">
        <v>30000</v>
      </c>
      <c r="F2300" t="s">
        <v>9</v>
      </c>
      <c r="G2300" t="s">
        <v>10</v>
      </c>
      <c r="H2300" t="s">
        <v>11</v>
      </c>
      <c r="I2300" t="s">
        <v>18</v>
      </c>
      <c r="J2300">
        <f t="shared" si="70"/>
        <v>18</v>
      </c>
      <c r="K2300" t="str">
        <f t="shared" si="71"/>
        <v>Budget</v>
      </c>
    </row>
    <row r="2301" spans="2:11" x14ac:dyDescent="0.25">
      <c r="B2301" t="s">
        <v>58</v>
      </c>
      <c r="C2301">
        <v>2011</v>
      </c>
      <c r="D2301" s="1">
        <v>135000</v>
      </c>
      <c r="E2301">
        <v>78000</v>
      </c>
      <c r="F2301" t="s">
        <v>9</v>
      </c>
      <c r="G2301" t="s">
        <v>10</v>
      </c>
      <c r="H2301" t="s">
        <v>11</v>
      </c>
      <c r="I2301" t="s">
        <v>12</v>
      </c>
      <c r="J2301">
        <f t="shared" si="70"/>
        <v>15</v>
      </c>
      <c r="K2301" t="str">
        <f t="shared" si="71"/>
        <v>Budget</v>
      </c>
    </row>
    <row r="2302" spans="2:11" x14ac:dyDescent="0.25">
      <c r="B2302" t="s">
        <v>54</v>
      </c>
      <c r="C2302">
        <v>2011</v>
      </c>
      <c r="D2302" s="1">
        <v>170000</v>
      </c>
      <c r="E2302">
        <v>40000</v>
      </c>
      <c r="F2302" t="s">
        <v>9</v>
      </c>
      <c r="G2302" t="s">
        <v>10</v>
      </c>
      <c r="H2302" t="s">
        <v>11</v>
      </c>
      <c r="I2302" t="s">
        <v>18</v>
      </c>
      <c r="J2302">
        <f t="shared" si="70"/>
        <v>15</v>
      </c>
      <c r="K2302" t="str">
        <f t="shared" si="71"/>
        <v>Budget</v>
      </c>
    </row>
    <row r="2303" spans="2:11" x14ac:dyDescent="0.25">
      <c r="B2303" t="s">
        <v>474</v>
      </c>
      <c r="C2303">
        <v>2014</v>
      </c>
      <c r="D2303" s="1">
        <v>550000</v>
      </c>
      <c r="E2303">
        <v>100000</v>
      </c>
      <c r="F2303" t="s">
        <v>9</v>
      </c>
      <c r="G2303" t="s">
        <v>10</v>
      </c>
      <c r="H2303" t="s">
        <v>11</v>
      </c>
      <c r="I2303" t="s">
        <v>12</v>
      </c>
      <c r="J2303">
        <f t="shared" si="70"/>
        <v>12</v>
      </c>
      <c r="K2303" t="str">
        <f t="shared" si="71"/>
        <v>Mid Range</v>
      </c>
    </row>
    <row r="2304" spans="2:11" x14ac:dyDescent="0.25">
      <c r="B2304" t="s">
        <v>768</v>
      </c>
      <c r="C2304">
        <v>2009</v>
      </c>
      <c r="D2304" s="1">
        <v>250000</v>
      </c>
      <c r="E2304">
        <v>70000</v>
      </c>
      <c r="F2304" t="s">
        <v>9</v>
      </c>
      <c r="G2304" t="s">
        <v>10</v>
      </c>
      <c r="H2304" t="s">
        <v>11</v>
      </c>
      <c r="I2304" t="s">
        <v>49</v>
      </c>
      <c r="J2304">
        <f t="shared" si="70"/>
        <v>17</v>
      </c>
      <c r="K2304" t="str">
        <f t="shared" si="71"/>
        <v>Budget</v>
      </c>
    </row>
    <row r="2305" spans="2:11" x14ac:dyDescent="0.25">
      <c r="B2305" t="s">
        <v>1182</v>
      </c>
      <c r="C2305">
        <v>2014</v>
      </c>
      <c r="D2305" s="1">
        <v>650000</v>
      </c>
      <c r="E2305">
        <v>30000</v>
      </c>
      <c r="F2305" t="s">
        <v>15</v>
      </c>
      <c r="G2305" t="s">
        <v>10</v>
      </c>
      <c r="H2305" t="s">
        <v>11</v>
      </c>
      <c r="I2305" t="s">
        <v>18</v>
      </c>
      <c r="J2305">
        <f t="shared" si="70"/>
        <v>12</v>
      </c>
      <c r="K2305" t="str">
        <f t="shared" si="71"/>
        <v>Mid Range</v>
      </c>
    </row>
    <row r="2306" spans="2:11" x14ac:dyDescent="0.25">
      <c r="B2306" t="s">
        <v>1183</v>
      </c>
      <c r="C2306">
        <v>2008</v>
      </c>
      <c r="D2306" s="1">
        <v>210000</v>
      </c>
      <c r="E2306">
        <v>77000</v>
      </c>
      <c r="F2306" t="s">
        <v>9</v>
      </c>
      <c r="G2306" t="s">
        <v>10</v>
      </c>
      <c r="H2306" t="s">
        <v>28</v>
      </c>
      <c r="I2306" t="s">
        <v>49</v>
      </c>
      <c r="J2306">
        <f t="shared" si="70"/>
        <v>18</v>
      </c>
      <c r="K2306" t="str">
        <f t="shared" si="71"/>
        <v>Budget</v>
      </c>
    </row>
    <row r="2307" spans="2:11" x14ac:dyDescent="0.25">
      <c r="B2307" t="s">
        <v>370</v>
      </c>
      <c r="C2307">
        <v>2011</v>
      </c>
      <c r="D2307" s="1">
        <v>260000</v>
      </c>
      <c r="E2307">
        <v>150000</v>
      </c>
      <c r="F2307" t="s">
        <v>15</v>
      </c>
      <c r="G2307" t="s">
        <v>10</v>
      </c>
      <c r="H2307" t="s">
        <v>11</v>
      </c>
      <c r="I2307" t="s">
        <v>12</v>
      </c>
      <c r="J2307">
        <f t="shared" si="70"/>
        <v>15</v>
      </c>
      <c r="K2307" t="str">
        <f t="shared" si="71"/>
        <v>Budget</v>
      </c>
    </row>
    <row r="2308" spans="2:11" x14ac:dyDescent="0.25">
      <c r="B2308" t="s">
        <v>366</v>
      </c>
      <c r="C2308">
        <v>2016</v>
      </c>
      <c r="D2308" s="1">
        <v>750000</v>
      </c>
      <c r="E2308">
        <v>69000</v>
      </c>
      <c r="F2308" t="s">
        <v>15</v>
      </c>
      <c r="G2308" t="s">
        <v>10</v>
      </c>
      <c r="H2308" t="s">
        <v>11</v>
      </c>
      <c r="I2308" t="s">
        <v>12</v>
      </c>
      <c r="J2308">
        <f t="shared" si="70"/>
        <v>10</v>
      </c>
      <c r="K2308" t="str">
        <f t="shared" si="71"/>
        <v>Mid Range</v>
      </c>
    </row>
    <row r="2309" spans="2:11" x14ac:dyDescent="0.25">
      <c r="B2309" t="s">
        <v>1184</v>
      </c>
      <c r="C2309">
        <v>2016</v>
      </c>
      <c r="D2309" s="1">
        <v>1350000</v>
      </c>
      <c r="E2309">
        <v>120000</v>
      </c>
      <c r="F2309" t="s">
        <v>15</v>
      </c>
      <c r="G2309" t="s">
        <v>10</v>
      </c>
      <c r="H2309" t="s">
        <v>28</v>
      </c>
      <c r="I2309" t="s">
        <v>12</v>
      </c>
      <c r="J2309">
        <f t="shared" si="70"/>
        <v>10</v>
      </c>
      <c r="K2309" t="str">
        <f t="shared" si="71"/>
        <v>Premium</v>
      </c>
    </row>
    <row r="2310" spans="2:11" x14ac:dyDescent="0.25">
      <c r="B2310" t="s">
        <v>295</v>
      </c>
      <c r="C2310">
        <v>2012</v>
      </c>
      <c r="D2310" s="1">
        <v>220000</v>
      </c>
      <c r="E2310">
        <v>120000</v>
      </c>
      <c r="F2310" t="s">
        <v>15</v>
      </c>
      <c r="G2310" t="s">
        <v>10</v>
      </c>
      <c r="H2310" t="s">
        <v>11</v>
      </c>
      <c r="I2310" t="s">
        <v>18</v>
      </c>
      <c r="J2310">
        <f t="shared" ref="J2310:J2373" si="72">2026 - C2310</f>
        <v>14</v>
      </c>
      <c r="K2310" t="str">
        <f t="shared" ref="K2310:K2373" si="73">IF(D2310&lt;500000,"Budget",IF(D2310&lt;=1000000,"Mid Range","Premium"))</f>
        <v>Budget</v>
      </c>
    </row>
    <row r="2311" spans="2:11" x14ac:dyDescent="0.25">
      <c r="B2311" t="s">
        <v>148</v>
      </c>
      <c r="C2311">
        <v>2008</v>
      </c>
      <c r="D2311" s="1">
        <v>110000</v>
      </c>
      <c r="E2311">
        <v>110000</v>
      </c>
      <c r="F2311" t="s">
        <v>9</v>
      </c>
      <c r="G2311" t="s">
        <v>10</v>
      </c>
      <c r="H2311" t="s">
        <v>11</v>
      </c>
      <c r="I2311" t="s">
        <v>18</v>
      </c>
      <c r="J2311">
        <f t="shared" si="72"/>
        <v>18</v>
      </c>
      <c r="K2311" t="str">
        <f t="shared" si="73"/>
        <v>Budget</v>
      </c>
    </row>
    <row r="2312" spans="2:11" x14ac:dyDescent="0.25">
      <c r="B2312" t="s">
        <v>1059</v>
      </c>
      <c r="C2312">
        <v>2017</v>
      </c>
      <c r="D2312" s="1">
        <v>1230000</v>
      </c>
      <c r="E2312">
        <v>70000</v>
      </c>
      <c r="F2312" t="s">
        <v>15</v>
      </c>
      <c r="G2312" t="s">
        <v>10</v>
      </c>
      <c r="H2312" t="s">
        <v>28</v>
      </c>
      <c r="I2312" t="s">
        <v>12</v>
      </c>
      <c r="J2312">
        <f t="shared" si="72"/>
        <v>9</v>
      </c>
      <c r="K2312" t="str">
        <f t="shared" si="73"/>
        <v>Premium</v>
      </c>
    </row>
    <row r="2313" spans="2:11" x14ac:dyDescent="0.25">
      <c r="B2313" t="s">
        <v>732</v>
      </c>
      <c r="C2313">
        <v>2013</v>
      </c>
      <c r="D2313" s="1">
        <v>220000</v>
      </c>
      <c r="E2313">
        <v>110000</v>
      </c>
      <c r="F2313" t="s">
        <v>15</v>
      </c>
      <c r="G2313" t="s">
        <v>10</v>
      </c>
      <c r="H2313" t="s">
        <v>11</v>
      </c>
      <c r="I2313" t="s">
        <v>12</v>
      </c>
      <c r="J2313">
        <f t="shared" si="72"/>
        <v>13</v>
      </c>
      <c r="K2313" t="str">
        <f t="shared" si="73"/>
        <v>Budget</v>
      </c>
    </row>
    <row r="2314" spans="2:11" x14ac:dyDescent="0.25">
      <c r="B2314" t="s">
        <v>1185</v>
      </c>
      <c r="C2314">
        <v>2009</v>
      </c>
      <c r="D2314" s="1">
        <v>130000</v>
      </c>
      <c r="E2314">
        <v>50000</v>
      </c>
      <c r="F2314" t="s">
        <v>15</v>
      </c>
      <c r="G2314" t="s">
        <v>10</v>
      </c>
      <c r="H2314" t="s">
        <v>11</v>
      </c>
      <c r="I2314" t="s">
        <v>12</v>
      </c>
      <c r="J2314">
        <f t="shared" si="72"/>
        <v>17</v>
      </c>
      <c r="K2314" t="str">
        <f t="shared" si="73"/>
        <v>Budget</v>
      </c>
    </row>
    <row r="2315" spans="2:11" x14ac:dyDescent="0.25">
      <c r="B2315" t="s">
        <v>1186</v>
      </c>
      <c r="C2315">
        <v>2012</v>
      </c>
      <c r="D2315" s="1">
        <v>330000</v>
      </c>
      <c r="E2315">
        <v>44000</v>
      </c>
      <c r="F2315" t="s">
        <v>9</v>
      </c>
      <c r="G2315" t="s">
        <v>10</v>
      </c>
      <c r="H2315" t="s">
        <v>11</v>
      </c>
      <c r="I2315" t="s">
        <v>12</v>
      </c>
      <c r="J2315">
        <f t="shared" si="72"/>
        <v>14</v>
      </c>
      <c r="K2315" t="str">
        <f t="shared" si="73"/>
        <v>Budget</v>
      </c>
    </row>
    <row r="2316" spans="2:11" x14ac:dyDescent="0.25">
      <c r="B2316" t="s">
        <v>1104</v>
      </c>
      <c r="C2316">
        <v>2010</v>
      </c>
      <c r="D2316" s="1">
        <v>254999</v>
      </c>
      <c r="E2316">
        <v>90000</v>
      </c>
      <c r="F2316" t="s">
        <v>9</v>
      </c>
      <c r="G2316" t="s">
        <v>10</v>
      </c>
      <c r="H2316" t="s">
        <v>11</v>
      </c>
      <c r="I2316" t="s">
        <v>18</v>
      </c>
      <c r="J2316">
        <f t="shared" si="72"/>
        <v>16</v>
      </c>
      <c r="K2316" t="str">
        <f t="shared" si="73"/>
        <v>Budget</v>
      </c>
    </row>
    <row r="2317" spans="2:11" x14ac:dyDescent="0.25">
      <c r="B2317" t="s">
        <v>517</v>
      </c>
      <c r="C2317">
        <v>2014</v>
      </c>
      <c r="D2317" s="1">
        <v>600000</v>
      </c>
      <c r="E2317">
        <v>50000</v>
      </c>
      <c r="F2317" t="s">
        <v>9</v>
      </c>
      <c r="G2317" t="s">
        <v>10</v>
      </c>
      <c r="H2317" t="s">
        <v>11</v>
      </c>
      <c r="I2317" t="s">
        <v>18</v>
      </c>
      <c r="J2317">
        <f t="shared" si="72"/>
        <v>12</v>
      </c>
      <c r="K2317" t="str">
        <f t="shared" si="73"/>
        <v>Mid Range</v>
      </c>
    </row>
    <row r="2318" spans="2:11" x14ac:dyDescent="0.25">
      <c r="B2318" t="s">
        <v>426</v>
      </c>
      <c r="C2318">
        <v>2012</v>
      </c>
      <c r="D2318" s="1">
        <v>210000</v>
      </c>
      <c r="E2318">
        <v>50000</v>
      </c>
      <c r="F2318" t="s">
        <v>9</v>
      </c>
      <c r="G2318" t="s">
        <v>10</v>
      </c>
      <c r="H2318" t="s">
        <v>11</v>
      </c>
      <c r="I2318" t="s">
        <v>12</v>
      </c>
      <c r="J2318">
        <f t="shared" si="72"/>
        <v>14</v>
      </c>
      <c r="K2318" t="str">
        <f t="shared" si="73"/>
        <v>Budget</v>
      </c>
    </row>
    <row r="2319" spans="2:11" x14ac:dyDescent="0.25">
      <c r="B2319" t="s">
        <v>819</v>
      </c>
      <c r="C2319">
        <v>2014</v>
      </c>
      <c r="D2319" s="1">
        <v>300000</v>
      </c>
      <c r="E2319">
        <v>146000</v>
      </c>
      <c r="F2319" t="s">
        <v>15</v>
      </c>
      <c r="G2319" t="s">
        <v>10</v>
      </c>
      <c r="H2319" t="s">
        <v>11</v>
      </c>
      <c r="I2319" t="s">
        <v>12</v>
      </c>
      <c r="J2319">
        <f t="shared" si="72"/>
        <v>12</v>
      </c>
      <c r="K2319" t="str">
        <f t="shared" si="73"/>
        <v>Budget</v>
      </c>
    </row>
    <row r="2320" spans="2:11" x14ac:dyDescent="0.25">
      <c r="B2320" t="s">
        <v>1187</v>
      </c>
      <c r="C2320">
        <v>2018</v>
      </c>
      <c r="D2320" s="1">
        <v>426000</v>
      </c>
      <c r="E2320">
        <v>15000</v>
      </c>
      <c r="F2320" t="s">
        <v>9</v>
      </c>
      <c r="G2320" t="s">
        <v>10</v>
      </c>
      <c r="H2320" t="s">
        <v>28</v>
      </c>
      <c r="I2320" t="s">
        <v>12</v>
      </c>
      <c r="J2320">
        <f t="shared" si="72"/>
        <v>8</v>
      </c>
      <c r="K2320" t="str">
        <f t="shared" si="73"/>
        <v>Budget</v>
      </c>
    </row>
    <row r="2321" spans="2:11" x14ac:dyDescent="0.25">
      <c r="B2321" t="s">
        <v>170</v>
      </c>
      <c r="C2321">
        <v>2015</v>
      </c>
      <c r="D2321" s="1">
        <v>265000</v>
      </c>
      <c r="E2321">
        <v>60000</v>
      </c>
      <c r="F2321" t="s">
        <v>9</v>
      </c>
      <c r="G2321" t="s">
        <v>10</v>
      </c>
      <c r="H2321" t="s">
        <v>11</v>
      </c>
      <c r="I2321" t="s">
        <v>12</v>
      </c>
      <c r="J2321">
        <f t="shared" si="72"/>
        <v>11</v>
      </c>
      <c r="K2321" t="str">
        <f t="shared" si="73"/>
        <v>Budget</v>
      </c>
    </row>
    <row r="2322" spans="2:11" x14ac:dyDescent="0.25">
      <c r="B2322" t="s">
        <v>521</v>
      </c>
      <c r="C2322">
        <v>2016</v>
      </c>
      <c r="D2322" s="1">
        <v>450000</v>
      </c>
      <c r="E2322">
        <v>35000</v>
      </c>
      <c r="F2322" t="s">
        <v>9</v>
      </c>
      <c r="G2322" t="s">
        <v>10</v>
      </c>
      <c r="H2322" t="s">
        <v>11</v>
      </c>
      <c r="I2322" t="s">
        <v>18</v>
      </c>
      <c r="J2322">
        <f t="shared" si="72"/>
        <v>10</v>
      </c>
      <c r="K2322" t="str">
        <f t="shared" si="73"/>
        <v>Budget</v>
      </c>
    </row>
    <row r="2323" spans="2:11" x14ac:dyDescent="0.25">
      <c r="B2323" t="s">
        <v>14</v>
      </c>
      <c r="C2323">
        <v>2012</v>
      </c>
      <c r="D2323" s="1">
        <v>480000</v>
      </c>
      <c r="E2323">
        <v>80000</v>
      </c>
      <c r="F2323" t="s">
        <v>15</v>
      </c>
      <c r="G2323" t="s">
        <v>10</v>
      </c>
      <c r="H2323" t="s">
        <v>11</v>
      </c>
      <c r="I2323" t="s">
        <v>12</v>
      </c>
      <c r="J2323">
        <f t="shared" si="72"/>
        <v>14</v>
      </c>
      <c r="K2323" t="str">
        <f t="shared" si="73"/>
        <v>Budget</v>
      </c>
    </row>
    <row r="2324" spans="2:11" x14ac:dyDescent="0.25">
      <c r="B2324" t="s">
        <v>349</v>
      </c>
      <c r="C2324">
        <v>2010</v>
      </c>
      <c r="D2324" s="1">
        <v>40000</v>
      </c>
      <c r="E2324">
        <v>90000</v>
      </c>
      <c r="F2324" t="s">
        <v>9</v>
      </c>
      <c r="G2324" t="s">
        <v>10</v>
      </c>
      <c r="H2324" t="s">
        <v>11</v>
      </c>
      <c r="I2324" t="s">
        <v>12</v>
      </c>
      <c r="J2324">
        <f t="shared" si="72"/>
        <v>16</v>
      </c>
      <c r="K2324" t="str">
        <f t="shared" si="73"/>
        <v>Budget</v>
      </c>
    </row>
    <row r="2325" spans="2:11" x14ac:dyDescent="0.25">
      <c r="B2325" t="s">
        <v>1104</v>
      </c>
      <c r="C2325">
        <v>2011</v>
      </c>
      <c r="D2325" s="1">
        <v>395000</v>
      </c>
      <c r="E2325">
        <v>70000</v>
      </c>
      <c r="F2325" t="s">
        <v>9</v>
      </c>
      <c r="G2325" t="s">
        <v>10</v>
      </c>
      <c r="H2325" t="s">
        <v>11</v>
      </c>
      <c r="I2325" t="s">
        <v>18</v>
      </c>
      <c r="J2325">
        <f t="shared" si="72"/>
        <v>15</v>
      </c>
      <c r="K2325" t="str">
        <f t="shared" si="73"/>
        <v>Budget</v>
      </c>
    </row>
    <row r="2326" spans="2:11" x14ac:dyDescent="0.25">
      <c r="B2326" t="s">
        <v>54</v>
      </c>
      <c r="C2326">
        <v>2013</v>
      </c>
      <c r="D2326" s="1">
        <v>229999</v>
      </c>
      <c r="E2326">
        <v>62000</v>
      </c>
      <c r="F2326" t="s">
        <v>9</v>
      </c>
      <c r="G2326" t="s">
        <v>10</v>
      </c>
      <c r="H2326" t="s">
        <v>11</v>
      </c>
      <c r="I2326" t="s">
        <v>18</v>
      </c>
      <c r="J2326">
        <f t="shared" si="72"/>
        <v>13</v>
      </c>
      <c r="K2326" t="str">
        <f t="shared" si="73"/>
        <v>Budget</v>
      </c>
    </row>
    <row r="2327" spans="2:11" x14ac:dyDescent="0.25">
      <c r="B2327" t="s">
        <v>1188</v>
      </c>
      <c r="C2327">
        <v>2018</v>
      </c>
      <c r="D2327" s="1">
        <v>875000</v>
      </c>
      <c r="E2327">
        <v>10000</v>
      </c>
      <c r="F2327" t="s">
        <v>9</v>
      </c>
      <c r="G2327" t="s">
        <v>10</v>
      </c>
      <c r="H2327" t="s">
        <v>28</v>
      </c>
      <c r="I2327" t="s">
        <v>12</v>
      </c>
      <c r="J2327">
        <f t="shared" si="72"/>
        <v>8</v>
      </c>
      <c r="K2327" t="str">
        <f t="shared" si="73"/>
        <v>Mid Range</v>
      </c>
    </row>
    <row r="2328" spans="2:11" x14ac:dyDescent="0.25">
      <c r="B2328" t="s">
        <v>297</v>
      </c>
      <c r="C2328">
        <v>2010</v>
      </c>
      <c r="D2328" s="1">
        <v>170000</v>
      </c>
      <c r="E2328">
        <v>80000</v>
      </c>
      <c r="F2328" t="s">
        <v>24</v>
      </c>
      <c r="G2328" t="s">
        <v>10</v>
      </c>
      <c r="H2328" t="s">
        <v>11</v>
      </c>
      <c r="I2328" t="s">
        <v>46</v>
      </c>
      <c r="J2328">
        <f t="shared" si="72"/>
        <v>16</v>
      </c>
      <c r="K2328" t="str">
        <f t="shared" si="73"/>
        <v>Budget</v>
      </c>
    </row>
    <row r="2329" spans="2:11" x14ac:dyDescent="0.25">
      <c r="B2329" t="s">
        <v>429</v>
      </c>
      <c r="C2329">
        <v>2015</v>
      </c>
      <c r="D2329" s="1">
        <v>500000</v>
      </c>
      <c r="E2329">
        <v>35000</v>
      </c>
      <c r="F2329" t="s">
        <v>9</v>
      </c>
      <c r="G2329" t="s">
        <v>10</v>
      </c>
      <c r="H2329" t="s">
        <v>11</v>
      </c>
      <c r="I2329" t="s">
        <v>18</v>
      </c>
      <c r="J2329">
        <f t="shared" si="72"/>
        <v>11</v>
      </c>
      <c r="K2329" t="str">
        <f t="shared" si="73"/>
        <v>Mid Range</v>
      </c>
    </row>
    <row r="2330" spans="2:11" x14ac:dyDescent="0.25">
      <c r="B2330" t="s">
        <v>1189</v>
      </c>
      <c r="C2330">
        <v>2019</v>
      </c>
      <c r="D2330" s="1">
        <v>450000</v>
      </c>
      <c r="E2330">
        <v>40000</v>
      </c>
      <c r="F2330" t="s">
        <v>9</v>
      </c>
      <c r="G2330" t="s">
        <v>10</v>
      </c>
      <c r="H2330" t="s">
        <v>11</v>
      </c>
      <c r="I2330" t="s">
        <v>12</v>
      </c>
      <c r="J2330">
        <f t="shared" si="72"/>
        <v>7</v>
      </c>
      <c r="K2330" t="str">
        <f t="shared" si="73"/>
        <v>Budget</v>
      </c>
    </row>
    <row r="2331" spans="2:11" x14ac:dyDescent="0.25">
      <c r="B2331" t="s">
        <v>118</v>
      </c>
      <c r="C2331">
        <v>2012</v>
      </c>
      <c r="D2331" s="1">
        <v>550000</v>
      </c>
      <c r="E2331">
        <v>120000</v>
      </c>
      <c r="F2331" t="s">
        <v>15</v>
      </c>
      <c r="G2331" t="s">
        <v>10</v>
      </c>
      <c r="H2331" t="s">
        <v>11</v>
      </c>
      <c r="I2331" t="s">
        <v>49</v>
      </c>
      <c r="J2331">
        <f t="shared" si="72"/>
        <v>14</v>
      </c>
      <c r="K2331" t="str">
        <f t="shared" si="73"/>
        <v>Mid Range</v>
      </c>
    </row>
    <row r="2332" spans="2:11" x14ac:dyDescent="0.25">
      <c r="B2332" t="s">
        <v>1190</v>
      </c>
      <c r="C2332">
        <v>2013</v>
      </c>
      <c r="D2332" s="1">
        <v>200000</v>
      </c>
      <c r="E2332">
        <v>60000</v>
      </c>
      <c r="F2332" t="s">
        <v>9</v>
      </c>
      <c r="G2332" t="s">
        <v>10</v>
      </c>
      <c r="H2332" t="s">
        <v>11</v>
      </c>
      <c r="I2332" t="s">
        <v>12</v>
      </c>
      <c r="J2332">
        <f t="shared" si="72"/>
        <v>13</v>
      </c>
      <c r="K2332" t="str">
        <f t="shared" si="73"/>
        <v>Budget</v>
      </c>
    </row>
    <row r="2333" spans="2:11" x14ac:dyDescent="0.25">
      <c r="B2333" t="s">
        <v>504</v>
      </c>
      <c r="C2333">
        <v>2008</v>
      </c>
      <c r="D2333" s="1">
        <v>80000</v>
      </c>
      <c r="E2333">
        <v>90000</v>
      </c>
      <c r="F2333" t="s">
        <v>9</v>
      </c>
      <c r="G2333" t="s">
        <v>10</v>
      </c>
      <c r="H2333" t="s">
        <v>11</v>
      </c>
      <c r="I2333" t="s">
        <v>18</v>
      </c>
      <c r="J2333">
        <f t="shared" si="72"/>
        <v>18</v>
      </c>
      <c r="K2333" t="str">
        <f t="shared" si="73"/>
        <v>Budget</v>
      </c>
    </row>
    <row r="2334" spans="2:11" x14ac:dyDescent="0.25">
      <c r="B2334" t="s">
        <v>331</v>
      </c>
      <c r="C2334">
        <v>2010</v>
      </c>
      <c r="D2334" s="1">
        <v>300000</v>
      </c>
      <c r="E2334">
        <v>250000</v>
      </c>
      <c r="F2334" t="s">
        <v>15</v>
      </c>
      <c r="G2334" t="s">
        <v>10</v>
      </c>
      <c r="H2334" t="s">
        <v>11</v>
      </c>
      <c r="I2334" t="s">
        <v>18</v>
      </c>
      <c r="J2334">
        <f t="shared" si="72"/>
        <v>16</v>
      </c>
      <c r="K2334" t="str">
        <f t="shared" si="73"/>
        <v>Budget</v>
      </c>
    </row>
    <row r="2335" spans="2:11" x14ac:dyDescent="0.25">
      <c r="B2335" t="s">
        <v>1137</v>
      </c>
      <c r="C2335">
        <v>2019</v>
      </c>
      <c r="D2335" s="1">
        <v>675000</v>
      </c>
      <c r="E2335">
        <v>15000</v>
      </c>
      <c r="F2335" t="s">
        <v>15</v>
      </c>
      <c r="G2335" t="s">
        <v>10</v>
      </c>
      <c r="H2335" t="s">
        <v>11</v>
      </c>
      <c r="I2335" t="s">
        <v>12</v>
      </c>
      <c r="J2335">
        <f t="shared" si="72"/>
        <v>7</v>
      </c>
      <c r="K2335" t="str">
        <f t="shared" si="73"/>
        <v>Mid Range</v>
      </c>
    </row>
    <row r="2336" spans="2:11" x14ac:dyDescent="0.25">
      <c r="B2336" t="s">
        <v>177</v>
      </c>
      <c r="C2336">
        <v>2017</v>
      </c>
      <c r="D2336" s="1">
        <v>260000</v>
      </c>
      <c r="E2336">
        <v>30000</v>
      </c>
      <c r="F2336" t="s">
        <v>9</v>
      </c>
      <c r="G2336" t="s">
        <v>10</v>
      </c>
      <c r="H2336" t="s">
        <v>11</v>
      </c>
      <c r="I2336" t="s">
        <v>12</v>
      </c>
      <c r="J2336">
        <f t="shared" si="72"/>
        <v>9</v>
      </c>
      <c r="K2336" t="str">
        <f t="shared" si="73"/>
        <v>Budget</v>
      </c>
    </row>
    <row r="2337" spans="2:11" x14ac:dyDescent="0.25">
      <c r="B2337" t="s">
        <v>153</v>
      </c>
      <c r="C2337">
        <v>2001</v>
      </c>
      <c r="D2337" s="1">
        <v>70000</v>
      </c>
      <c r="E2337">
        <v>117000</v>
      </c>
      <c r="F2337" t="s">
        <v>9</v>
      </c>
      <c r="G2337" t="s">
        <v>10</v>
      </c>
      <c r="H2337" t="s">
        <v>11</v>
      </c>
      <c r="I2337" t="s">
        <v>18</v>
      </c>
      <c r="J2337">
        <f t="shared" si="72"/>
        <v>25</v>
      </c>
      <c r="K2337" t="str">
        <f t="shared" si="73"/>
        <v>Budget</v>
      </c>
    </row>
    <row r="2338" spans="2:11" x14ac:dyDescent="0.25">
      <c r="B2338" t="s">
        <v>172</v>
      </c>
      <c r="C2338">
        <v>2004</v>
      </c>
      <c r="D2338" s="1">
        <v>100000</v>
      </c>
      <c r="E2338">
        <v>70000</v>
      </c>
      <c r="F2338" t="s">
        <v>9</v>
      </c>
      <c r="G2338" t="s">
        <v>10</v>
      </c>
      <c r="H2338" t="s">
        <v>11</v>
      </c>
      <c r="I2338" t="s">
        <v>12</v>
      </c>
      <c r="J2338">
        <f t="shared" si="72"/>
        <v>22</v>
      </c>
      <c r="K2338" t="str">
        <f t="shared" si="73"/>
        <v>Budget</v>
      </c>
    </row>
    <row r="2339" spans="2:11" x14ac:dyDescent="0.25">
      <c r="B2339" t="s">
        <v>765</v>
      </c>
      <c r="C2339">
        <v>2012</v>
      </c>
      <c r="D2339" s="1">
        <v>730000</v>
      </c>
      <c r="E2339">
        <v>110000</v>
      </c>
      <c r="F2339" t="s">
        <v>15</v>
      </c>
      <c r="G2339" t="s">
        <v>10</v>
      </c>
      <c r="H2339" t="s">
        <v>11</v>
      </c>
      <c r="I2339" t="s">
        <v>18</v>
      </c>
      <c r="J2339">
        <f t="shared" si="72"/>
        <v>14</v>
      </c>
      <c r="K2339" t="str">
        <f t="shared" si="73"/>
        <v>Mid Range</v>
      </c>
    </row>
    <row r="2340" spans="2:11" x14ac:dyDescent="0.25">
      <c r="B2340" t="s">
        <v>675</v>
      </c>
      <c r="C2340">
        <v>2016</v>
      </c>
      <c r="D2340" s="1">
        <v>525000</v>
      </c>
      <c r="E2340">
        <v>100000</v>
      </c>
      <c r="F2340" t="s">
        <v>15</v>
      </c>
      <c r="G2340" t="s">
        <v>10</v>
      </c>
      <c r="H2340" t="s">
        <v>11</v>
      </c>
      <c r="I2340" t="s">
        <v>18</v>
      </c>
      <c r="J2340">
        <f t="shared" si="72"/>
        <v>10</v>
      </c>
      <c r="K2340" t="str">
        <f t="shared" si="73"/>
        <v>Mid Range</v>
      </c>
    </row>
    <row r="2341" spans="2:11" x14ac:dyDescent="0.25">
      <c r="B2341" t="s">
        <v>675</v>
      </c>
      <c r="C2341">
        <v>2016</v>
      </c>
      <c r="D2341" s="1">
        <v>525000</v>
      </c>
      <c r="E2341">
        <v>105000</v>
      </c>
      <c r="F2341" t="s">
        <v>15</v>
      </c>
      <c r="G2341" t="s">
        <v>10</v>
      </c>
      <c r="H2341" t="s">
        <v>11</v>
      </c>
      <c r="I2341" t="s">
        <v>18</v>
      </c>
      <c r="J2341">
        <f t="shared" si="72"/>
        <v>10</v>
      </c>
      <c r="K2341" t="str">
        <f t="shared" si="73"/>
        <v>Mid Range</v>
      </c>
    </row>
    <row r="2342" spans="2:11" x14ac:dyDescent="0.25">
      <c r="B2342" t="s">
        <v>213</v>
      </c>
      <c r="C2342">
        <v>2009</v>
      </c>
      <c r="D2342" s="1">
        <v>550000</v>
      </c>
      <c r="E2342">
        <v>182000</v>
      </c>
      <c r="F2342" t="s">
        <v>15</v>
      </c>
      <c r="G2342" t="s">
        <v>10</v>
      </c>
      <c r="H2342" t="s">
        <v>11</v>
      </c>
      <c r="I2342" t="s">
        <v>49</v>
      </c>
      <c r="J2342">
        <f t="shared" si="72"/>
        <v>17</v>
      </c>
      <c r="K2342" t="str">
        <f t="shared" si="73"/>
        <v>Mid Range</v>
      </c>
    </row>
    <row r="2343" spans="2:11" x14ac:dyDescent="0.25">
      <c r="B2343" t="s">
        <v>1191</v>
      </c>
      <c r="C2343">
        <v>2012</v>
      </c>
      <c r="D2343" s="1">
        <v>420000</v>
      </c>
      <c r="E2343">
        <v>95000</v>
      </c>
      <c r="F2343" t="s">
        <v>15</v>
      </c>
      <c r="G2343" t="s">
        <v>10</v>
      </c>
      <c r="H2343" t="s">
        <v>11</v>
      </c>
      <c r="I2343" t="s">
        <v>18</v>
      </c>
      <c r="J2343">
        <f t="shared" si="72"/>
        <v>14</v>
      </c>
      <c r="K2343" t="str">
        <f t="shared" si="73"/>
        <v>Budget</v>
      </c>
    </row>
    <row r="2344" spans="2:11" x14ac:dyDescent="0.25">
      <c r="B2344" t="s">
        <v>465</v>
      </c>
      <c r="C2344">
        <v>2015</v>
      </c>
      <c r="D2344" s="1">
        <v>500000</v>
      </c>
      <c r="E2344">
        <v>70000</v>
      </c>
      <c r="F2344" t="s">
        <v>9</v>
      </c>
      <c r="G2344" t="s">
        <v>10</v>
      </c>
      <c r="H2344" t="s">
        <v>11</v>
      </c>
      <c r="I2344" t="s">
        <v>12</v>
      </c>
      <c r="J2344">
        <f t="shared" si="72"/>
        <v>11</v>
      </c>
      <c r="K2344" t="str">
        <f t="shared" si="73"/>
        <v>Mid Range</v>
      </c>
    </row>
    <row r="2345" spans="2:11" x14ac:dyDescent="0.25">
      <c r="B2345" t="s">
        <v>13</v>
      </c>
      <c r="C2345">
        <v>2009</v>
      </c>
      <c r="D2345" s="1">
        <v>165000</v>
      </c>
      <c r="E2345">
        <v>76000</v>
      </c>
      <c r="F2345" t="s">
        <v>9</v>
      </c>
      <c r="G2345" t="s">
        <v>10</v>
      </c>
      <c r="H2345" t="s">
        <v>11</v>
      </c>
      <c r="I2345" t="s">
        <v>18</v>
      </c>
      <c r="J2345">
        <f t="shared" si="72"/>
        <v>17</v>
      </c>
      <c r="K2345" t="str">
        <f t="shared" si="73"/>
        <v>Budget</v>
      </c>
    </row>
    <row r="2346" spans="2:11" x14ac:dyDescent="0.25">
      <c r="B2346" t="s">
        <v>14</v>
      </c>
      <c r="C2346">
        <v>2014</v>
      </c>
      <c r="D2346" s="1">
        <v>650000</v>
      </c>
      <c r="E2346">
        <v>70000</v>
      </c>
      <c r="F2346" t="s">
        <v>15</v>
      </c>
      <c r="G2346" t="s">
        <v>10</v>
      </c>
      <c r="H2346" t="s">
        <v>11</v>
      </c>
      <c r="I2346" t="s">
        <v>18</v>
      </c>
      <c r="J2346">
        <f t="shared" si="72"/>
        <v>12</v>
      </c>
      <c r="K2346" t="str">
        <f t="shared" si="73"/>
        <v>Mid Range</v>
      </c>
    </row>
    <row r="2347" spans="2:11" x14ac:dyDescent="0.25">
      <c r="B2347" t="s">
        <v>185</v>
      </c>
      <c r="C2347">
        <v>2013</v>
      </c>
      <c r="D2347" s="1">
        <v>195000</v>
      </c>
      <c r="E2347">
        <v>46000</v>
      </c>
      <c r="F2347" t="s">
        <v>15</v>
      </c>
      <c r="G2347" t="s">
        <v>10</v>
      </c>
      <c r="H2347" t="s">
        <v>11</v>
      </c>
      <c r="I2347" t="s">
        <v>12</v>
      </c>
      <c r="J2347">
        <f t="shared" si="72"/>
        <v>13</v>
      </c>
      <c r="K2347" t="str">
        <f t="shared" si="73"/>
        <v>Budget</v>
      </c>
    </row>
    <row r="2348" spans="2:11" x14ac:dyDescent="0.25">
      <c r="B2348" t="s">
        <v>120</v>
      </c>
      <c r="C2348">
        <v>1999</v>
      </c>
      <c r="D2348" s="1">
        <v>75000</v>
      </c>
      <c r="E2348">
        <v>70000</v>
      </c>
      <c r="F2348" t="s">
        <v>9</v>
      </c>
      <c r="G2348" t="s">
        <v>10</v>
      </c>
      <c r="H2348" t="s">
        <v>11</v>
      </c>
      <c r="I2348" t="s">
        <v>12</v>
      </c>
      <c r="J2348">
        <f t="shared" si="72"/>
        <v>27</v>
      </c>
      <c r="K2348" t="str">
        <f t="shared" si="73"/>
        <v>Budget</v>
      </c>
    </row>
    <row r="2349" spans="2:11" x14ac:dyDescent="0.25">
      <c r="B2349" t="s">
        <v>879</v>
      </c>
      <c r="C2349">
        <v>2006</v>
      </c>
      <c r="D2349" s="1">
        <v>90000</v>
      </c>
      <c r="E2349">
        <v>90000</v>
      </c>
      <c r="F2349" t="s">
        <v>9</v>
      </c>
      <c r="G2349" t="s">
        <v>10</v>
      </c>
      <c r="H2349" t="s">
        <v>11</v>
      </c>
      <c r="I2349" t="s">
        <v>12</v>
      </c>
      <c r="J2349">
        <f t="shared" si="72"/>
        <v>20</v>
      </c>
      <c r="K2349" t="str">
        <f t="shared" si="73"/>
        <v>Budget</v>
      </c>
    </row>
    <row r="2350" spans="2:11" x14ac:dyDescent="0.25">
      <c r="B2350" t="s">
        <v>292</v>
      </c>
      <c r="C2350">
        <v>2016</v>
      </c>
      <c r="D2350" s="1">
        <v>515000</v>
      </c>
      <c r="E2350">
        <v>50000</v>
      </c>
      <c r="F2350" t="s">
        <v>15</v>
      </c>
      <c r="G2350" t="s">
        <v>10</v>
      </c>
      <c r="H2350" t="s">
        <v>11</v>
      </c>
      <c r="I2350" t="s">
        <v>12</v>
      </c>
      <c r="J2350">
        <f t="shared" si="72"/>
        <v>10</v>
      </c>
      <c r="K2350" t="str">
        <f t="shared" si="73"/>
        <v>Mid Range</v>
      </c>
    </row>
    <row r="2351" spans="2:11" x14ac:dyDescent="0.25">
      <c r="B2351" t="s">
        <v>630</v>
      </c>
      <c r="C2351">
        <v>2017</v>
      </c>
      <c r="D2351" s="1">
        <v>700000</v>
      </c>
      <c r="E2351">
        <v>24585</v>
      </c>
      <c r="F2351" t="s">
        <v>15</v>
      </c>
      <c r="G2351" t="s">
        <v>27</v>
      </c>
      <c r="H2351" t="s">
        <v>11</v>
      </c>
      <c r="I2351" t="s">
        <v>911</v>
      </c>
      <c r="J2351">
        <f t="shared" si="72"/>
        <v>9</v>
      </c>
      <c r="K2351" t="str">
        <f t="shared" si="73"/>
        <v>Mid Range</v>
      </c>
    </row>
    <row r="2352" spans="2:11" x14ac:dyDescent="0.25">
      <c r="B2352" t="s">
        <v>120</v>
      </c>
      <c r="C2352">
        <v>2001</v>
      </c>
      <c r="D2352" s="1">
        <v>62000</v>
      </c>
      <c r="E2352">
        <v>70000</v>
      </c>
      <c r="F2352" t="s">
        <v>9</v>
      </c>
      <c r="G2352" t="s">
        <v>10</v>
      </c>
      <c r="H2352" t="s">
        <v>11</v>
      </c>
      <c r="I2352" t="s">
        <v>12</v>
      </c>
      <c r="J2352">
        <f t="shared" si="72"/>
        <v>25</v>
      </c>
      <c r="K2352" t="str">
        <f t="shared" si="73"/>
        <v>Budget</v>
      </c>
    </row>
    <row r="2353" spans="2:11" x14ac:dyDescent="0.25">
      <c r="B2353" t="s">
        <v>396</v>
      </c>
      <c r="C2353">
        <v>2011</v>
      </c>
      <c r="D2353" s="1">
        <v>220000</v>
      </c>
      <c r="E2353">
        <v>110000</v>
      </c>
      <c r="F2353" t="s">
        <v>15</v>
      </c>
      <c r="G2353" t="s">
        <v>10</v>
      </c>
      <c r="H2353" t="s">
        <v>11</v>
      </c>
      <c r="I2353" t="s">
        <v>49</v>
      </c>
      <c r="J2353">
        <f t="shared" si="72"/>
        <v>15</v>
      </c>
      <c r="K2353" t="str">
        <f t="shared" si="73"/>
        <v>Budget</v>
      </c>
    </row>
    <row r="2354" spans="2:11" x14ac:dyDescent="0.25">
      <c r="B2354" t="s">
        <v>1192</v>
      </c>
      <c r="C2354">
        <v>2019</v>
      </c>
      <c r="D2354" s="1">
        <v>520000</v>
      </c>
      <c r="E2354">
        <v>10000</v>
      </c>
      <c r="F2354" t="s">
        <v>24</v>
      </c>
      <c r="G2354" t="s">
        <v>10</v>
      </c>
      <c r="H2354" t="s">
        <v>11</v>
      </c>
      <c r="I2354" t="s">
        <v>12</v>
      </c>
      <c r="J2354">
        <f t="shared" si="72"/>
        <v>7</v>
      </c>
      <c r="K2354" t="str">
        <f t="shared" si="73"/>
        <v>Mid Range</v>
      </c>
    </row>
    <row r="2355" spans="2:11" x14ac:dyDescent="0.25">
      <c r="B2355" t="s">
        <v>1193</v>
      </c>
      <c r="C2355">
        <v>2010</v>
      </c>
      <c r="D2355" s="1">
        <v>170000</v>
      </c>
      <c r="E2355">
        <v>100000</v>
      </c>
      <c r="F2355" t="s">
        <v>9</v>
      </c>
      <c r="G2355" t="s">
        <v>10</v>
      </c>
      <c r="H2355" t="s">
        <v>11</v>
      </c>
      <c r="I2355" t="s">
        <v>12</v>
      </c>
      <c r="J2355">
        <f t="shared" si="72"/>
        <v>16</v>
      </c>
      <c r="K2355" t="str">
        <f t="shared" si="73"/>
        <v>Budget</v>
      </c>
    </row>
    <row r="2356" spans="2:11" x14ac:dyDescent="0.25">
      <c r="B2356" t="s">
        <v>180</v>
      </c>
      <c r="C2356">
        <v>2011</v>
      </c>
      <c r="D2356" s="1">
        <v>190000</v>
      </c>
      <c r="E2356">
        <v>110000</v>
      </c>
      <c r="F2356" t="s">
        <v>15</v>
      </c>
      <c r="G2356" t="s">
        <v>10</v>
      </c>
      <c r="H2356" t="s">
        <v>11</v>
      </c>
      <c r="I2356" t="s">
        <v>18</v>
      </c>
      <c r="J2356">
        <f t="shared" si="72"/>
        <v>15</v>
      </c>
      <c r="K2356" t="str">
        <f t="shared" si="73"/>
        <v>Budget</v>
      </c>
    </row>
    <row r="2357" spans="2:11" x14ac:dyDescent="0.25">
      <c r="B2357" t="s">
        <v>180</v>
      </c>
      <c r="C2357">
        <v>2011</v>
      </c>
      <c r="D2357" s="1">
        <v>150000</v>
      </c>
      <c r="E2357">
        <v>100000</v>
      </c>
      <c r="F2357" t="s">
        <v>15</v>
      </c>
      <c r="G2357" t="s">
        <v>10</v>
      </c>
      <c r="H2357" t="s">
        <v>11</v>
      </c>
      <c r="I2357" t="s">
        <v>18</v>
      </c>
      <c r="J2357">
        <f t="shared" si="72"/>
        <v>15</v>
      </c>
      <c r="K2357" t="str">
        <f t="shared" si="73"/>
        <v>Budget</v>
      </c>
    </row>
    <row r="2358" spans="2:11" x14ac:dyDescent="0.25">
      <c r="B2358" t="s">
        <v>1194</v>
      </c>
      <c r="C2358">
        <v>2009</v>
      </c>
      <c r="D2358" s="1">
        <v>125000</v>
      </c>
      <c r="E2358">
        <v>65000</v>
      </c>
      <c r="F2358" t="s">
        <v>9</v>
      </c>
      <c r="G2358" t="s">
        <v>10</v>
      </c>
      <c r="H2358" t="s">
        <v>11</v>
      </c>
      <c r="I2358" t="s">
        <v>12</v>
      </c>
      <c r="J2358">
        <f t="shared" si="72"/>
        <v>17</v>
      </c>
      <c r="K2358" t="str">
        <f t="shared" si="73"/>
        <v>Budget</v>
      </c>
    </row>
    <row r="2359" spans="2:11" x14ac:dyDescent="0.25">
      <c r="B2359" t="s">
        <v>394</v>
      </c>
      <c r="C2359">
        <v>2015</v>
      </c>
      <c r="D2359" s="1">
        <v>290000</v>
      </c>
      <c r="E2359">
        <v>40000</v>
      </c>
      <c r="F2359" t="s">
        <v>15</v>
      </c>
      <c r="G2359" t="s">
        <v>10</v>
      </c>
      <c r="H2359" t="s">
        <v>11</v>
      </c>
      <c r="I2359" t="s">
        <v>49</v>
      </c>
      <c r="J2359">
        <f t="shared" si="72"/>
        <v>11</v>
      </c>
      <c r="K2359" t="str">
        <f t="shared" si="73"/>
        <v>Budget</v>
      </c>
    </row>
    <row r="2360" spans="2:11" x14ac:dyDescent="0.25">
      <c r="B2360" t="s">
        <v>1195</v>
      </c>
      <c r="C2360">
        <v>2019</v>
      </c>
      <c r="D2360" s="1">
        <v>490000</v>
      </c>
      <c r="E2360">
        <v>13900</v>
      </c>
      <c r="F2360" t="s">
        <v>9</v>
      </c>
      <c r="G2360" t="s">
        <v>10</v>
      </c>
      <c r="H2360" t="s">
        <v>11</v>
      </c>
      <c r="I2360" t="s">
        <v>12</v>
      </c>
      <c r="J2360">
        <f t="shared" si="72"/>
        <v>7</v>
      </c>
      <c r="K2360" t="str">
        <f t="shared" si="73"/>
        <v>Budget</v>
      </c>
    </row>
    <row r="2361" spans="2:11" x14ac:dyDescent="0.25">
      <c r="B2361" t="s">
        <v>1144</v>
      </c>
      <c r="C2361">
        <v>2017</v>
      </c>
      <c r="D2361" s="1">
        <v>434999</v>
      </c>
      <c r="E2361">
        <v>17563</v>
      </c>
      <c r="F2361" t="s">
        <v>9</v>
      </c>
      <c r="G2361" t="s">
        <v>10</v>
      </c>
      <c r="H2361" t="s">
        <v>11</v>
      </c>
      <c r="I2361" t="s">
        <v>12</v>
      </c>
      <c r="J2361">
        <f t="shared" si="72"/>
        <v>9</v>
      </c>
      <c r="K2361" t="str">
        <f t="shared" si="73"/>
        <v>Budget</v>
      </c>
    </row>
    <row r="2362" spans="2:11" x14ac:dyDescent="0.25">
      <c r="B2362" t="s">
        <v>542</v>
      </c>
      <c r="C2362">
        <v>2016</v>
      </c>
      <c r="D2362" s="1">
        <v>380000</v>
      </c>
      <c r="E2362">
        <v>15000</v>
      </c>
      <c r="F2362" t="s">
        <v>9</v>
      </c>
      <c r="G2362" t="s">
        <v>10</v>
      </c>
      <c r="H2362" t="s">
        <v>11</v>
      </c>
      <c r="I2362" t="s">
        <v>12</v>
      </c>
      <c r="J2362">
        <f t="shared" si="72"/>
        <v>10</v>
      </c>
      <c r="K2362" t="str">
        <f t="shared" si="73"/>
        <v>Budget</v>
      </c>
    </row>
    <row r="2363" spans="2:11" x14ac:dyDescent="0.25">
      <c r="B2363" t="s">
        <v>361</v>
      </c>
      <c r="C2363">
        <v>2012</v>
      </c>
      <c r="D2363" s="1">
        <v>200000</v>
      </c>
      <c r="E2363">
        <v>82000</v>
      </c>
      <c r="F2363" t="s">
        <v>15</v>
      </c>
      <c r="G2363" t="s">
        <v>10</v>
      </c>
      <c r="H2363" t="s">
        <v>11</v>
      </c>
      <c r="I2363" t="s">
        <v>18</v>
      </c>
      <c r="J2363">
        <f t="shared" si="72"/>
        <v>14</v>
      </c>
      <c r="K2363" t="str">
        <f t="shared" si="73"/>
        <v>Budget</v>
      </c>
    </row>
    <row r="2364" spans="2:11" x14ac:dyDescent="0.25">
      <c r="B2364" t="s">
        <v>1196</v>
      </c>
      <c r="C2364">
        <v>2016</v>
      </c>
      <c r="D2364" s="1">
        <v>495000</v>
      </c>
      <c r="E2364">
        <v>40000</v>
      </c>
      <c r="F2364" t="s">
        <v>15</v>
      </c>
      <c r="G2364" t="s">
        <v>10</v>
      </c>
      <c r="H2364" t="s">
        <v>11</v>
      </c>
      <c r="I2364" t="s">
        <v>12</v>
      </c>
      <c r="J2364">
        <f t="shared" si="72"/>
        <v>10</v>
      </c>
      <c r="K2364" t="str">
        <f t="shared" si="73"/>
        <v>Budget</v>
      </c>
    </row>
    <row r="2365" spans="2:11" x14ac:dyDescent="0.25">
      <c r="B2365" t="s">
        <v>852</v>
      </c>
      <c r="C2365">
        <v>2014</v>
      </c>
      <c r="D2365" s="1">
        <v>894999</v>
      </c>
      <c r="E2365">
        <v>173000</v>
      </c>
      <c r="F2365" t="s">
        <v>15</v>
      </c>
      <c r="G2365" t="s">
        <v>10</v>
      </c>
      <c r="H2365" t="s">
        <v>11</v>
      </c>
      <c r="I2365" t="s">
        <v>49</v>
      </c>
      <c r="J2365">
        <f t="shared" si="72"/>
        <v>12</v>
      </c>
      <c r="K2365" t="str">
        <f t="shared" si="73"/>
        <v>Mid Range</v>
      </c>
    </row>
    <row r="2366" spans="2:11" x14ac:dyDescent="0.25">
      <c r="B2366" t="s">
        <v>195</v>
      </c>
      <c r="C2366">
        <v>2014</v>
      </c>
      <c r="D2366" s="1">
        <v>600000</v>
      </c>
      <c r="E2366">
        <v>151000</v>
      </c>
      <c r="F2366" t="s">
        <v>15</v>
      </c>
      <c r="G2366" t="s">
        <v>10</v>
      </c>
      <c r="H2366" t="s">
        <v>11</v>
      </c>
      <c r="I2366" t="s">
        <v>18</v>
      </c>
      <c r="J2366">
        <f t="shared" si="72"/>
        <v>12</v>
      </c>
      <c r="K2366" t="str">
        <f t="shared" si="73"/>
        <v>Mid Range</v>
      </c>
    </row>
    <row r="2367" spans="2:11" x14ac:dyDescent="0.25">
      <c r="B2367" t="s">
        <v>87</v>
      </c>
      <c r="C2367">
        <v>2015</v>
      </c>
      <c r="D2367" s="1">
        <v>300000</v>
      </c>
      <c r="E2367">
        <v>50000</v>
      </c>
      <c r="F2367" t="s">
        <v>9</v>
      </c>
      <c r="G2367" t="s">
        <v>10</v>
      </c>
      <c r="H2367" t="s">
        <v>11</v>
      </c>
      <c r="I2367" t="s">
        <v>12</v>
      </c>
      <c r="J2367">
        <f t="shared" si="72"/>
        <v>11</v>
      </c>
      <c r="K2367" t="str">
        <f t="shared" si="73"/>
        <v>Budget</v>
      </c>
    </row>
    <row r="2368" spans="2:11" x14ac:dyDescent="0.25">
      <c r="B2368" t="s">
        <v>982</v>
      </c>
      <c r="C2368">
        <v>2017</v>
      </c>
      <c r="D2368" s="1">
        <v>430000</v>
      </c>
      <c r="E2368">
        <v>15000</v>
      </c>
      <c r="F2368" t="s">
        <v>9</v>
      </c>
      <c r="G2368" t="s">
        <v>10</v>
      </c>
      <c r="H2368" t="s">
        <v>11</v>
      </c>
      <c r="I2368" t="s">
        <v>12</v>
      </c>
      <c r="J2368">
        <f t="shared" si="72"/>
        <v>9</v>
      </c>
      <c r="K2368" t="str">
        <f t="shared" si="73"/>
        <v>Budget</v>
      </c>
    </row>
    <row r="2369" spans="2:11" x14ac:dyDescent="0.25">
      <c r="B2369" t="s">
        <v>1197</v>
      </c>
      <c r="C2369">
        <v>2017</v>
      </c>
      <c r="D2369" s="1">
        <v>370000</v>
      </c>
      <c r="E2369">
        <v>80000</v>
      </c>
      <c r="F2369" t="s">
        <v>15</v>
      </c>
      <c r="G2369" t="s">
        <v>10</v>
      </c>
      <c r="H2369" t="s">
        <v>11</v>
      </c>
      <c r="I2369" t="s">
        <v>12</v>
      </c>
      <c r="J2369">
        <f t="shared" si="72"/>
        <v>9</v>
      </c>
      <c r="K2369" t="str">
        <f t="shared" si="73"/>
        <v>Budget</v>
      </c>
    </row>
    <row r="2370" spans="2:11" x14ac:dyDescent="0.25">
      <c r="B2370" t="s">
        <v>909</v>
      </c>
      <c r="C2370">
        <v>2019</v>
      </c>
      <c r="D2370" s="1">
        <v>750000</v>
      </c>
      <c r="E2370">
        <v>11000</v>
      </c>
      <c r="F2370" t="s">
        <v>9</v>
      </c>
      <c r="G2370" t="s">
        <v>10</v>
      </c>
      <c r="H2370" t="s">
        <v>11</v>
      </c>
      <c r="I2370" t="s">
        <v>12</v>
      </c>
      <c r="J2370">
        <f t="shared" si="72"/>
        <v>7</v>
      </c>
      <c r="K2370" t="str">
        <f t="shared" si="73"/>
        <v>Mid Range</v>
      </c>
    </row>
    <row r="2371" spans="2:11" x14ac:dyDescent="0.25">
      <c r="B2371" t="s">
        <v>1198</v>
      </c>
      <c r="C2371">
        <v>2016</v>
      </c>
      <c r="D2371" s="1">
        <v>300000</v>
      </c>
      <c r="E2371">
        <v>50000</v>
      </c>
      <c r="F2371" t="s">
        <v>24</v>
      </c>
      <c r="G2371" t="s">
        <v>10</v>
      </c>
      <c r="H2371" t="s">
        <v>11</v>
      </c>
      <c r="I2371" t="s">
        <v>12</v>
      </c>
      <c r="J2371">
        <f t="shared" si="72"/>
        <v>10</v>
      </c>
      <c r="K2371" t="str">
        <f t="shared" si="73"/>
        <v>Budget</v>
      </c>
    </row>
    <row r="2372" spans="2:11" x14ac:dyDescent="0.25">
      <c r="B2372" t="s">
        <v>1145</v>
      </c>
      <c r="C2372">
        <v>2012</v>
      </c>
      <c r="D2372" s="1">
        <v>700000</v>
      </c>
      <c r="E2372">
        <v>120000</v>
      </c>
      <c r="F2372" t="s">
        <v>15</v>
      </c>
      <c r="G2372" t="s">
        <v>10</v>
      </c>
      <c r="H2372" t="s">
        <v>28</v>
      </c>
      <c r="I2372" t="s">
        <v>18</v>
      </c>
      <c r="J2372">
        <f t="shared" si="72"/>
        <v>14</v>
      </c>
      <c r="K2372" t="str">
        <f t="shared" si="73"/>
        <v>Mid Range</v>
      </c>
    </row>
    <row r="2373" spans="2:11" x14ac:dyDescent="0.25">
      <c r="B2373" t="s">
        <v>950</v>
      </c>
      <c r="C2373">
        <v>2007</v>
      </c>
      <c r="D2373" s="1">
        <v>100000</v>
      </c>
      <c r="E2373">
        <v>70000</v>
      </c>
      <c r="F2373" t="s">
        <v>152</v>
      </c>
      <c r="G2373" t="s">
        <v>10</v>
      </c>
      <c r="H2373" t="s">
        <v>11</v>
      </c>
      <c r="I2373" t="s">
        <v>49</v>
      </c>
      <c r="J2373">
        <f t="shared" si="72"/>
        <v>19</v>
      </c>
      <c r="K2373" t="str">
        <f t="shared" si="73"/>
        <v>Budget</v>
      </c>
    </row>
    <row r="2374" spans="2:11" x14ac:dyDescent="0.25">
      <c r="B2374" t="s">
        <v>289</v>
      </c>
      <c r="C2374">
        <v>2015</v>
      </c>
      <c r="D2374" s="1">
        <v>300000</v>
      </c>
      <c r="E2374">
        <v>90000</v>
      </c>
      <c r="F2374" t="s">
        <v>9</v>
      </c>
      <c r="G2374" t="s">
        <v>10</v>
      </c>
      <c r="H2374" t="s">
        <v>11</v>
      </c>
      <c r="I2374" t="s">
        <v>12</v>
      </c>
      <c r="J2374">
        <f t="shared" ref="J2374:J2437" si="74">2026 - C2374</f>
        <v>11</v>
      </c>
      <c r="K2374" t="str">
        <f t="shared" ref="K2374:K2437" si="75">IF(D2374&lt;500000,"Budget",IF(D2374&lt;=1000000,"Mid Range","Premium"))</f>
        <v>Budget</v>
      </c>
    </row>
    <row r="2375" spans="2:11" x14ac:dyDescent="0.25">
      <c r="B2375" t="s">
        <v>438</v>
      </c>
      <c r="C2375">
        <v>2012</v>
      </c>
      <c r="D2375" s="1">
        <v>130000</v>
      </c>
      <c r="E2375">
        <v>185000</v>
      </c>
      <c r="F2375" t="s">
        <v>15</v>
      </c>
      <c r="G2375" t="s">
        <v>10</v>
      </c>
      <c r="H2375" t="s">
        <v>11</v>
      </c>
      <c r="I2375" t="s">
        <v>18</v>
      </c>
      <c r="J2375">
        <f t="shared" si="74"/>
        <v>14</v>
      </c>
      <c r="K2375" t="str">
        <f t="shared" si="75"/>
        <v>Budget</v>
      </c>
    </row>
    <row r="2376" spans="2:11" x14ac:dyDescent="0.25">
      <c r="B2376" t="s">
        <v>755</v>
      </c>
      <c r="C2376">
        <v>2016</v>
      </c>
      <c r="D2376" s="1">
        <v>650000</v>
      </c>
      <c r="E2376">
        <v>40000</v>
      </c>
      <c r="F2376" t="s">
        <v>15</v>
      </c>
      <c r="G2376" t="s">
        <v>10</v>
      </c>
      <c r="H2376" t="s">
        <v>11</v>
      </c>
      <c r="I2376" t="s">
        <v>12</v>
      </c>
      <c r="J2376">
        <f t="shared" si="74"/>
        <v>10</v>
      </c>
      <c r="K2376" t="str">
        <f t="shared" si="75"/>
        <v>Mid Range</v>
      </c>
    </row>
    <row r="2377" spans="2:11" x14ac:dyDescent="0.25">
      <c r="B2377" t="s">
        <v>162</v>
      </c>
      <c r="C2377">
        <v>2017</v>
      </c>
      <c r="D2377" s="1">
        <v>509999</v>
      </c>
      <c r="E2377">
        <v>25000</v>
      </c>
      <c r="F2377" t="s">
        <v>15</v>
      </c>
      <c r="G2377" t="s">
        <v>10</v>
      </c>
      <c r="H2377" t="s">
        <v>11</v>
      </c>
      <c r="I2377" t="s">
        <v>12</v>
      </c>
      <c r="J2377">
        <f t="shared" si="74"/>
        <v>9</v>
      </c>
      <c r="K2377" t="str">
        <f t="shared" si="75"/>
        <v>Mid Range</v>
      </c>
    </row>
    <row r="2378" spans="2:11" x14ac:dyDescent="0.25">
      <c r="B2378" t="s">
        <v>765</v>
      </c>
      <c r="C2378">
        <v>2013</v>
      </c>
      <c r="D2378" s="1">
        <v>1000000</v>
      </c>
      <c r="E2378">
        <v>117780</v>
      </c>
      <c r="F2378" t="s">
        <v>15</v>
      </c>
      <c r="G2378" t="s">
        <v>10</v>
      </c>
      <c r="H2378" t="s">
        <v>11</v>
      </c>
      <c r="I2378" t="s">
        <v>18</v>
      </c>
      <c r="J2378">
        <f t="shared" si="74"/>
        <v>13</v>
      </c>
      <c r="K2378" t="str">
        <f t="shared" si="75"/>
        <v>Mid Range</v>
      </c>
    </row>
    <row r="2379" spans="2:11" x14ac:dyDescent="0.25">
      <c r="B2379" t="s">
        <v>1199</v>
      </c>
      <c r="C2379">
        <v>2010</v>
      </c>
      <c r="D2379" s="1">
        <v>280000</v>
      </c>
      <c r="E2379">
        <v>120000</v>
      </c>
      <c r="F2379" t="s">
        <v>15</v>
      </c>
      <c r="G2379" t="s">
        <v>10</v>
      </c>
      <c r="H2379" t="s">
        <v>11</v>
      </c>
      <c r="I2379" t="s">
        <v>18</v>
      </c>
      <c r="J2379">
        <f t="shared" si="74"/>
        <v>16</v>
      </c>
      <c r="K2379" t="str">
        <f t="shared" si="75"/>
        <v>Budget</v>
      </c>
    </row>
    <row r="2380" spans="2:11" x14ac:dyDescent="0.25">
      <c r="B2380" t="s">
        <v>1200</v>
      </c>
      <c r="C2380">
        <v>2017</v>
      </c>
      <c r="D2380" s="1">
        <v>600000</v>
      </c>
      <c r="E2380">
        <v>120000</v>
      </c>
      <c r="F2380" t="s">
        <v>15</v>
      </c>
      <c r="G2380" t="s">
        <v>10</v>
      </c>
      <c r="H2380" t="s">
        <v>11</v>
      </c>
      <c r="I2380" t="s">
        <v>12</v>
      </c>
      <c r="J2380">
        <f t="shared" si="74"/>
        <v>9</v>
      </c>
      <c r="K2380" t="str">
        <f t="shared" si="75"/>
        <v>Mid Range</v>
      </c>
    </row>
    <row r="2381" spans="2:11" x14ac:dyDescent="0.25">
      <c r="B2381" t="s">
        <v>1201</v>
      </c>
      <c r="C2381">
        <v>2013</v>
      </c>
      <c r="D2381" s="1">
        <v>210000</v>
      </c>
      <c r="E2381">
        <v>120000</v>
      </c>
      <c r="F2381" t="s">
        <v>15</v>
      </c>
      <c r="G2381" t="s">
        <v>10</v>
      </c>
      <c r="H2381" t="s">
        <v>11</v>
      </c>
      <c r="I2381" t="s">
        <v>49</v>
      </c>
      <c r="J2381">
        <f t="shared" si="74"/>
        <v>13</v>
      </c>
      <c r="K2381" t="str">
        <f t="shared" si="75"/>
        <v>Budget</v>
      </c>
    </row>
    <row r="2382" spans="2:11" x14ac:dyDescent="0.25">
      <c r="B2382" t="s">
        <v>643</v>
      </c>
      <c r="C2382">
        <v>2014</v>
      </c>
      <c r="D2382" s="1">
        <v>1150000</v>
      </c>
      <c r="E2382">
        <v>110000</v>
      </c>
      <c r="F2382" t="s">
        <v>15</v>
      </c>
      <c r="G2382" t="s">
        <v>10</v>
      </c>
      <c r="H2382" t="s">
        <v>28</v>
      </c>
      <c r="I2382" t="s">
        <v>18</v>
      </c>
      <c r="J2382">
        <f t="shared" si="74"/>
        <v>12</v>
      </c>
      <c r="K2382" t="str">
        <f t="shared" si="75"/>
        <v>Premium</v>
      </c>
    </row>
    <row r="2383" spans="2:11" x14ac:dyDescent="0.25">
      <c r="B2383" t="s">
        <v>68</v>
      </c>
      <c r="C2383">
        <v>2018</v>
      </c>
      <c r="D2383" s="1">
        <v>245000</v>
      </c>
      <c r="E2383">
        <v>30000</v>
      </c>
      <c r="F2383" t="s">
        <v>9</v>
      </c>
      <c r="G2383" t="s">
        <v>10</v>
      </c>
      <c r="H2383" t="s">
        <v>11</v>
      </c>
      <c r="I2383" t="s">
        <v>12</v>
      </c>
      <c r="J2383">
        <f t="shared" si="74"/>
        <v>8</v>
      </c>
      <c r="K2383" t="str">
        <f t="shared" si="75"/>
        <v>Budget</v>
      </c>
    </row>
    <row r="2384" spans="2:11" x14ac:dyDescent="0.25">
      <c r="B2384" t="s">
        <v>289</v>
      </c>
      <c r="C2384">
        <v>2016</v>
      </c>
      <c r="D2384" s="1">
        <v>375000</v>
      </c>
      <c r="E2384">
        <v>25000</v>
      </c>
      <c r="F2384" t="s">
        <v>9</v>
      </c>
      <c r="G2384" t="s">
        <v>10</v>
      </c>
      <c r="H2384" t="s">
        <v>11</v>
      </c>
      <c r="I2384" t="s">
        <v>12</v>
      </c>
      <c r="J2384">
        <f t="shared" si="74"/>
        <v>10</v>
      </c>
      <c r="K2384" t="str">
        <f t="shared" si="75"/>
        <v>Budget</v>
      </c>
    </row>
    <row r="2385" spans="2:11" x14ac:dyDescent="0.25">
      <c r="B2385" t="s">
        <v>51</v>
      </c>
      <c r="C2385">
        <v>2015</v>
      </c>
      <c r="D2385" s="1">
        <v>150000</v>
      </c>
      <c r="E2385">
        <v>55000</v>
      </c>
      <c r="F2385" t="s">
        <v>15</v>
      </c>
      <c r="G2385" t="s">
        <v>10</v>
      </c>
      <c r="H2385" t="s">
        <v>11</v>
      </c>
      <c r="I2385" t="s">
        <v>18</v>
      </c>
      <c r="J2385">
        <f t="shared" si="74"/>
        <v>11</v>
      </c>
      <c r="K2385" t="str">
        <f t="shared" si="75"/>
        <v>Budget</v>
      </c>
    </row>
    <row r="2386" spans="2:11" x14ac:dyDescent="0.25">
      <c r="B2386" t="s">
        <v>945</v>
      </c>
      <c r="C2386">
        <v>2018</v>
      </c>
      <c r="D2386" s="1">
        <v>1450000</v>
      </c>
      <c r="E2386">
        <v>20000</v>
      </c>
      <c r="F2386" t="s">
        <v>15</v>
      </c>
      <c r="G2386" t="s">
        <v>10</v>
      </c>
      <c r="H2386" t="s">
        <v>11</v>
      </c>
      <c r="I2386" t="s">
        <v>12</v>
      </c>
      <c r="J2386">
        <f t="shared" si="74"/>
        <v>8</v>
      </c>
      <c r="K2386" t="str">
        <f t="shared" si="75"/>
        <v>Premium</v>
      </c>
    </row>
    <row r="2387" spans="2:11" x14ac:dyDescent="0.25">
      <c r="B2387" t="s">
        <v>118</v>
      </c>
      <c r="C2387">
        <v>2014</v>
      </c>
      <c r="D2387" s="1">
        <v>500000</v>
      </c>
      <c r="E2387">
        <v>100000</v>
      </c>
      <c r="F2387" t="s">
        <v>15</v>
      </c>
      <c r="G2387" t="s">
        <v>10</v>
      </c>
      <c r="H2387" t="s">
        <v>11</v>
      </c>
      <c r="I2387" t="s">
        <v>18</v>
      </c>
      <c r="J2387">
        <f t="shared" si="74"/>
        <v>12</v>
      </c>
      <c r="K2387" t="str">
        <f t="shared" si="75"/>
        <v>Mid Range</v>
      </c>
    </row>
    <row r="2388" spans="2:11" x14ac:dyDescent="0.25">
      <c r="B2388" t="s">
        <v>58</v>
      </c>
      <c r="C2388">
        <v>2007</v>
      </c>
      <c r="D2388" s="1">
        <v>75000</v>
      </c>
      <c r="E2388">
        <v>40000</v>
      </c>
      <c r="F2388" t="s">
        <v>9</v>
      </c>
      <c r="G2388" t="s">
        <v>10</v>
      </c>
      <c r="H2388" t="s">
        <v>11</v>
      </c>
      <c r="I2388" t="s">
        <v>18</v>
      </c>
      <c r="J2388">
        <f t="shared" si="74"/>
        <v>19</v>
      </c>
      <c r="K2388" t="str">
        <f t="shared" si="75"/>
        <v>Budget</v>
      </c>
    </row>
    <row r="2389" spans="2:11" x14ac:dyDescent="0.25">
      <c r="B2389" t="s">
        <v>1202</v>
      </c>
      <c r="C2389">
        <v>2006</v>
      </c>
      <c r="D2389" s="1">
        <v>225000</v>
      </c>
      <c r="E2389">
        <v>80000</v>
      </c>
      <c r="F2389" t="s">
        <v>9</v>
      </c>
      <c r="G2389" t="s">
        <v>10</v>
      </c>
      <c r="H2389" t="s">
        <v>28</v>
      </c>
      <c r="I2389" t="s">
        <v>49</v>
      </c>
      <c r="J2389">
        <f t="shared" si="74"/>
        <v>20</v>
      </c>
      <c r="K2389" t="str">
        <f t="shared" si="75"/>
        <v>Budget</v>
      </c>
    </row>
    <row r="2390" spans="2:11" x14ac:dyDescent="0.25">
      <c r="B2390" t="s">
        <v>1203</v>
      </c>
      <c r="C2390">
        <v>2006</v>
      </c>
      <c r="D2390" s="1">
        <v>275000</v>
      </c>
      <c r="E2390">
        <v>80000</v>
      </c>
      <c r="F2390" t="s">
        <v>9</v>
      </c>
      <c r="G2390" t="s">
        <v>10</v>
      </c>
      <c r="H2390" t="s">
        <v>28</v>
      </c>
      <c r="I2390" t="s">
        <v>46</v>
      </c>
      <c r="J2390">
        <f t="shared" si="74"/>
        <v>20</v>
      </c>
      <c r="K2390" t="str">
        <f t="shared" si="75"/>
        <v>Budget</v>
      </c>
    </row>
    <row r="2391" spans="2:11" x14ac:dyDescent="0.25">
      <c r="B2391" t="s">
        <v>105</v>
      </c>
      <c r="C2391">
        <v>2018</v>
      </c>
      <c r="D2391" s="1">
        <v>620000</v>
      </c>
      <c r="E2391">
        <v>35000</v>
      </c>
      <c r="F2391" t="s">
        <v>15</v>
      </c>
      <c r="G2391" t="s">
        <v>10</v>
      </c>
      <c r="H2391" t="s">
        <v>11</v>
      </c>
      <c r="I2391" t="s">
        <v>12</v>
      </c>
      <c r="J2391">
        <f t="shared" si="74"/>
        <v>8</v>
      </c>
      <c r="K2391" t="str">
        <f t="shared" si="75"/>
        <v>Mid Range</v>
      </c>
    </row>
    <row r="2392" spans="2:11" x14ac:dyDescent="0.25">
      <c r="B2392" t="s">
        <v>1204</v>
      </c>
      <c r="C2392">
        <v>2010</v>
      </c>
      <c r="D2392" s="1">
        <v>600000</v>
      </c>
      <c r="E2392">
        <v>110000</v>
      </c>
      <c r="F2392" t="s">
        <v>15</v>
      </c>
      <c r="G2392" t="s">
        <v>10</v>
      </c>
      <c r="H2392" t="s">
        <v>11</v>
      </c>
      <c r="I2392" t="s">
        <v>18</v>
      </c>
      <c r="J2392">
        <f t="shared" si="74"/>
        <v>16</v>
      </c>
      <c r="K2392" t="str">
        <f t="shared" si="75"/>
        <v>Mid Range</v>
      </c>
    </row>
    <row r="2393" spans="2:11" x14ac:dyDescent="0.25">
      <c r="B2393" t="s">
        <v>1205</v>
      </c>
      <c r="C2393">
        <v>2011</v>
      </c>
      <c r="D2393" s="1">
        <v>275000</v>
      </c>
      <c r="E2393">
        <v>160000</v>
      </c>
      <c r="F2393" t="s">
        <v>15</v>
      </c>
      <c r="G2393" t="s">
        <v>10</v>
      </c>
      <c r="H2393" t="s">
        <v>11</v>
      </c>
      <c r="I2393" t="s">
        <v>12</v>
      </c>
      <c r="J2393">
        <f t="shared" si="74"/>
        <v>15</v>
      </c>
      <c r="K2393" t="str">
        <f t="shared" si="75"/>
        <v>Budget</v>
      </c>
    </row>
    <row r="2394" spans="2:11" x14ac:dyDescent="0.25">
      <c r="B2394" t="s">
        <v>1040</v>
      </c>
      <c r="C2394">
        <v>2013</v>
      </c>
      <c r="D2394" s="1">
        <v>125000</v>
      </c>
      <c r="E2394">
        <v>125000</v>
      </c>
      <c r="F2394" t="s">
        <v>15</v>
      </c>
      <c r="G2394" t="s">
        <v>10</v>
      </c>
      <c r="H2394" t="s">
        <v>11</v>
      </c>
      <c r="I2394" t="s">
        <v>12</v>
      </c>
      <c r="J2394">
        <f t="shared" si="74"/>
        <v>13</v>
      </c>
      <c r="K2394" t="str">
        <f t="shared" si="75"/>
        <v>Budget</v>
      </c>
    </row>
    <row r="2395" spans="2:11" x14ac:dyDescent="0.25">
      <c r="B2395" t="s">
        <v>1206</v>
      </c>
      <c r="C2395">
        <v>2011</v>
      </c>
      <c r="D2395" s="1">
        <v>80000</v>
      </c>
      <c r="E2395">
        <v>62000</v>
      </c>
      <c r="F2395" t="s">
        <v>9</v>
      </c>
      <c r="G2395" t="s">
        <v>10</v>
      </c>
      <c r="H2395" t="s">
        <v>11</v>
      </c>
      <c r="I2395" t="s">
        <v>18</v>
      </c>
      <c r="J2395">
        <f t="shared" si="74"/>
        <v>15</v>
      </c>
      <c r="K2395" t="str">
        <f t="shared" si="75"/>
        <v>Budget</v>
      </c>
    </row>
    <row r="2396" spans="2:11" x14ac:dyDescent="0.25">
      <c r="B2396" t="s">
        <v>1207</v>
      </c>
      <c r="C2396">
        <v>2011</v>
      </c>
      <c r="D2396" s="1">
        <v>199000</v>
      </c>
      <c r="E2396">
        <v>120000</v>
      </c>
      <c r="F2396" t="s">
        <v>15</v>
      </c>
      <c r="G2396" t="s">
        <v>10</v>
      </c>
      <c r="H2396" t="s">
        <v>11</v>
      </c>
      <c r="I2396" t="s">
        <v>18</v>
      </c>
      <c r="J2396">
        <f t="shared" si="74"/>
        <v>15</v>
      </c>
      <c r="K2396" t="str">
        <f t="shared" si="75"/>
        <v>Budget</v>
      </c>
    </row>
    <row r="2397" spans="2:11" x14ac:dyDescent="0.25">
      <c r="B2397" t="s">
        <v>187</v>
      </c>
      <c r="C2397">
        <v>2016</v>
      </c>
      <c r="D2397" s="1">
        <v>440000</v>
      </c>
      <c r="E2397">
        <v>33000</v>
      </c>
      <c r="F2397" t="s">
        <v>9</v>
      </c>
      <c r="G2397" t="s">
        <v>10</v>
      </c>
      <c r="H2397" t="s">
        <v>11</v>
      </c>
      <c r="I2397" t="s">
        <v>18</v>
      </c>
      <c r="J2397">
        <f t="shared" si="74"/>
        <v>10</v>
      </c>
      <c r="K2397" t="str">
        <f t="shared" si="75"/>
        <v>Budget</v>
      </c>
    </row>
    <row r="2398" spans="2:11" x14ac:dyDescent="0.25">
      <c r="B2398" t="s">
        <v>514</v>
      </c>
      <c r="C2398">
        <v>2013</v>
      </c>
      <c r="D2398" s="1">
        <v>250000</v>
      </c>
      <c r="E2398">
        <v>80000</v>
      </c>
      <c r="F2398" t="s">
        <v>15</v>
      </c>
      <c r="G2398" t="s">
        <v>10</v>
      </c>
      <c r="H2398" t="s">
        <v>11</v>
      </c>
      <c r="I2398" t="s">
        <v>46</v>
      </c>
      <c r="J2398">
        <f t="shared" si="74"/>
        <v>13</v>
      </c>
      <c r="K2398" t="str">
        <f t="shared" si="75"/>
        <v>Budget</v>
      </c>
    </row>
    <row r="2399" spans="2:11" x14ac:dyDescent="0.25">
      <c r="B2399" t="s">
        <v>233</v>
      </c>
      <c r="C2399">
        <v>2017</v>
      </c>
      <c r="D2399" s="1">
        <v>700000</v>
      </c>
      <c r="E2399">
        <v>35000</v>
      </c>
      <c r="F2399" t="s">
        <v>15</v>
      </c>
      <c r="G2399" t="s">
        <v>10</v>
      </c>
      <c r="H2399" t="s">
        <v>11</v>
      </c>
      <c r="I2399" t="s">
        <v>12</v>
      </c>
      <c r="J2399">
        <f t="shared" si="74"/>
        <v>9</v>
      </c>
      <c r="K2399" t="str">
        <f t="shared" si="75"/>
        <v>Mid Range</v>
      </c>
    </row>
    <row r="2400" spans="2:11" x14ac:dyDescent="0.25">
      <c r="B2400" t="s">
        <v>1208</v>
      </c>
      <c r="C2400">
        <v>2015</v>
      </c>
      <c r="D2400" s="1">
        <v>450000</v>
      </c>
      <c r="E2400">
        <v>50000</v>
      </c>
      <c r="F2400" t="s">
        <v>15</v>
      </c>
      <c r="G2400" t="s">
        <v>10</v>
      </c>
      <c r="H2400" t="s">
        <v>11</v>
      </c>
      <c r="I2400" t="s">
        <v>12</v>
      </c>
      <c r="J2400">
        <f t="shared" si="74"/>
        <v>11</v>
      </c>
      <c r="K2400" t="str">
        <f t="shared" si="75"/>
        <v>Budget</v>
      </c>
    </row>
    <row r="2401" spans="2:11" x14ac:dyDescent="0.25">
      <c r="B2401" t="s">
        <v>1209</v>
      </c>
      <c r="C2401">
        <v>2019</v>
      </c>
      <c r="D2401" s="1">
        <v>240000</v>
      </c>
      <c r="E2401">
        <v>5000</v>
      </c>
      <c r="F2401" t="s">
        <v>9</v>
      </c>
      <c r="G2401" t="s">
        <v>10</v>
      </c>
      <c r="H2401" t="s">
        <v>11</v>
      </c>
      <c r="I2401" t="s">
        <v>12</v>
      </c>
      <c r="J2401">
        <f t="shared" si="74"/>
        <v>7</v>
      </c>
      <c r="K2401" t="str">
        <f t="shared" si="75"/>
        <v>Budget</v>
      </c>
    </row>
    <row r="2402" spans="2:11" x14ac:dyDescent="0.25">
      <c r="B2402" t="s">
        <v>381</v>
      </c>
      <c r="C2402">
        <v>2016</v>
      </c>
      <c r="D2402" s="1">
        <v>650000</v>
      </c>
      <c r="E2402">
        <v>81595</v>
      </c>
      <c r="F2402" t="s">
        <v>15</v>
      </c>
      <c r="G2402" t="s">
        <v>27</v>
      </c>
      <c r="H2402" t="s">
        <v>11</v>
      </c>
      <c r="I2402" t="s">
        <v>12</v>
      </c>
      <c r="J2402">
        <f t="shared" si="74"/>
        <v>10</v>
      </c>
      <c r="K2402" t="str">
        <f t="shared" si="75"/>
        <v>Mid Range</v>
      </c>
    </row>
    <row r="2403" spans="2:11" x14ac:dyDescent="0.25">
      <c r="B2403" t="s">
        <v>1210</v>
      </c>
      <c r="C2403">
        <v>2005</v>
      </c>
      <c r="D2403" s="1">
        <v>71000</v>
      </c>
      <c r="E2403">
        <v>22000</v>
      </c>
      <c r="F2403" t="s">
        <v>9</v>
      </c>
      <c r="G2403" t="s">
        <v>10</v>
      </c>
      <c r="H2403" t="s">
        <v>11</v>
      </c>
      <c r="I2403" t="s">
        <v>12</v>
      </c>
      <c r="J2403">
        <f t="shared" si="74"/>
        <v>21</v>
      </c>
      <c r="K2403" t="str">
        <f t="shared" si="75"/>
        <v>Budget</v>
      </c>
    </row>
    <row r="2404" spans="2:11" x14ac:dyDescent="0.25">
      <c r="B2404" t="s">
        <v>964</v>
      </c>
      <c r="C2404">
        <v>2015</v>
      </c>
      <c r="D2404" s="1">
        <v>400000</v>
      </c>
      <c r="E2404">
        <v>40000</v>
      </c>
      <c r="F2404" t="s">
        <v>9</v>
      </c>
      <c r="G2404" t="s">
        <v>10</v>
      </c>
      <c r="H2404" t="s">
        <v>11</v>
      </c>
      <c r="I2404" t="s">
        <v>12</v>
      </c>
      <c r="J2404">
        <f t="shared" si="74"/>
        <v>11</v>
      </c>
      <c r="K2404" t="str">
        <f t="shared" si="75"/>
        <v>Budget</v>
      </c>
    </row>
    <row r="2405" spans="2:11" x14ac:dyDescent="0.25">
      <c r="B2405" t="s">
        <v>211</v>
      </c>
      <c r="C2405">
        <v>2008</v>
      </c>
      <c r="D2405" s="1">
        <v>130000</v>
      </c>
      <c r="E2405">
        <v>40000</v>
      </c>
      <c r="F2405" t="s">
        <v>9</v>
      </c>
      <c r="G2405" t="s">
        <v>10</v>
      </c>
      <c r="H2405" t="s">
        <v>11</v>
      </c>
      <c r="I2405" t="s">
        <v>18</v>
      </c>
      <c r="J2405">
        <f t="shared" si="74"/>
        <v>18</v>
      </c>
      <c r="K2405" t="str">
        <f t="shared" si="75"/>
        <v>Budget</v>
      </c>
    </row>
    <row r="2406" spans="2:11" x14ac:dyDescent="0.25">
      <c r="B2406" t="s">
        <v>439</v>
      </c>
      <c r="C2406">
        <v>2013</v>
      </c>
      <c r="D2406" s="1">
        <v>300000</v>
      </c>
      <c r="E2406">
        <v>70000</v>
      </c>
      <c r="F2406" t="s">
        <v>15</v>
      </c>
      <c r="G2406" t="s">
        <v>10</v>
      </c>
      <c r="H2406" t="s">
        <v>11</v>
      </c>
      <c r="I2406" t="s">
        <v>18</v>
      </c>
      <c r="J2406">
        <f t="shared" si="74"/>
        <v>13</v>
      </c>
      <c r="K2406" t="str">
        <f t="shared" si="75"/>
        <v>Budget</v>
      </c>
    </row>
    <row r="2407" spans="2:11" x14ac:dyDescent="0.25">
      <c r="B2407" t="s">
        <v>1211</v>
      </c>
      <c r="C2407">
        <v>2019</v>
      </c>
      <c r="D2407" s="1">
        <v>1100000</v>
      </c>
      <c r="E2407">
        <v>4000</v>
      </c>
      <c r="F2407" t="s">
        <v>15</v>
      </c>
      <c r="G2407" t="s">
        <v>10</v>
      </c>
      <c r="H2407" t="s">
        <v>11</v>
      </c>
      <c r="I2407" t="s">
        <v>12</v>
      </c>
      <c r="J2407">
        <f t="shared" si="74"/>
        <v>7</v>
      </c>
      <c r="K2407" t="str">
        <f t="shared" si="75"/>
        <v>Premium</v>
      </c>
    </row>
    <row r="2408" spans="2:11" x14ac:dyDescent="0.25">
      <c r="B2408" t="s">
        <v>417</v>
      </c>
      <c r="C2408">
        <v>2015</v>
      </c>
      <c r="D2408" s="1">
        <v>2200000</v>
      </c>
      <c r="E2408">
        <v>24000</v>
      </c>
      <c r="F2408" t="s">
        <v>15</v>
      </c>
      <c r="G2408" t="s">
        <v>10</v>
      </c>
      <c r="H2408" t="s">
        <v>28</v>
      </c>
      <c r="I2408" t="s">
        <v>12</v>
      </c>
      <c r="J2408">
        <f t="shared" si="74"/>
        <v>11</v>
      </c>
      <c r="K2408" t="str">
        <f t="shared" si="75"/>
        <v>Premium</v>
      </c>
    </row>
    <row r="2409" spans="2:11" x14ac:dyDescent="0.25">
      <c r="B2409" t="s">
        <v>639</v>
      </c>
      <c r="C2409">
        <v>2018</v>
      </c>
      <c r="D2409" s="1">
        <v>800000</v>
      </c>
      <c r="E2409">
        <v>13500</v>
      </c>
      <c r="F2409" t="s">
        <v>9</v>
      </c>
      <c r="G2409" t="s">
        <v>27</v>
      </c>
      <c r="H2409" t="s">
        <v>11</v>
      </c>
      <c r="I2409" t="s">
        <v>12</v>
      </c>
      <c r="J2409">
        <f t="shared" si="74"/>
        <v>8</v>
      </c>
      <c r="K2409" t="str">
        <f t="shared" si="75"/>
        <v>Mid Range</v>
      </c>
    </row>
    <row r="2410" spans="2:11" x14ac:dyDescent="0.25">
      <c r="B2410" t="s">
        <v>1212</v>
      </c>
      <c r="C2410">
        <v>2013</v>
      </c>
      <c r="D2410" s="1">
        <v>490000</v>
      </c>
      <c r="E2410">
        <v>40000</v>
      </c>
      <c r="F2410" t="s">
        <v>15</v>
      </c>
      <c r="G2410" t="s">
        <v>10</v>
      </c>
      <c r="H2410" t="s">
        <v>11</v>
      </c>
      <c r="I2410" t="s">
        <v>12</v>
      </c>
      <c r="J2410">
        <f t="shared" si="74"/>
        <v>13</v>
      </c>
      <c r="K2410" t="str">
        <f t="shared" si="75"/>
        <v>Budget</v>
      </c>
    </row>
    <row r="2411" spans="2:11" x14ac:dyDescent="0.25">
      <c r="B2411" t="s">
        <v>1140</v>
      </c>
      <c r="C2411">
        <v>2018</v>
      </c>
      <c r="D2411" s="1">
        <v>836000</v>
      </c>
      <c r="E2411">
        <v>9700</v>
      </c>
      <c r="F2411" t="s">
        <v>9</v>
      </c>
      <c r="G2411" t="s">
        <v>27</v>
      </c>
      <c r="H2411" t="s">
        <v>11</v>
      </c>
      <c r="I2411" t="s">
        <v>12</v>
      </c>
      <c r="J2411">
        <f t="shared" si="74"/>
        <v>8</v>
      </c>
      <c r="K2411" t="str">
        <f t="shared" si="75"/>
        <v>Mid Range</v>
      </c>
    </row>
    <row r="2412" spans="2:11" x14ac:dyDescent="0.25">
      <c r="B2412" t="s">
        <v>291</v>
      </c>
      <c r="C2412">
        <v>2012</v>
      </c>
      <c r="D2412" s="1">
        <v>375000</v>
      </c>
      <c r="E2412">
        <v>62000</v>
      </c>
      <c r="F2412" t="s">
        <v>9</v>
      </c>
      <c r="G2412" t="s">
        <v>10</v>
      </c>
      <c r="H2412" t="s">
        <v>11</v>
      </c>
      <c r="I2412" t="s">
        <v>18</v>
      </c>
      <c r="J2412">
        <f t="shared" si="74"/>
        <v>14</v>
      </c>
      <c r="K2412" t="str">
        <f t="shared" si="75"/>
        <v>Budget</v>
      </c>
    </row>
    <row r="2413" spans="2:11" x14ac:dyDescent="0.25">
      <c r="B2413" t="s">
        <v>1050</v>
      </c>
      <c r="C2413">
        <v>2016</v>
      </c>
      <c r="D2413" s="1">
        <v>1249000</v>
      </c>
      <c r="E2413">
        <v>24000</v>
      </c>
      <c r="F2413" t="s">
        <v>15</v>
      </c>
      <c r="G2413" t="s">
        <v>27</v>
      </c>
      <c r="H2413" t="s">
        <v>11</v>
      </c>
      <c r="I2413" t="s">
        <v>12</v>
      </c>
      <c r="J2413">
        <f t="shared" si="74"/>
        <v>10</v>
      </c>
      <c r="K2413" t="str">
        <f t="shared" si="75"/>
        <v>Premium</v>
      </c>
    </row>
    <row r="2414" spans="2:11" x14ac:dyDescent="0.25">
      <c r="B2414" t="s">
        <v>771</v>
      </c>
      <c r="C2414">
        <v>2019</v>
      </c>
      <c r="D2414" s="1">
        <v>1240000</v>
      </c>
      <c r="E2414">
        <v>13000</v>
      </c>
      <c r="F2414" t="s">
        <v>15</v>
      </c>
      <c r="G2414" t="s">
        <v>27</v>
      </c>
      <c r="H2414" t="s">
        <v>11</v>
      </c>
      <c r="I2414" t="s">
        <v>12</v>
      </c>
      <c r="J2414">
        <f t="shared" si="74"/>
        <v>7</v>
      </c>
      <c r="K2414" t="str">
        <f t="shared" si="75"/>
        <v>Premium</v>
      </c>
    </row>
    <row r="2415" spans="2:11" x14ac:dyDescent="0.25">
      <c r="B2415" t="s">
        <v>1213</v>
      </c>
      <c r="C2415">
        <v>2009</v>
      </c>
      <c r="D2415" s="1">
        <v>35000</v>
      </c>
      <c r="E2415">
        <v>50000</v>
      </c>
      <c r="F2415" t="s">
        <v>9</v>
      </c>
      <c r="G2415" t="s">
        <v>10</v>
      </c>
      <c r="H2415" t="s">
        <v>11</v>
      </c>
      <c r="I2415" t="s">
        <v>49</v>
      </c>
      <c r="J2415">
        <f t="shared" si="74"/>
        <v>17</v>
      </c>
      <c r="K2415" t="str">
        <f t="shared" si="75"/>
        <v>Budget</v>
      </c>
    </row>
    <row r="2416" spans="2:11" x14ac:dyDescent="0.25">
      <c r="B2416" t="s">
        <v>1030</v>
      </c>
      <c r="C2416">
        <v>2017</v>
      </c>
      <c r="D2416" s="1">
        <v>1068000</v>
      </c>
      <c r="E2416">
        <v>36000</v>
      </c>
      <c r="F2416" t="s">
        <v>9</v>
      </c>
      <c r="G2416" t="s">
        <v>27</v>
      </c>
      <c r="H2416" t="s">
        <v>11</v>
      </c>
      <c r="I2416" t="s">
        <v>12</v>
      </c>
      <c r="J2416">
        <f t="shared" si="74"/>
        <v>9</v>
      </c>
      <c r="K2416" t="str">
        <f t="shared" si="75"/>
        <v>Premium</v>
      </c>
    </row>
    <row r="2417" spans="2:11" x14ac:dyDescent="0.25">
      <c r="B2417" t="s">
        <v>1050</v>
      </c>
      <c r="C2417">
        <v>2017</v>
      </c>
      <c r="D2417" s="1">
        <v>1189000</v>
      </c>
      <c r="E2417">
        <v>40000</v>
      </c>
      <c r="F2417" t="s">
        <v>15</v>
      </c>
      <c r="G2417" t="s">
        <v>27</v>
      </c>
      <c r="H2417" t="s">
        <v>11</v>
      </c>
      <c r="I2417" t="s">
        <v>12</v>
      </c>
      <c r="J2417">
        <f t="shared" si="74"/>
        <v>9</v>
      </c>
      <c r="K2417" t="str">
        <f t="shared" si="75"/>
        <v>Premium</v>
      </c>
    </row>
    <row r="2418" spans="2:11" x14ac:dyDescent="0.25">
      <c r="B2418" t="s">
        <v>1214</v>
      </c>
      <c r="C2418">
        <v>2018</v>
      </c>
      <c r="D2418" s="1">
        <v>700000</v>
      </c>
      <c r="E2418">
        <v>27000</v>
      </c>
      <c r="F2418" t="s">
        <v>9</v>
      </c>
      <c r="G2418" t="s">
        <v>10</v>
      </c>
      <c r="H2418" t="s">
        <v>11</v>
      </c>
      <c r="I2418" t="s">
        <v>12</v>
      </c>
      <c r="J2418">
        <f t="shared" si="74"/>
        <v>8</v>
      </c>
      <c r="K2418" t="str">
        <f t="shared" si="75"/>
        <v>Mid Range</v>
      </c>
    </row>
    <row r="2419" spans="2:11" x14ac:dyDescent="0.25">
      <c r="B2419" t="s">
        <v>170</v>
      </c>
      <c r="C2419">
        <v>2016</v>
      </c>
      <c r="D2419" s="1">
        <v>350000</v>
      </c>
      <c r="E2419">
        <v>40000</v>
      </c>
      <c r="F2419" t="s">
        <v>9</v>
      </c>
      <c r="G2419" t="s">
        <v>10</v>
      </c>
      <c r="H2419" t="s">
        <v>11</v>
      </c>
      <c r="I2419" t="s">
        <v>12</v>
      </c>
      <c r="J2419">
        <f t="shared" si="74"/>
        <v>10</v>
      </c>
      <c r="K2419" t="str">
        <f t="shared" si="75"/>
        <v>Budget</v>
      </c>
    </row>
    <row r="2420" spans="2:11" x14ac:dyDescent="0.25">
      <c r="B2420" t="s">
        <v>928</v>
      </c>
      <c r="C2420">
        <v>2009</v>
      </c>
      <c r="D2420" s="1">
        <v>254999</v>
      </c>
      <c r="E2420">
        <v>80000</v>
      </c>
      <c r="F2420" t="s">
        <v>9</v>
      </c>
      <c r="G2420" t="s">
        <v>10</v>
      </c>
      <c r="H2420" t="s">
        <v>11</v>
      </c>
      <c r="I2420" t="s">
        <v>18</v>
      </c>
      <c r="J2420">
        <f t="shared" si="74"/>
        <v>17</v>
      </c>
      <c r="K2420" t="str">
        <f t="shared" si="75"/>
        <v>Budget</v>
      </c>
    </row>
    <row r="2421" spans="2:11" x14ac:dyDescent="0.25">
      <c r="B2421" t="s">
        <v>1097</v>
      </c>
      <c r="C2421">
        <v>2005</v>
      </c>
      <c r="D2421" s="1">
        <v>229999</v>
      </c>
      <c r="E2421">
        <v>221000</v>
      </c>
      <c r="F2421" t="s">
        <v>15</v>
      </c>
      <c r="G2421" t="s">
        <v>10</v>
      </c>
      <c r="H2421" t="s">
        <v>11</v>
      </c>
      <c r="I2421" t="s">
        <v>49</v>
      </c>
      <c r="J2421">
        <f t="shared" si="74"/>
        <v>21</v>
      </c>
      <c r="K2421" t="str">
        <f t="shared" si="75"/>
        <v>Budget</v>
      </c>
    </row>
    <row r="2422" spans="2:11" x14ac:dyDescent="0.25">
      <c r="B2422" t="s">
        <v>755</v>
      </c>
      <c r="C2422">
        <v>2016</v>
      </c>
      <c r="D2422" s="1">
        <v>750000</v>
      </c>
      <c r="E2422">
        <v>80000</v>
      </c>
      <c r="F2422" t="s">
        <v>15</v>
      </c>
      <c r="G2422" t="s">
        <v>10</v>
      </c>
      <c r="H2422" t="s">
        <v>11</v>
      </c>
      <c r="I2422" t="s">
        <v>12</v>
      </c>
      <c r="J2422">
        <f t="shared" si="74"/>
        <v>10</v>
      </c>
      <c r="K2422" t="str">
        <f t="shared" si="75"/>
        <v>Mid Range</v>
      </c>
    </row>
    <row r="2423" spans="2:11" x14ac:dyDescent="0.25">
      <c r="B2423" t="s">
        <v>295</v>
      </c>
      <c r="C2423">
        <v>2012</v>
      </c>
      <c r="D2423" s="1">
        <v>325000</v>
      </c>
      <c r="E2423">
        <v>119000</v>
      </c>
      <c r="F2423" t="s">
        <v>15</v>
      </c>
      <c r="G2423" t="s">
        <v>10</v>
      </c>
      <c r="H2423" t="s">
        <v>11</v>
      </c>
      <c r="I2423" t="s">
        <v>18</v>
      </c>
      <c r="J2423">
        <f t="shared" si="74"/>
        <v>14</v>
      </c>
      <c r="K2423" t="str">
        <f t="shared" si="75"/>
        <v>Budget</v>
      </c>
    </row>
    <row r="2424" spans="2:11" x14ac:dyDescent="0.25">
      <c r="B2424" t="s">
        <v>1215</v>
      </c>
      <c r="C2424">
        <v>2009</v>
      </c>
      <c r="D2424" s="1">
        <v>760000</v>
      </c>
      <c r="E2424">
        <v>190000</v>
      </c>
      <c r="F2424" t="s">
        <v>15</v>
      </c>
      <c r="G2424" t="s">
        <v>10</v>
      </c>
      <c r="H2424" t="s">
        <v>11</v>
      </c>
      <c r="I2424" t="s">
        <v>18</v>
      </c>
      <c r="J2424">
        <f t="shared" si="74"/>
        <v>17</v>
      </c>
      <c r="K2424" t="str">
        <f t="shared" si="75"/>
        <v>Mid Range</v>
      </c>
    </row>
    <row r="2425" spans="2:11" x14ac:dyDescent="0.25">
      <c r="B2425" t="s">
        <v>1216</v>
      </c>
      <c r="C2425">
        <v>2017</v>
      </c>
      <c r="D2425" s="1">
        <v>509999</v>
      </c>
      <c r="E2425">
        <v>25000</v>
      </c>
      <c r="F2425" t="s">
        <v>9</v>
      </c>
      <c r="G2425" t="s">
        <v>10</v>
      </c>
      <c r="H2425" t="s">
        <v>28</v>
      </c>
      <c r="I2425" t="s">
        <v>12</v>
      </c>
      <c r="J2425">
        <f t="shared" si="74"/>
        <v>9</v>
      </c>
      <c r="K2425" t="str">
        <f t="shared" si="75"/>
        <v>Mid Range</v>
      </c>
    </row>
    <row r="2426" spans="2:11" x14ac:dyDescent="0.25">
      <c r="B2426" t="s">
        <v>187</v>
      </c>
      <c r="C2426">
        <v>2013</v>
      </c>
      <c r="D2426" s="1">
        <v>363000</v>
      </c>
      <c r="E2426">
        <v>28740</v>
      </c>
      <c r="F2426" t="s">
        <v>9</v>
      </c>
      <c r="G2426" t="s">
        <v>10</v>
      </c>
      <c r="H2426" t="s">
        <v>11</v>
      </c>
      <c r="I2426" t="s">
        <v>12</v>
      </c>
      <c r="J2426">
        <f t="shared" si="74"/>
        <v>13</v>
      </c>
      <c r="K2426" t="str">
        <f t="shared" si="75"/>
        <v>Budget</v>
      </c>
    </row>
    <row r="2427" spans="2:11" x14ac:dyDescent="0.25">
      <c r="B2427" t="s">
        <v>454</v>
      </c>
      <c r="C2427">
        <v>2010</v>
      </c>
      <c r="D2427" s="1">
        <v>229999</v>
      </c>
      <c r="E2427">
        <v>48500</v>
      </c>
      <c r="F2427" t="s">
        <v>9</v>
      </c>
      <c r="G2427" t="s">
        <v>10</v>
      </c>
      <c r="H2427" t="s">
        <v>11</v>
      </c>
      <c r="I2427" t="s">
        <v>12</v>
      </c>
      <c r="J2427">
        <f t="shared" si="74"/>
        <v>16</v>
      </c>
      <c r="K2427" t="str">
        <f t="shared" si="75"/>
        <v>Budget</v>
      </c>
    </row>
    <row r="2428" spans="2:11" x14ac:dyDescent="0.25">
      <c r="B2428" t="s">
        <v>700</v>
      </c>
      <c r="C2428">
        <v>2012</v>
      </c>
      <c r="D2428" s="1">
        <v>290000</v>
      </c>
      <c r="E2428">
        <v>110000</v>
      </c>
      <c r="F2428" t="s">
        <v>9</v>
      </c>
      <c r="G2428" t="s">
        <v>10</v>
      </c>
      <c r="H2428" t="s">
        <v>11</v>
      </c>
      <c r="I2428" t="s">
        <v>18</v>
      </c>
      <c r="J2428">
        <f t="shared" si="74"/>
        <v>14</v>
      </c>
      <c r="K2428" t="str">
        <f t="shared" si="75"/>
        <v>Budget</v>
      </c>
    </row>
    <row r="2429" spans="2:11" x14ac:dyDescent="0.25">
      <c r="B2429" t="s">
        <v>443</v>
      </c>
      <c r="C2429">
        <v>2018</v>
      </c>
      <c r="D2429" s="1">
        <v>550000</v>
      </c>
      <c r="E2429">
        <v>30000</v>
      </c>
      <c r="F2429" t="s">
        <v>9</v>
      </c>
      <c r="G2429" t="s">
        <v>10</v>
      </c>
      <c r="H2429" t="s">
        <v>11</v>
      </c>
      <c r="I2429" t="s">
        <v>12</v>
      </c>
      <c r="J2429">
        <f t="shared" si="74"/>
        <v>8</v>
      </c>
      <c r="K2429" t="str">
        <f t="shared" si="75"/>
        <v>Mid Range</v>
      </c>
    </row>
    <row r="2430" spans="2:11" x14ac:dyDescent="0.25">
      <c r="B2430" t="s">
        <v>960</v>
      </c>
      <c r="C2430">
        <v>2011</v>
      </c>
      <c r="D2430" s="1">
        <v>125000</v>
      </c>
      <c r="E2430">
        <v>120000</v>
      </c>
      <c r="F2430" t="s">
        <v>15</v>
      </c>
      <c r="G2430" t="s">
        <v>10</v>
      </c>
      <c r="H2430" t="s">
        <v>11</v>
      </c>
      <c r="I2430" t="s">
        <v>18</v>
      </c>
      <c r="J2430">
        <f t="shared" si="74"/>
        <v>15</v>
      </c>
      <c r="K2430" t="str">
        <f t="shared" si="75"/>
        <v>Budget</v>
      </c>
    </row>
    <row r="2431" spans="2:11" x14ac:dyDescent="0.25">
      <c r="B2431" t="s">
        <v>1217</v>
      </c>
      <c r="C2431">
        <v>2014</v>
      </c>
      <c r="D2431" s="1">
        <v>2000000</v>
      </c>
      <c r="E2431">
        <v>130000</v>
      </c>
      <c r="F2431" t="s">
        <v>15</v>
      </c>
      <c r="G2431" t="s">
        <v>10</v>
      </c>
      <c r="H2431" t="s">
        <v>28</v>
      </c>
      <c r="I2431" t="s">
        <v>12</v>
      </c>
      <c r="J2431">
        <f t="shared" si="74"/>
        <v>12</v>
      </c>
      <c r="K2431" t="str">
        <f t="shared" si="75"/>
        <v>Premium</v>
      </c>
    </row>
    <row r="2432" spans="2:11" x14ac:dyDescent="0.25">
      <c r="B2432" t="s">
        <v>1215</v>
      </c>
      <c r="C2432">
        <v>2008</v>
      </c>
      <c r="D2432" s="1">
        <v>350000</v>
      </c>
      <c r="E2432">
        <v>140000</v>
      </c>
      <c r="F2432" t="s">
        <v>15</v>
      </c>
      <c r="G2432" t="s">
        <v>10</v>
      </c>
      <c r="H2432" t="s">
        <v>11</v>
      </c>
      <c r="I2432" t="s">
        <v>18</v>
      </c>
      <c r="J2432">
        <f t="shared" si="74"/>
        <v>18</v>
      </c>
      <c r="K2432" t="str">
        <f t="shared" si="75"/>
        <v>Budget</v>
      </c>
    </row>
    <row r="2433" spans="2:11" x14ac:dyDescent="0.25">
      <c r="B2433" t="s">
        <v>243</v>
      </c>
      <c r="C2433">
        <v>2011</v>
      </c>
      <c r="D2433" s="1">
        <v>390000</v>
      </c>
      <c r="E2433">
        <v>90000</v>
      </c>
      <c r="F2433" t="s">
        <v>15</v>
      </c>
      <c r="G2433" t="s">
        <v>10</v>
      </c>
      <c r="H2433" t="s">
        <v>11</v>
      </c>
      <c r="I2433" t="s">
        <v>12</v>
      </c>
      <c r="J2433">
        <f t="shared" si="74"/>
        <v>15</v>
      </c>
      <c r="K2433" t="str">
        <f t="shared" si="75"/>
        <v>Budget</v>
      </c>
    </row>
    <row r="2434" spans="2:11" x14ac:dyDescent="0.25">
      <c r="B2434" t="s">
        <v>1090</v>
      </c>
      <c r="C2434">
        <v>2015</v>
      </c>
      <c r="D2434" s="1">
        <v>220000</v>
      </c>
      <c r="E2434">
        <v>45000</v>
      </c>
      <c r="F2434" t="s">
        <v>9</v>
      </c>
      <c r="G2434" t="s">
        <v>10</v>
      </c>
      <c r="H2434" t="s">
        <v>11</v>
      </c>
      <c r="I2434" t="s">
        <v>12</v>
      </c>
      <c r="J2434">
        <f t="shared" si="74"/>
        <v>11</v>
      </c>
      <c r="K2434" t="str">
        <f t="shared" si="75"/>
        <v>Budget</v>
      </c>
    </row>
    <row r="2435" spans="2:11" x14ac:dyDescent="0.25">
      <c r="B2435" t="s">
        <v>164</v>
      </c>
      <c r="C2435">
        <v>2005</v>
      </c>
      <c r="D2435" s="1">
        <v>140000</v>
      </c>
      <c r="E2435">
        <v>80000</v>
      </c>
      <c r="F2435" t="s">
        <v>9</v>
      </c>
      <c r="G2435" t="s">
        <v>10</v>
      </c>
      <c r="H2435" t="s">
        <v>11</v>
      </c>
      <c r="I2435" t="s">
        <v>49</v>
      </c>
      <c r="J2435">
        <f t="shared" si="74"/>
        <v>21</v>
      </c>
      <c r="K2435" t="str">
        <f t="shared" si="75"/>
        <v>Budget</v>
      </c>
    </row>
    <row r="2436" spans="2:11" x14ac:dyDescent="0.25">
      <c r="B2436" t="s">
        <v>1218</v>
      </c>
      <c r="C2436">
        <v>2018</v>
      </c>
      <c r="D2436" s="1">
        <v>370000</v>
      </c>
      <c r="E2436">
        <v>15000</v>
      </c>
      <c r="F2436" t="s">
        <v>9</v>
      </c>
      <c r="G2436" t="s">
        <v>10</v>
      </c>
      <c r="H2436" t="s">
        <v>28</v>
      </c>
      <c r="I2436" t="s">
        <v>12</v>
      </c>
      <c r="J2436">
        <f t="shared" si="74"/>
        <v>8</v>
      </c>
      <c r="K2436" t="str">
        <f t="shared" si="75"/>
        <v>Budget</v>
      </c>
    </row>
    <row r="2437" spans="2:11" x14ac:dyDescent="0.25">
      <c r="B2437" t="s">
        <v>114</v>
      </c>
      <c r="C2437">
        <v>2019</v>
      </c>
      <c r="D2437" s="1">
        <v>650000</v>
      </c>
      <c r="E2437">
        <v>20000</v>
      </c>
      <c r="F2437" t="s">
        <v>15</v>
      </c>
      <c r="G2437" t="s">
        <v>10</v>
      </c>
      <c r="H2437" t="s">
        <v>11</v>
      </c>
      <c r="I2437" t="s">
        <v>12</v>
      </c>
      <c r="J2437">
        <f t="shared" si="74"/>
        <v>7</v>
      </c>
      <c r="K2437" t="str">
        <f t="shared" si="75"/>
        <v>Mid Range</v>
      </c>
    </row>
    <row r="2438" spans="2:11" x14ac:dyDescent="0.25">
      <c r="B2438" t="s">
        <v>856</v>
      </c>
      <c r="C2438">
        <v>2017</v>
      </c>
      <c r="D2438" s="1">
        <v>280000</v>
      </c>
      <c r="E2438">
        <v>37000</v>
      </c>
      <c r="F2438" t="s">
        <v>9</v>
      </c>
      <c r="G2438" t="s">
        <v>10</v>
      </c>
      <c r="H2438" t="s">
        <v>11</v>
      </c>
      <c r="I2438" t="s">
        <v>12</v>
      </c>
      <c r="J2438">
        <f t="shared" ref="J2438:J2501" si="76">2026 - C2438</f>
        <v>9</v>
      </c>
      <c r="K2438" t="str">
        <f t="shared" ref="K2438:K2501" si="77">IF(D2438&lt;500000,"Budget",IF(D2438&lt;=1000000,"Mid Range","Premium"))</f>
        <v>Budget</v>
      </c>
    </row>
    <row r="2439" spans="2:11" x14ac:dyDescent="0.25">
      <c r="B2439" t="s">
        <v>114</v>
      </c>
      <c r="C2439">
        <v>2016</v>
      </c>
      <c r="D2439" s="1">
        <v>540000</v>
      </c>
      <c r="E2439">
        <v>80000</v>
      </c>
      <c r="F2439" t="s">
        <v>15</v>
      </c>
      <c r="G2439" t="s">
        <v>10</v>
      </c>
      <c r="H2439" t="s">
        <v>11</v>
      </c>
      <c r="I2439" t="s">
        <v>12</v>
      </c>
      <c r="J2439">
        <f t="shared" si="76"/>
        <v>10</v>
      </c>
      <c r="K2439" t="str">
        <f t="shared" si="77"/>
        <v>Mid Range</v>
      </c>
    </row>
    <row r="2440" spans="2:11" x14ac:dyDescent="0.25">
      <c r="B2440" t="s">
        <v>1219</v>
      </c>
      <c r="C2440">
        <v>2002</v>
      </c>
      <c r="D2440" s="1">
        <v>50000</v>
      </c>
      <c r="E2440">
        <v>120000</v>
      </c>
      <c r="F2440" t="s">
        <v>15</v>
      </c>
      <c r="G2440" t="s">
        <v>10</v>
      </c>
      <c r="H2440" t="s">
        <v>11</v>
      </c>
      <c r="I2440" t="s">
        <v>46</v>
      </c>
      <c r="J2440">
        <f t="shared" si="76"/>
        <v>24</v>
      </c>
      <c r="K2440" t="str">
        <f t="shared" si="77"/>
        <v>Budget</v>
      </c>
    </row>
    <row r="2441" spans="2:11" x14ac:dyDescent="0.25">
      <c r="B2441" t="s">
        <v>1220</v>
      </c>
      <c r="C2441">
        <v>2018</v>
      </c>
      <c r="D2441" s="1">
        <v>800000</v>
      </c>
      <c r="E2441">
        <v>20000</v>
      </c>
      <c r="F2441" t="s">
        <v>9</v>
      </c>
      <c r="G2441" t="s">
        <v>10</v>
      </c>
      <c r="H2441" t="s">
        <v>11</v>
      </c>
      <c r="I2441" t="s">
        <v>12</v>
      </c>
      <c r="J2441">
        <f t="shared" si="76"/>
        <v>8</v>
      </c>
      <c r="K2441" t="str">
        <f t="shared" si="77"/>
        <v>Mid Range</v>
      </c>
    </row>
    <row r="2442" spans="2:11" x14ac:dyDescent="0.25">
      <c r="B2442" t="s">
        <v>973</v>
      </c>
      <c r="C2442">
        <v>2016</v>
      </c>
      <c r="D2442" s="1">
        <v>515000</v>
      </c>
      <c r="E2442">
        <v>25000</v>
      </c>
      <c r="F2442" t="s">
        <v>15</v>
      </c>
      <c r="G2442" t="s">
        <v>10</v>
      </c>
      <c r="H2442" t="s">
        <v>11</v>
      </c>
      <c r="I2442" t="s">
        <v>12</v>
      </c>
      <c r="J2442">
        <f t="shared" si="76"/>
        <v>10</v>
      </c>
      <c r="K2442" t="str">
        <f t="shared" si="77"/>
        <v>Mid Range</v>
      </c>
    </row>
    <row r="2443" spans="2:11" x14ac:dyDescent="0.25">
      <c r="B2443" t="s">
        <v>1186</v>
      </c>
      <c r="C2443">
        <v>2010</v>
      </c>
      <c r="D2443" s="1">
        <v>220000</v>
      </c>
      <c r="E2443">
        <v>96000</v>
      </c>
      <c r="F2443" t="s">
        <v>9</v>
      </c>
      <c r="G2443" t="s">
        <v>10</v>
      </c>
      <c r="H2443" t="s">
        <v>11</v>
      </c>
      <c r="I2443" t="s">
        <v>49</v>
      </c>
      <c r="J2443">
        <f t="shared" si="76"/>
        <v>16</v>
      </c>
      <c r="K2443" t="str">
        <f t="shared" si="77"/>
        <v>Budget</v>
      </c>
    </row>
    <row r="2444" spans="2:11" x14ac:dyDescent="0.25">
      <c r="B2444" t="s">
        <v>1221</v>
      </c>
      <c r="C2444">
        <v>2013</v>
      </c>
      <c r="D2444" s="1">
        <v>165000</v>
      </c>
      <c r="E2444">
        <v>53000</v>
      </c>
      <c r="F2444" t="s">
        <v>9</v>
      </c>
      <c r="G2444" t="s">
        <v>27</v>
      </c>
      <c r="H2444" t="s">
        <v>11</v>
      </c>
      <c r="I2444" t="s">
        <v>12</v>
      </c>
      <c r="J2444">
        <f t="shared" si="76"/>
        <v>13</v>
      </c>
      <c r="K2444" t="str">
        <f t="shared" si="77"/>
        <v>Budget</v>
      </c>
    </row>
    <row r="2445" spans="2:11" x14ac:dyDescent="0.25">
      <c r="B2445" t="s">
        <v>1222</v>
      </c>
      <c r="C2445">
        <v>2010</v>
      </c>
      <c r="D2445" s="1">
        <v>221000</v>
      </c>
      <c r="E2445">
        <v>65000</v>
      </c>
      <c r="F2445" t="s">
        <v>15</v>
      </c>
      <c r="G2445" t="s">
        <v>27</v>
      </c>
      <c r="H2445" t="s">
        <v>11</v>
      </c>
      <c r="I2445" t="s">
        <v>12</v>
      </c>
      <c r="J2445">
        <f t="shared" si="76"/>
        <v>16</v>
      </c>
      <c r="K2445" t="str">
        <f t="shared" si="77"/>
        <v>Budget</v>
      </c>
    </row>
    <row r="2446" spans="2:11" x14ac:dyDescent="0.25">
      <c r="B2446" t="s">
        <v>161</v>
      </c>
      <c r="C2446">
        <v>2015</v>
      </c>
      <c r="D2446" s="1">
        <v>245000</v>
      </c>
      <c r="E2446">
        <v>43000</v>
      </c>
      <c r="F2446" t="s">
        <v>9</v>
      </c>
      <c r="G2446" t="s">
        <v>27</v>
      </c>
      <c r="H2446" t="s">
        <v>11</v>
      </c>
      <c r="I2446" t="s">
        <v>12</v>
      </c>
      <c r="J2446">
        <f t="shared" si="76"/>
        <v>11</v>
      </c>
      <c r="K2446" t="str">
        <f t="shared" si="77"/>
        <v>Budget</v>
      </c>
    </row>
    <row r="2447" spans="2:11" x14ac:dyDescent="0.25">
      <c r="B2447" t="s">
        <v>1223</v>
      </c>
      <c r="C2447">
        <v>2012</v>
      </c>
      <c r="D2447" s="1">
        <v>260000</v>
      </c>
      <c r="E2447">
        <v>42000</v>
      </c>
      <c r="F2447" t="s">
        <v>9</v>
      </c>
      <c r="G2447" t="s">
        <v>27</v>
      </c>
      <c r="H2447" t="s">
        <v>11</v>
      </c>
      <c r="I2447" t="s">
        <v>12</v>
      </c>
      <c r="J2447">
        <f t="shared" si="76"/>
        <v>14</v>
      </c>
      <c r="K2447" t="str">
        <f t="shared" si="77"/>
        <v>Budget</v>
      </c>
    </row>
    <row r="2448" spans="2:11" x14ac:dyDescent="0.25">
      <c r="B2448" t="s">
        <v>746</v>
      </c>
      <c r="C2448">
        <v>2011</v>
      </c>
      <c r="D2448" s="1">
        <v>550000</v>
      </c>
      <c r="E2448">
        <v>73000</v>
      </c>
      <c r="F2448" t="s">
        <v>15</v>
      </c>
      <c r="G2448" t="s">
        <v>27</v>
      </c>
      <c r="H2448" t="s">
        <v>28</v>
      </c>
      <c r="I2448" t="s">
        <v>12</v>
      </c>
      <c r="J2448">
        <f t="shared" si="76"/>
        <v>15</v>
      </c>
      <c r="K2448" t="str">
        <f t="shared" si="77"/>
        <v>Mid Range</v>
      </c>
    </row>
    <row r="2449" spans="2:11" x14ac:dyDescent="0.25">
      <c r="B2449" t="s">
        <v>1224</v>
      </c>
      <c r="C2449">
        <v>2015</v>
      </c>
      <c r="D2449" s="1">
        <v>434999</v>
      </c>
      <c r="E2449">
        <v>29000</v>
      </c>
      <c r="F2449" t="s">
        <v>9</v>
      </c>
      <c r="G2449" t="s">
        <v>27</v>
      </c>
      <c r="H2449" t="s">
        <v>11</v>
      </c>
      <c r="I2449" t="s">
        <v>12</v>
      </c>
      <c r="J2449">
        <f t="shared" si="76"/>
        <v>11</v>
      </c>
      <c r="K2449" t="str">
        <f t="shared" si="77"/>
        <v>Budget</v>
      </c>
    </row>
    <row r="2450" spans="2:11" x14ac:dyDescent="0.25">
      <c r="B2450" t="s">
        <v>983</v>
      </c>
      <c r="C2450">
        <v>2013</v>
      </c>
      <c r="D2450" s="1">
        <v>450000</v>
      </c>
      <c r="E2450">
        <v>95000</v>
      </c>
      <c r="F2450" t="s">
        <v>15</v>
      </c>
      <c r="G2450" t="s">
        <v>27</v>
      </c>
      <c r="H2450" t="s">
        <v>11</v>
      </c>
      <c r="I2450" t="s">
        <v>12</v>
      </c>
      <c r="J2450">
        <f t="shared" si="76"/>
        <v>13</v>
      </c>
      <c r="K2450" t="str">
        <f t="shared" si="77"/>
        <v>Budget</v>
      </c>
    </row>
    <row r="2451" spans="2:11" x14ac:dyDescent="0.25">
      <c r="B2451" t="s">
        <v>25</v>
      </c>
      <c r="C2451">
        <v>2014</v>
      </c>
      <c r="D2451" s="1">
        <v>290000</v>
      </c>
      <c r="E2451">
        <v>25000</v>
      </c>
      <c r="F2451" t="s">
        <v>9</v>
      </c>
      <c r="G2451" t="s">
        <v>10</v>
      </c>
      <c r="H2451" t="s">
        <v>11</v>
      </c>
      <c r="I2451" t="s">
        <v>12</v>
      </c>
      <c r="J2451">
        <f t="shared" si="76"/>
        <v>12</v>
      </c>
      <c r="K2451" t="str">
        <f t="shared" si="77"/>
        <v>Budget</v>
      </c>
    </row>
    <row r="2452" spans="2:11" x14ac:dyDescent="0.25">
      <c r="B2452" t="s">
        <v>1225</v>
      </c>
      <c r="C2452">
        <v>2011</v>
      </c>
      <c r="D2452" s="1">
        <v>305000</v>
      </c>
      <c r="E2452">
        <v>53000</v>
      </c>
      <c r="F2452" t="s">
        <v>9</v>
      </c>
      <c r="G2452" t="s">
        <v>27</v>
      </c>
      <c r="H2452" t="s">
        <v>11</v>
      </c>
      <c r="I2452" t="s">
        <v>18</v>
      </c>
      <c r="J2452">
        <f t="shared" si="76"/>
        <v>15</v>
      </c>
      <c r="K2452" t="str">
        <f t="shared" si="77"/>
        <v>Budget</v>
      </c>
    </row>
    <row r="2453" spans="2:11" x14ac:dyDescent="0.25">
      <c r="B2453" t="s">
        <v>1226</v>
      </c>
      <c r="C2453">
        <v>2011</v>
      </c>
      <c r="D2453" s="1">
        <v>265000</v>
      </c>
      <c r="E2453">
        <v>20000</v>
      </c>
      <c r="F2453" t="s">
        <v>9</v>
      </c>
      <c r="G2453" t="s">
        <v>27</v>
      </c>
      <c r="H2453" t="s">
        <v>11</v>
      </c>
      <c r="I2453" t="s">
        <v>12</v>
      </c>
      <c r="J2453">
        <f t="shared" si="76"/>
        <v>15</v>
      </c>
      <c r="K2453" t="str">
        <f t="shared" si="77"/>
        <v>Budget</v>
      </c>
    </row>
    <row r="2454" spans="2:11" x14ac:dyDescent="0.25">
      <c r="B2454" t="s">
        <v>541</v>
      </c>
      <c r="C2454">
        <v>2014</v>
      </c>
      <c r="D2454" s="1">
        <v>325000</v>
      </c>
      <c r="E2454">
        <v>57000</v>
      </c>
      <c r="F2454" t="s">
        <v>9</v>
      </c>
      <c r="G2454" t="s">
        <v>27</v>
      </c>
      <c r="H2454" t="s">
        <v>11</v>
      </c>
      <c r="I2454" t="s">
        <v>12</v>
      </c>
      <c r="J2454">
        <f t="shared" si="76"/>
        <v>12</v>
      </c>
      <c r="K2454" t="str">
        <f t="shared" si="77"/>
        <v>Budget</v>
      </c>
    </row>
    <row r="2455" spans="2:11" x14ac:dyDescent="0.25">
      <c r="B2455" t="s">
        <v>130</v>
      </c>
      <c r="C2455">
        <v>2014</v>
      </c>
      <c r="D2455" s="1">
        <v>550000</v>
      </c>
      <c r="E2455">
        <v>52000</v>
      </c>
      <c r="F2455" t="s">
        <v>15</v>
      </c>
      <c r="G2455" t="s">
        <v>27</v>
      </c>
      <c r="H2455" t="s">
        <v>11</v>
      </c>
      <c r="I2455" t="s">
        <v>12</v>
      </c>
      <c r="J2455">
        <f t="shared" si="76"/>
        <v>12</v>
      </c>
      <c r="K2455" t="str">
        <f t="shared" si="77"/>
        <v>Mid Range</v>
      </c>
    </row>
    <row r="2456" spans="2:11" x14ac:dyDescent="0.25">
      <c r="B2456" t="s">
        <v>440</v>
      </c>
      <c r="C2456">
        <v>2008</v>
      </c>
      <c r="D2456" s="1">
        <v>105000</v>
      </c>
      <c r="E2456">
        <v>40000</v>
      </c>
      <c r="F2456" t="s">
        <v>9</v>
      </c>
      <c r="G2456" t="s">
        <v>10</v>
      </c>
      <c r="H2456" t="s">
        <v>11</v>
      </c>
      <c r="I2456" t="s">
        <v>12</v>
      </c>
      <c r="J2456">
        <f t="shared" si="76"/>
        <v>18</v>
      </c>
      <c r="K2456" t="str">
        <f t="shared" si="77"/>
        <v>Budget</v>
      </c>
    </row>
    <row r="2457" spans="2:11" x14ac:dyDescent="0.25">
      <c r="B2457" t="s">
        <v>541</v>
      </c>
      <c r="C2457">
        <v>2012</v>
      </c>
      <c r="D2457" s="1">
        <v>275000</v>
      </c>
      <c r="E2457">
        <v>47000</v>
      </c>
      <c r="F2457" t="s">
        <v>9</v>
      </c>
      <c r="G2457" t="s">
        <v>27</v>
      </c>
      <c r="H2457" t="s">
        <v>11</v>
      </c>
      <c r="I2457" t="s">
        <v>12</v>
      </c>
      <c r="J2457">
        <f t="shared" si="76"/>
        <v>14</v>
      </c>
      <c r="K2457" t="str">
        <f t="shared" si="77"/>
        <v>Budget</v>
      </c>
    </row>
    <row r="2458" spans="2:11" x14ac:dyDescent="0.25">
      <c r="B2458" t="s">
        <v>768</v>
      </c>
      <c r="C2458">
        <v>2012</v>
      </c>
      <c r="D2458" s="1">
        <v>434999</v>
      </c>
      <c r="E2458">
        <v>47000</v>
      </c>
      <c r="F2458" t="s">
        <v>9</v>
      </c>
      <c r="G2458" t="s">
        <v>27</v>
      </c>
      <c r="H2458" t="s">
        <v>11</v>
      </c>
      <c r="I2458" t="s">
        <v>18</v>
      </c>
      <c r="J2458">
        <f t="shared" si="76"/>
        <v>14</v>
      </c>
      <c r="K2458" t="str">
        <f t="shared" si="77"/>
        <v>Budget</v>
      </c>
    </row>
    <row r="2459" spans="2:11" x14ac:dyDescent="0.25">
      <c r="B2459" t="s">
        <v>1227</v>
      </c>
      <c r="C2459">
        <v>2016</v>
      </c>
      <c r="D2459" s="1">
        <v>690000</v>
      </c>
      <c r="E2459">
        <v>73000</v>
      </c>
      <c r="F2459" t="s">
        <v>15</v>
      </c>
      <c r="G2459" t="s">
        <v>27</v>
      </c>
      <c r="H2459" t="s">
        <v>11</v>
      </c>
      <c r="I2459" t="s">
        <v>12</v>
      </c>
      <c r="J2459">
        <f t="shared" si="76"/>
        <v>10</v>
      </c>
      <c r="K2459" t="str">
        <f t="shared" si="77"/>
        <v>Mid Range</v>
      </c>
    </row>
    <row r="2460" spans="2:11" x14ac:dyDescent="0.25">
      <c r="B2460" t="s">
        <v>413</v>
      </c>
      <c r="C2460">
        <v>2012</v>
      </c>
      <c r="D2460" s="1">
        <v>249000</v>
      </c>
      <c r="E2460">
        <v>42000</v>
      </c>
      <c r="F2460" t="s">
        <v>9</v>
      </c>
      <c r="G2460" t="s">
        <v>27</v>
      </c>
      <c r="H2460" t="s">
        <v>11</v>
      </c>
      <c r="I2460" t="s">
        <v>18</v>
      </c>
      <c r="J2460">
        <f t="shared" si="76"/>
        <v>14</v>
      </c>
      <c r="K2460" t="str">
        <f t="shared" si="77"/>
        <v>Budget</v>
      </c>
    </row>
    <row r="2461" spans="2:11" x14ac:dyDescent="0.25">
      <c r="B2461" t="s">
        <v>339</v>
      </c>
      <c r="C2461">
        <v>2012</v>
      </c>
      <c r="D2461" s="1">
        <v>204999</v>
      </c>
      <c r="E2461">
        <v>60000</v>
      </c>
      <c r="F2461" t="s">
        <v>9</v>
      </c>
      <c r="G2461" t="s">
        <v>27</v>
      </c>
      <c r="H2461" t="s">
        <v>11</v>
      </c>
      <c r="I2461" t="s">
        <v>49</v>
      </c>
      <c r="J2461">
        <f t="shared" si="76"/>
        <v>14</v>
      </c>
      <c r="K2461" t="str">
        <f t="shared" si="77"/>
        <v>Budget</v>
      </c>
    </row>
    <row r="2462" spans="2:11" x14ac:dyDescent="0.25">
      <c r="B2462" t="s">
        <v>744</v>
      </c>
      <c r="C2462">
        <v>2015</v>
      </c>
      <c r="D2462" s="1">
        <v>190000</v>
      </c>
      <c r="E2462">
        <v>120000</v>
      </c>
      <c r="F2462" t="s">
        <v>9</v>
      </c>
      <c r="G2462" t="s">
        <v>10</v>
      </c>
      <c r="H2462" t="s">
        <v>11</v>
      </c>
      <c r="I2462" t="s">
        <v>12</v>
      </c>
      <c r="J2462">
        <f t="shared" si="76"/>
        <v>11</v>
      </c>
      <c r="K2462" t="str">
        <f t="shared" si="77"/>
        <v>Budget</v>
      </c>
    </row>
    <row r="2463" spans="2:11" x14ac:dyDescent="0.25">
      <c r="B2463" t="s">
        <v>58</v>
      </c>
      <c r="C2463">
        <v>2012</v>
      </c>
      <c r="D2463" s="1">
        <v>150000</v>
      </c>
      <c r="E2463">
        <v>50000</v>
      </c>
      <c r="F2463" t="s">
        <v>9</v>
      </c>
      <c r="G2463" t="s">
        <v>10</v>
      </c>
      <c r="H2463" t="s">
        <v>11</v>
      </c>
      <c r="I2463" t="s">
        <v>12</v>
      </c>
      <c r="J2463">
        <f t="shared" si="76"/>
        <v>14</v>
      </c>
      <c r="K2463" t="str">
        <f t="shared" si="77"/>
        <v>Budget</v>
      </c>
    </row>
    <row r="2464" spans="2:11" x14ac:dyDescent="0.25">
      <c r="B2464" t="s">
        <v>120</v>
      </c>
      <c r="C2464">
        <v>1999</v>
      </c>
      <c r="D2464" s="1">
        <v>70000</v>
      </c>
      <c r="E2464">
        <v>70000</v>
      </c>
      <c r="F2464" t="s">
        <v>9</v>
      </c>
      <c r="G2464" t="s">
        <v>10</v>
      </c>
      <c r="H2464" t="s">
        <v>11</v>
      </c>
      <c r="I2464" t="s">
        <v>46</v>
      </c>
      <c r="J2464">
        <f t="shared" si="76"/>
        <v>27</v>
      </c>
      <c r="K2464" t="str">
        <f t="shared" si="77"/>
        <v>Budget</v>
      </c>
    </row>
    <row r="2465" spans="2:11" x14ac:dyDescent="0.25">
      <c r="B2465" t="s">
        <v>105</v>
      </c>
      <c r="C2465">
        <v>2018</v>
      </c>
      <c r="D2465" s="1">
        <v>900000</v>
      </c>
      <c r="E2465">
        <v>25000</v>
      </c>
      <c r="F2465" t="s">
        <v>15</v>
      </c>
      <c r="G2465" t="s">
        <v>10</v>
      </c>
      <c r="H2465" t="s">
        <v>11</v>
      </c>
      <c r="I2465" t="s">
        <v>12</v>
      </c>
      <c r="J2465">
        <f t="shared" si="76"/>
        <v>8</v>
      </c>
      <c r="K2465" t="str">
        <f t="shared" si="77"/>
        <v>Mid Range</v>
      </c>
    </row>
    <row r="2466" spans="2:11" x14ac:dyDescent="0.25">
      <c r="B2466" t="s">
        <v>1228</v>
      </c>
      <c r="C2466">
        <v>2019</v>
      </c>
      <c r="D2466" s="1">
        <v>950000</v>
      </c>
      <c r="E2466">
        <v>11000</v>
      </c>
      <c r="F2466" t="s">
        <v>9</v>
      </c>
      <c r="G2466" t="s">
        <v>10</v>
      </c>
      <c r="H2466" t="s">
        <v>28</v>
      </c>
      <c r="I2466" t="s">
        <v>12</v>
      </c>
      <c r="J2466">
        <f t="shared" si="76"/>
        <v>7</v>
      </c>
      <c r="K2466" t="str">
        <f t="shared" si="77"/>
        <v>Mid Range</v>
      </c>
    </row>
    <row r="2467" spans="2:11" x14ac:dyDescent="0.25">
      <c r="B2467" t="s">
        <v>550</v>
      </c>
      <c r="C2467">
        <v>2013</v>
      </c>
      <c r="D2467" s="1">
        <v>475000</v>
      </c>
      <c r="E2467">
        <v>80000</v>
      </c>
      <c r="F2467" t="s">
        <v>9</v>
      </c>
      <c r="G2467" t="s">
        <v>10</v>
      </c>
      <c r="H2467" t="s">
        <v>11</v>
      </c>
      <c r="I2467" t="s">
        <v>12</v>
      </c>
      <c r="J2467">
        <f t="shared" si="76"/>
        <v>13</v>
      </c>
      <c r="K2467" t="str">
        <f t="shared" si="77"/>
        <v>Budget</v>
      </c>
    </row>
    <row r="2468" spans="2:11" x14ac:dyDescent="0.25">
      <c r="B2468" t="s">
        <v>134</v>
      </c>
      <c r="C2468">
        <v>1998</v>
      </c>
      <c r="D2468" s="1">
        <v>55000</v>
      </c>
      <c r="E2468">
        <v>80000</v>
      </c>
      <c r="F2468" t="s">
        <v>9</v>
      </c>
      <c r="G2468" t="s">
        <v>10</v>
      </c>
      <c r="H2468" t="s">
        <v>11</v>
      </c>
      <c r="I2468" t="s">
        <v>46</v>
      </c>
      <c r="J2468">
        <f t="shared" si="76"/>
        <v>28</v>
      </c>
      <c r="K2468" t="str">
        <f t="shared" si="77"/>
        <v>Budget</v>
      </c>
    </row>
    <row r="2469" spans="2:11" x14ac:dyDescent="0.25">
      <c r="B2469" t="s">
        <v>560</v>
      </c>
      <c r="C2469">
        <v>2013</v>
      </c>
      <c r="D2469" s="1">
        <v>450000</v>
      </c>
      <c r="E2469">
        <v>75000</v>
      </c>
      <c r="F2469" t="s">
        <v>15</v>
      </c>
      <c r="G2469" t="s">
        <v>10</v>
      </c>
      <c r="H2469" t="s">
        <v>11</v>
      </c>
      <c r="I2469" t="s">
        <v>18</v>
      </c>
      <c r="J2469">
        <f t="shared" si="76"/>
        <v>13</v>
      </c>
      <c r="K2469" t="str">
        <f t="shared" si="77"/>
        <v>Budget</v>
      </c>
    </row>
    <row r="2470" spans="2:11" x14ac:dyDescent="0.25">
      <c r="B2470" t="s">
        <v>1229</v>
      </c>
      <c r="C2470">
        <v>2009</v>
      </c>
      <c r="D2470" s="1">
        <v>1200000</v>
      </c>
      <c r="E2470">
        <v>45000</v>
      </c>
      <c r="F2470" t="s">
        <v>15</v>
      </c>
      <c r="G2470" t="s">
        <v>10</v>
      </c>
      <c r="H2470" t="s">
        <v>28</v>
      </c>
      <c r="I2470" t="s">
        <v>49</v>
      </c>
      <c r="J2470">
        <f t="shared" si="76"/>
        <v>17</v>
      </c>
      <c r="K2470" t="str">
        <f t="shared" si="77"/>
        <v>Premium</v>
      </c>
    </row>
    <row r="2471" spans="2:11" x14ac:dyDescent="0.25">
      <c r="B2471" t="s">
        <v>252</v>
      </c>
      <c r="C2471">
        <v>2007</v>
      </c>
      <c r="D2471" s="1">
        <v>300000</v>
      </c>
      <c r="E2471">
        <v>100000</v>
      </c>
      <c r="F2471" t="s">
        <v>15</v>
      </c>
      <c r="G2471" t="s">
        <v>10</v>
      </c>
      <c r="H2471" t="s">
        <v>11</v>
      </c>
      <c r="I2471" t="s">
        <v>18</v>
      </c>
      <c r="J2471">
        <f t="shared" si="76"/>
        <v>19</v>
      </c>
      <c r="K2471" t="str">
        <f t="shared" si="77"/>
        <v>Budget</v>
      </c>
    </row>
    <row r="2472" spans="2:11" x14ac:dyDescent="0.25">
      <c r="B2472" t="s">
        <v>1230</v>
      </c>
      <c r="C2472">
        <v>2014</v>
      </c>
      <c r="D2472" s="1">
        <v>350000</v>
      </c>
      <c r="E2472">
        <v>60000</v>
      </c>
      <c r="F2472" t="s">
        <v>15</v>
      </c>
      <c r="G2472" t="s">
        <v>10</v>
      </c>
      <c r="H2472" t="s">
        <v>11</v>
      </c>
      <c r="I2472" t="s">
        <v>18</v>
      </c>
      <c r="J2472">
        <f t="shared" si="76"/>
        <v>12</v>
      </c>
      <c r="K2472" t="str">
        <f t="shared" si="77"/>
        <v>Budget</v>
      </c>
    </row>
    <row r="2473" spans="2:11" x14ac:dyDescent="0.25">
      <c r="B2473" t="s">
        <v>75</v>
      </c>
      <c r="C2473">
        <v>2011</v>
      </c>
      <c r="D2473" s="1">
        <v>229999</v>
      </c>
      <c r="E2473">
        <v>160000</v>
      </c>
      <c r="F2473" t="s">
        <v>15</v>
      </c>
      <c r="G2473" t="s">
        <v>10</v>
      </c>
      <c r="H2473" t="s">
        <v>11</v>
      </c>
      <c r="I2473" t="s">
        <v>18</v>
      </c>
      <c r="J2473">
        <f t="shared" si="76"/>
        <v>15</v>
      </c>
      <c r="K2473" t="str">
        <f t="shared" si="77"/>
        <v>Budget</v>
      </c>
    </row>
    <row r="2474" spans="2:11" x14ac:dyDescent="0.25">
      <c r="B2474" t="s">
        <v>1231</v>
      </c>
      <c r="C2474">
        <v>2015</v>
      </c>
      <c r="D2474" s="1">
        <v>821000</v>
      </c>
      <c r="E2474">
        <v>50000</v>
      </c>
      <c r="F2474" t="s">
        <v>9</v>
      </c>
      <c r="G2474" t="s">
        <v>10</v>
      </c>
      <c r="H2474" t="s">
        <v>11</v>
      </c>
      <c r="I2474" t="s">
        <v>12</v>
      </c>
      <c r="J2474">
        <f t="shared" si="76"/>
        <v>11</v>
      </c>
      <c r="K2474" t="str">
        <f t="shared" si="77"/>
        <v>Mid Range</v>
      </c>
    </row>
    <row r="2475" spans="2:11" x14ac:dyDescent="0.25">
      <c r="B2475" t="s">
        <v>170</v>
      </c>
      <c r="C2475">
        <v>2014</v>
      </c>
      <c r="D2475" s="1">
        <v>200000</v>
      </c>
      <c r="E2475">
        <v>80000</v>
      </c>
      <c r="F2475" t="s">
        <v>9</v>
      </c>
      <c r="G2475" t="s">
        <v>10</v>
      </c>
      <c r="H2475" t="s">
        <v>11</v>
      </c>
      <c r="I2475" t="s">
        <v>18</v>
      </c>
      <c r="J2475">
        <f t="shared" si="76"/>
        <v>12</v>
      </c>
      <c r="K2475" t="str">
        <f t="shared" si="77"/>
        <v>Budget</v>
      </c>
    </row>
    <row r="2476" spans="2:11" x14ac:dyDescent="0.25">
      <c r="B2476" t="s">
        <v>51</v>
      </c>
      <c r="C2476">
        <v>2017</v>
      </c>
      <c r="D2476" s="1">
        <v>1000000</v>
      </c>
      <c r="E2476">
        <v>60000</v>
      </c>
      <c r="F2476" t="s">
        <v>15</v>
      </c>
      <c r="G2476" t="s">
        <v>10</v>
      </c>
      <c r="H2476" t="s">
        <v>11</v>
      </c>
      <c r="I2476" t="s">
        <v>18</v>
      </c>
      <c r="J2476">
        <f t="shared" si="76"/>
        <v>9</v>
      </c>
      <c r="K2476" t="str">
        <f t="shared" si="77"/>
        <v>Mid Range</v>
      </c>
    </row>
    <row r="2477" spans="2:11" x14ac:dyDescent="0.25">
      <c r="B2477" t="s">
        <v>241</v>
      </c>
      <c r="C2477">
        <v>2016</v>
      </c>
      <c r="D2477" s="1">
        <v>220000</v>
      </c>
      <c r="E2477">
        <v>60000</v>
      </c>
      <c r="F2477" t="s">
        <v>9</v>
      </c>
      <c r="G2477" t="s">
        <v>10</v>
      </c>
      <c r="H2477" t="s">
        <v>11</v>
      </c>
      <c r="I2477" t="s">
        <v>18</v>
      </c>
      <c r="J2477">
        <f t="shared" si="76"/>
        <v>10</v>
      </c>
      <c r="K2477" t="str">
        <f t="shared" si="77"/>
        <v>Budget</v>
      </c>
    </row>
    <row r="2478" spans="2:11" x14ac:dyDescent="0.25">
      <c r="B2478" t="s">
        <v>832</v>
      </c>
      <c r="C2478">
        <v>2015</v>
      </c>
      <c r="D2478" s="1">
        <v>459999</v>
      </c>
      <c r="E2478">
        <v>148620</v>
      </c>
      <c r="F2478" t="s">
        <v>15</v>
      </c>
      <c r="G2478" t="s">
        <v>27</v>
      </c>
      <c r="H2478" t="s">
        <v>11</v>
      </c>
      <c r="I2478" t="s">
        <v>12</v>
      </c>
      <c r="J2478">
        <f t="shared" si="76"/>
        <v>11</v>
      </c>
      <c r="K2478" t="str">
        <f t="shared" si="77"/>
        <v>Budget</v>
      </c>
    </row>
    <row r="2479" spans="2:11" x14ac:dyDescent="0.25">
      <c r="B2479" t="s">
        <v>516</v>
      </c>
      <c r="C2479">
        <v>2012</v>
      </c>
      <c r="D2479" s="1">
        <v>310000</v>
      </c>
      <c r="E2479">
        <v>70000</v>
      </c>
      <c r="F2479" t="s">
        <v>15</v>
      </c>
      <c r="G2479" t="s">
        <v>10</v>
      </c>
      <c r="H2479" t="s">
        <v>11</v>
      </c>
      <c r="I2479" t="s">
        <v>18</v>
      </c>
      <c r="J2479">
        <f t="shared" si="76"/>
        <v>14</v>
      </c>
      <c r="K2479" t="str">
        <f t="shared" si="77"/>
        <v>Budget</v>
      </c>
    </row>
    <row r="2480" spans="2:11" x14ac:dyDescent="0.25">
      <c r="B2480" t="s">
        <v>1232</v>
      </c>
      <c r="C2480">
        <v>2018</v>
      </c>
      <c r="D2480" s="1">
        <v>815000</v>
      </c>
      <c r="E2480">
        <v>42000</v>
      </c>
      <c r="F2480" t="s">
        <v>15</v>
      </c>
      <c r="G2480" t="s">
        <v>10</v>
      </c>
      <c r="H2480" t="s">
        <v>11</v>
      </c>
      <c r="I2480" t="s">
        <v>12</v>
      </c>
      <c r="J2480">
        <f t="shared" si="76"/>
        <v>8</v>
      </c>
      <c r="K2480" t="str">
        <f t="shared" si="77"/>
        <v>Mid Range</v>
      </c>
    </row>
    <row r="2481" spans="2:11" x14ac:dyDescent="0.25">
      <c r="B2481" t="s">
        <v>729</v>
      </c>
      <c r="C2481">
        <v>2017</v>
      </c>
      <c r="D2481" s="1">
        <v>1200000</v>
      </c>
      <c r="E2481">
        <v>40000</v>
      </c>
      <c r="F2481" t="s">
        <v>15</v>
      </c>
      <c r="G2481" t="s">
        <v>10</v>
      </c>
      <c r="H2481" t="s">
        <v>11</v>
      </c>
      <c r="I2481" t="s">
        <v>12</v>
      </c>
      <c r="J2481">
        <f t="shared" si="76"/>
        <v>9</v>
      </c>
      <c r="K2481" t="str">
        <f t="shared" si="77"/>
        <v>Premium</v>
      </c>
    </row>
    <row r="2482" spans="2:11" x14ac:dyDescent="0.25">
      <c r="B2482" t="s">
        <v>1124</v>
      </c>
      <c r="C2482">
        <v>2011</v>
      </c>
      <c r="D2482" s="1">
        <v>170000</v>
      </c>
      <c r="E2482">
        <v>150000</v>
      </c>
      <c r="F2482" t="s">
        <v>15</v>
      </c>
      <c r="G2482" t="s">
        <v>10</v>
      </c>
      <c r="H2482" t="s">
        <v>11</v>
      </c>
      <c r="I2482" t="s">
        <v>18</v>
      </c>
      <c r="J2482">
        <f t="shared" si="76"/>
        <v>15</v>
      </c>
      <c r="K2482" t="str">
        <f t="shared" si="77"/>
        <v>Budget</v>
      </c>
    </row>
    <row r="2483" spans="2:11" x14ac:dyDescent="0.25">
      <c r="B2483" t="s">
        <v>1233</v>
      </c>
      <c r="C2483">
        <v>2017</v>
      </c>
      <c r="D2483" s="1">
        <v>1000000</v>
      </c>
      <c r="E2483">
        <v>30000</v>
      </c>
      <c r="F2483" t="s">
        <v>15</v>
      </c>
      <c r="G2483" t="s">
        <v>10</v>
      </c>
      <c r="H2483" t="s">
        <v>11</v>
      </c>
      <c r="I2483" t="s">
        <v>12</v>
      </c>
      <c r="J2483">
        <f t="shared" si="76"/>
        <v>9</v>
      </c>
      <c r="K2483" t="str">
        <f t="shared" si="77"/>
        <v>Mid Range</v>
      </c>
    </row>
    <row r="2484" spans="2:11" x14ac:dyDescent="0.25">
      <c r="B2484" t="s">
        <v>56</v>
      </c>
      <c r="C2484">
        <v>2010</v>
      </c>
      <c r="D2484" s="1">
        <v>155000</v>
      </c>
      <c r="E2484">
        <v>90000</v>
      </c>
      <c r="F2484" t="s">
        <v>9</v>
      </c>
      <c r="G2484" t="s">
        <v>10</v>
      </c>
      <c r="H2484" t="s">
        <v>11</v>
      </c>
      <c r="I2484" t="s">
        <v>46</v>
      </c>
      <c r="J2484">
        <f t="shared" si="76"/>
        <v>16</v>
      </c>
      <c r="K2484" t="str">
        <f t="shared" si="77"/>
        <v>Budget</v>
      </c>
    </row>
    <row r="2485" spans="2:11" x14ac:dyDescent="0.25">
      <c r="B2485" t="s">
        <v>1181</v>
      </c>
      <c r="C2485">
        <v>2017</v>
      </c>
      <c r="D2485" s="1">
        <v>400000</v>
      </c>
      <c r="E2485">
        <v>120000</v>
      </c>
      <c r="F2485" t="s">
        <v>15</v>
      </c>
      <c r="G2485" t="s">
        <v>10</v>
      </c>
      <c r="H2485" t="s">
        <v>11</v>
      </c>
      <c r="I2485" t="s">
        <v>12</v>
      </c>
      <c r="J2485">
        <f t="shared" si="76"/>
        <v>9</v>
      </c>
      <c r="K2485" t="str">
        <f t="shared" si="77"/>
        <v>Budget</v>
      </c>
    </row>
    <row r="2486" spans="2:11" x14ac:dyDescent="0.25">
      <c r="B2486" t="s">
        <v>839</v>
      </c>
      <c r="C2486">
        <v>2016</v>
      </c>
      <c r="D2486" s="1">
        <v>400000</v>
      </c>
      <c r="E2486">
        <v>80000</v>
      </c>
      <c r="F2486" t="s">
        <v>15</v>
      </c>
      <c r="G2486" t="s">
        <v>10</v>
      </c>
      <c r="H2486" t="s">
        <v>11</v>
      </c>
      <c r="I2486" t="s">
        <v>18</v>
      </c>
      <c r="J2486">
        <f t="shared" si="76"/>
        <v>10</v>
      </c>
      <c r="K2486" t="str">
        <f t="shared" si="77"/>
        <v>Budget</v>
      </c>
    </row>
    <row r="2487" spans="2:11" x14ac:dyDescent="0.25">
      <c r="B2487" t="s">
        <v>1234</v>
      </c>
      <c r="C2487">
        <v>2010</v>
      </c>
      <c r="D2487" s="1">
        <v>250000</v>
      </c>
      <c r="E2487">
        <v>80000</v>
      </c>
      <c r="F2487" t="s">
        <v>15</v>
      </c>
      <c r="G2487" t="s">
        <v>10</v>
      </c>
      <c r="H2487" t="s">
        <v>11</v>
      </c>
      <c r="I2487" t="s">
        <v>18</v>
      </c>
      <c r="J2487">
        <f t="shared" si="76"/>
        <v>16</v>
      </c>
      <c r="K2487" t="str">
        <f t="shared" si="77"/>
        <v>Budget</v>
      </c>
    </row>
    <row r="2488" spans="2:11" x14ac:dyDescent="0.25">
      <c r="B2488" t="s">
        <v>833</v>
      </c>
      <c r="C2488">
        <v>2008</v>
      </c>
      <c r="D2488" s="1">
        <v>150000</v>
      </c>
      <c r="E2488">
        <v>50000</v>
      </c>
      <c r="F2488" t="s">
        <v>9</v>
      </c>
      <c r="G2488" t="s">
        <v>10</v>
      </c>
      <c r="H2488" t="s">
        <v>11</v>
      </c>
      <c r="I2488" t="s">
        <v>49</v>
      </c>
      <c r="J2488">
        <f t="shared" si="76"/>
        <v>18</v>
      </c>
      <c r="K2488" t="str">
        <f t="shared" si="77"/>
        <v>Budget</v>
      </c>
    </row>
    <row r="2489" spans="2:11" x14ac:dyDescent="0.25">
      <c r="B2489" t="s">
        <v>138</v>
      </c>
      <c r="C2489">
        <v>2002</v>
      </c>
      <c r="D2489" s="1">
        <v>80000</v>
      </c>
      <c r="E2489">
        <v>70000</v>
      </c>
      <c r="F2489" t="s">
        <v>9</v>
      </c>
      <c r="G2489" t="s">
        <v>10</v>
      </c>
      <c r="H2489" t="s">
        <v>11</v>
      </c>
      <c r="I2489" t="s">
        <v>18</v>
      </c>
      <c r="J2489">
        <f t="shared" si="76"/>
        <v>24</v>
      </c>
      <c r="K2489" t="str">
        <f t="shared" si="77"/>
        <v>Budget</v>
      </c>
    </row>
    <row r="2490" spans="2:11" x14ac:dyDescent="0.25">
      <c r="B2490" t="s">
        <v>1235</v>
      </c>
      <c r="C2490">
        <v>2014</v>
      </c>
      <c r="D2490" s="1">
        <v>325000</v>
      </c>
      <c r="E2490">
        <v>70000</v>
      </c>
      <c r="F2490" t="s">
        <v>15</v>
      </c>
      <c r="G2490" t="s">
        <v>10</v>
      </c>
      <c r="H2490" t="s">
        <v>28</v>
      </c>
      <c r="I2490" t="s">
        <v>12</v>
      </c>
      <c r="J2490">
        <f t="shared" si="76"/>
        <v>12</v>
      </c>
      <c r="K2490" t="str">
        <f t="shared" si="77"/>
        <v>Budget</v>
      </c>
    </row>
    <row r="2491" spans="2:11" x14ac:dyDescent="0.25">
      <c r="B2491" t="s">
        <v>1236</v>
      </c>
      <c r="C2491">
        <v>2019</v>
      </c>
      <c r="D2491" s="1">
        <v>738000</v>
      </c>
      <c r="E2491">
        <v>8000</v>
      </c>
      <c r="F2491" t="s">
        <v>9</v>
      </c>
      <c r="G2491" t="s">
        <v>10</v>
      </c>
      <c r="H2491" t="s">
        <v>28</v>
      </c>
      <c r="I2491" t="s">
        <v>12</v>
      </c>
      <c r="J2491">
        <f t="shared" si="76"/>
        <v>7</v>
      </c>
      <c r="K2491" t="str">
        <f t="shared" si="77"/>
        <v>Mid Range</v>
      </c>
    </row>
    <row r="2492" spans="2:11" x14ac:dyDescent="0.25">
      <c r="B2492" t="s">
        <v>170</v>
      </c>
      <c r="C2492">
        <v>2016</v>
      </c>
      <c r="D2492" s="1">
        <v>300000</v>
      </c>
      <c r="E2492">
        <v>30000</v>
      </c>
      <c r="F2492" t="s">
        <v>9</v>
      </c>
      <c r="G2492" t="s">
        <v>10</v>
      </c>
      <c r="H2492" t="s">
        <v>11</v>
      </c>
      <c r="I2492" t="s">
        <v>12</v>
      </c>
      <c r="J2492">
        <f t="shared" si="76"/>
        <v>10</v>
      </c>
      <c r="K2492" t="str">
        <f t="shared" si="77"/>
        <v>Budget</v>
      </c>
    </row>
    <row r="2493" spans="2:11" x14ac:dyDescent="0.25">
      <c r="B2493" t="s">
        <v>363</v>
      </c>
      <c r="C2493">
        <v>2012</v>
      </c>
      <c r="D2493" s="1">
        <v>150000</v>
      </c>
      <c r="E2493">
        <v>110000</v>
      </c>
      <c r="F2493" t="s">
        <v>15</v>
      </c>
      <c r="G2493" t="s">
        <v>10</v>
      </c>
      <c r="H2493" t="s">
        <v>11</v>
      </c>
      <c r="I2493" t="s">
        <v>12</v>
      </c>
      <c r="J2493">
        <f t="shared" si="76"/>
        <v>14</v>
      </c>
      <c r="K2493" t="str">
        <f t="shared" si="77"/>
        <v>Budget</v>
      </c>
    </row>
    <row r="2494" spans="2:11" x14ac:dyDescent="0.25">
      <c r="B2494" t="s">
        <v>1215</v>
      </c>
      <c r="C2494">
        <v>2007</v>
      </c>
      <c r="D2494" s="1">
        <v>440000</v>
      </c>
      <c r="E2494">
        <v>223000</v>
      </c>
      <c r="F2494" t="s">
        <v>15</v>
      </c>
      <c r="G2494" t="s">
        <v>10</v>
      </c>
      <c r="H2494" t="s">
        <v>11</v>
      </c>
      <c r="I2494" t="s">
        <v>46</v>
      </c>
      <c r="J2494">
        <f t="shared" si="76"/>
        <v>19</v>
      </c>
      <c r="K2494" t="str">
        <f t="shared" si="77"/>
        <v>Budget</v>
      </c>
    </row>
    <row r="2495" spans="2:11" x14ac:dyDescent="0.25">
      <c r="B2495" t="s">
        <v>1237</v>
      </c>
      <c r="C2495">
        <v>2011</v>
      </c>
      <c r="D2495" s="1">
        <v>280000</v>
      </c>
      <c r="E2495">
        <v>110000</v>
      </c>
      <c r="F2495" t="s">
        <v>15</v>
      </c>
      <c r="G2495" t="s">
        <v>10</v>
      </c>
      <c r="H2495" t="s">
        <v>11</v>
      </c>
      <c r="I2495" t="s">
        <v>12</v>
      </c>
      <c r="J2495">
        <f t="shared" si="76"/>
        <v>15</v>
      </c>
      <c r="K2495" t="str">
        <f t="shared" si="77"/>
        <v>Budget</v>
      </c>
    </row>
    <row r="2496" spans="2:11" x14ac:dyDescent="0.25">
      <c r="B2496" t="s">
        <v>427</v>
      </c>
      <c r="C2496">
        <v>2006</v>
      </c>
      <c r="D2496" s="1">
        <v>100000</v>
      </c>
      <c r="E2496">
        <v>120000</v>
      </c>
      <c r="F2496" t="s">
        <v>9</v>
      </c>
      <c r="G2496" t="s">
        <v>10</v>
      </c>
      <c r="H2496" t="s">
        <v>11</v>
      </c>
      <c r="I2496" t="s">
        <v>18</v>
      </c>
      <c r="J2496">
        <f t="shared" si="76"/>
        <v>20</v>
      </c>
      <c r="K2496" t="str">
        <f t="shared" si="77"/>
        <v>Budget</v>
      </c>
    </row>
    <row r="2497" spans="2:11" x14ac:dyDescent="0.25">
      <c r="B2497" t="s">
        <v>1238</v>
      </c>
      <c r="C2497">
        <v>2008</v>
      </c>
      <c r="D2497" s="1">
        <v>150000</v>
      </c>
      <c r="E2497">
        <v>100000</v>
      </c>
      <c r="F2497" t="s">
        <v>9</v>
      </c>
      <c r="G2497" t="s">
        <v>10</v>
      </c>
      <c r="H2497" t="s">
        <v>11</v>
      </c>
      <c r="I2497" t="s">
        <v>18</v>
      </c>
      <c r="J2497">
        <f t="shared" si="76"/>
        <v>18</v>
      </c>
      <c r="K2497" t="str">
        <f t="shared" si="77"/>
        <v>Budget</v>
      </c>
    </row>
    <row r="2498" spans="2:11" x14ac:dyDescent="0.25">
      <c r="B2498" t="s">
        <v>114</v>
      </c>
      <c r="C2498">
        <v>2014</v>
      </c>
      <c r="D2498" s="1">
        <v>380000</v>
      </c>
      <c r="E2498">
        <v>100000</v>
      </c>
      <c r="F2498" t="s">
        <v>15</v>
      </c>
      <c r="G2498" t="s">
        <v>10</v>
      </c>
      <c r="H2498" t="s">
        <v>11</v>
      </c>
      <c r="I2498" t="s">
        <v>18</v>
      </c>
      <c r="J2498">
        <f t="shared" si="76"/>
        <v>12</v>
      </c>
      <c r="K2498" t="str">
        <f t="shared" si="77"/>
        <v>Budget</v>
      </c>
    </row>
    <row r="2499" spans="2:11" x14ac:dyDescent="0.25">
      <c r="B2499" t="s">
        <v>172</v>
      </c>
      <c r="C2499">
        <v>2006</v>
      </c>
      <c r="D2499" s="1">
        <v>90000</v>
      </c>
      <c r="E2499">
        <v>60000</v>
      </c>
      <c r="F2499" t="s">
        <v>9</v>
      </c>
      <c r="G2499" t="s">
        <v>10</v>
      </c>
      <c r="H2499" t="s">
        <v>11</v>
      </c>
      <c r="I2499" t="s">
        <v>18</v>
      </c>
      <c r="J2499">
        <f t="shared" si="76"/>
        <v>20</v>
      </c>
      <c r="K2499" t="str">
        <f t="shared" si="77"/>
        <v>Budget</v>
      </c>
    </row>
    <row r="2500" spans="2:11" x14ac:dyDescent="0.25">
      <c r="B2500" t="s">
        <v>939</v>
      </c>
      <c r="C2500">
        <v>2008</v>
      </c>
      <c r="D2500" s="1">
        <v>300000</v>
      </c>
      <c r="E2500">
        <v>270000</v>
      </c>
      <c r="F2500" t="s">
        <v>15</v>
      </c>
      <c r="G2500" t="s">
        <v>10</v>
      </c>
      <c r="H2500" t="s">
        <v>11</v>
      </c>
      <c r="I2500" t="s">
        <v>49</v>
      </c>
      <c r="J2500">
        <f t="shared" si="76"/>
        <v>18</v>
      </c>
      <c r="K2500" t="str">
        <f t="shared" si="77"/>
        <v>Budget</v>
      </c>
    </row>
    <row r="2501" spans="2:11" x14ac:dyDescent="0.25">
      <c r="B2501" t="s">
        <v>1239</v>
      </c>
      <c r="C2501">
        <v>2011</v>
      </c>
      <c r="D2501" s="1">
        <v>275000</v>
      </c>
      <c r="E2501">
        <v>60000</v>
      </c>
      <c r="F2501" t="s">
        <v>15</v>
      </c>
      <c r="G2501" t="s">
        <v>10</v>
      </c>
      <c r="H2501" t="s">
        <v>11</v>
      </c>
      <c r="I2501" t="s">
        <v>18</v>
      </c>
      <c r="J2501">
        <f t="shared" si="76"/>
        <v>15</v>
      </c>
      <c r="K2501" t="str">
        <f t="shared" si="77"/>
        <v>Budget</v>
      </c>
    </row>
    <row r="2502" spans="2:11" x14ac:dyDescent="0.25">
      <c r="B2502" t="s">
        <v>641</v>
      </c>
      <c r="C2502">
        <v>2009</v>
      </c>
      <c r="D2502" s="1">
        <v>180000</v>
      </c>
      <c r="E2502">
        <v>41090</v>
      </c>
      <c r="F2502" t="s">
        <v>9</v>
      </c>
      <c r="G2502" t="s">
        <v>10</v>
      </c>
      <c r="H2502" t="s">
        <v>11</v>
      </c>
      <c r="I2502" t="s">
        <v>12</v>
      </c>
      <c r="J2502">
        <f t="shared" ref="J2502:J2565" si="78">2026 - C2502</f>
        <v>17</v>
      </c>
      <c r="K2502" t="str">
        <f t="shared" ref="K2502:K2565" si="79">IF(D2502&lt;500000,"Budget",IF(D2502&lt;=1000000,"Mid Range","Premium"))</f>
        <v>Budget</v>
      </c>
    </row>
    <row r="2503" spans="2:11" x14ac:dyDescent="0.25">
      <c r="B2503" t="s">
        <v>354</v>
      </c>
      <c r="C2503">
        <v>2012</v>
      </c>
      <c r="D2503" s="1">
        <v>225000</v>
      </c>
      <c r="E2503">
        <v>296823</v>
      </c>
      <c r="F2503" t="s">
        <v>15</v>
      </c>
      <c r="G2503" t="s">
        <v>10</v>
      </c>
      <c r="H2503" t="s">
        <v>11</v>
      </c>
      <c r="I2503" t="s">
        <v>12</v>
      </c>
      <c r="J2503">
        <f t="shared" si="78"/>
        <v>14</v>
      </c>
      <c r="K2503" t="str">
        <f t="shared" si="79"/>
        <v>Budget</v>
      </c>
    </row>
    <row r="2504" spans="2:11" x14ac:dyDescent="0.25">
      <c r="B2504" t="s">
        <v>249</v>
      </c>
      <c r="C2504">
        <v>2014</v>
      </c>
      <c r="D2504" s="1">
        <v>200000</v>
      </c>
      <c r="E2504">
        <v>40000</v>
      </c>
      <c r="F2504" t="s">
        <v>9</v>
      </c>
      <c r="G2504" t="s">
        <v>10</v>
      </c>
      <c r="H2504" t="s">
        <v>11</v>
      </c>
      <c r="I2504" t="s">
        <v>12</v>
      </c>
      <c r="J2504">
        <f t="shared" si="78"/>
        <v>12</v>
      </c>
      <c r="K2504" t="str">
        <f t="shared" si="79"/>
        <v>Budget</v>
      </c>
    </row>
    <row r="2505" spans="2:11" x14ac:dyDescent="0.25">
      <c r="B2505" t="s">
        <v>1240</v>
      </c>
      <c r="C2505">
        <v>2011</v>
      </c>
      <c r="D2505" s="1">
        <v>500000</v>
      </c>
      <c r="E2505">
        <v>40000</v>
      </c>
      <c r="F2505" t="s">
        <v>9</v>
      </c>
      <c r="G2505" t="s">
        <v>10</v>
      </c>
      <c r="H2505" t="s">
        <v>11</v>
      </c>
      <c r="I2505" t="s">
        <v>18</v>
      </c>
      <c r="J2505">
        <f t="shared" si="78"/>
        <v>15</v>
      </c>
      <c r="K2505" t="str">
        <f t="shared" si="79"/>
        <v>Mid Range</v>
      </c>
    </row>
    <row r="2506" spans="2:11" x14ac:dyDescent="0.25">
      <c r="B2506" t="s">
        <v>1241</v>
      </c>
      <c r="C2506">
        <v>2010</v>
      </c>
      <c r="D2506" s="1">
        <v>300000</v>
      </c>
      <c r="E2506">
        <v>70000</v>
      </c>
      <c r="F2506" t="s">
        <v>9</v>
      </c>
      <c r="G2506" t="s">
        <v>10</v>
      </c>
      <c r="H2506" t="s">
        <v>11</v>
      </c>
      <c r="I2506" t="s">
        <v>18</v>
      </c>
      <c r="J2506">
        <f t="shared" si="78"/>
        <v>16</v>
      </c>
      <c r="K2506" t="str">
        <f t="shared" si="79"/>
        <v>Budget</v>
      </c>
    </row>
    <row r="2507" spans="2:11" x14ac:dyDescent="0.25">
      <c r="B2507" t="s">
        <v>1227</v>
      </c>
      <c r="C2507">
        <v>2015</v>
      </c>
      <c r="D2507" s="1">
        <v>765000</v>
      </c>
      <c r="E2507">
        <v>80000</v>
      </c>
      <c r="F2507" t="s">
        <v>15</v>
      </c>
      <c r="G2507" t="s">
        <v>10</v>
      </c>
      <c r="H2507" t="s">
        <v>11</v>
      </c>
      <c r="I2507" t="s">
        <v>18</v>
      </c>
      <c r="J2507">
        <f t="shared" si="78"/>
        <v>11</v>
      </c>
      <c r="K2507" t="str">
        <f t="shared" si="79"/>
        <v>Mid Range</v>
      </c>
    </row>
    <row r="2508" spans="2:11" x14ac:dyDescent="0.25">
      <c r="B2508" t="s">
        <v>114</v>
      </c>
      <c r="C2508">
        <v>2017</v>
      </c>
      <c r="D2508" s="1">
        <v>650000</v>
      </c>
      <c r="E2508">
        <v>90000</v>
      </c>
      <c r="F2508" t="s">
        <v>15</v>
      </c>
      <c r="G2508" t="s">
        <v>10</v>
      </c>
      <c r="H2508" t="s">
        <v>11</v>
      </c>
      <c r="I2508" t="s">
        <v>12</v>
      </c>
      <c r="J2508">
        <f t="shared" si="78"/>
        <v>9</v>
      </c>
      <c r="K2508" t="str">
        <f t="shared" si="79"/>
        <v>Mid Range</v>
      </c>
    </row>
    <row r="2509" spans="2:11" x14ac:dyDescent="0.25">
      <c r="B2509" t="s">
        <v>1242</v>
      </c>
      <c r="C2509">
        <v>2017</v>
      </c>
      <c r="D2509" s="1">
        <v>380000</v>
      </c>
      <c r="E2509">
        <v>19000</v>
      </c>
      <c r="F2509" t="s">
        <v>9</v>
      </c>
      <c r="G2509" t="s">
        <v>10</v>
      </c>
      <c r="H2509" t="s">
        <v>11</v>
      </c>
      <c r="I2509" t="s">
        <v>12</v>
      </c>
      <c r="J2509">
        <f t="shared" si="78"/>
        <v>9</v>
      </c>
      <c r="K2509" t="str">
        <f t="shared" si="79"/>
        <v>Budget</v>
      </c>
    </row>
    <row r="2510" spans="2:11" x14ac:dyDescent="0.25">
      <c r="B2510" t="s">
        <v>114</v>
      </c>
      <c r="C2510">
        <v>2014</v>
      </c>
      <c r="D2510" s="1">
        <v>480000</v>
      </c>
      <c r="E2510">
        <v>110000</v>
      </c>
      <c r="F2510" t="s">
        <v>15</v>
      </c>
      <c r="G2510" t="s">
        <v>10</v>
      </c>
      <c r="H2510" t="s">
        <v>11</v>
      </c>
      <c r="I2510" t="s">
        <v>18</v>
      </c>
      <c r="J2510">
        <f t="shared" si="78"/>
        <v>12</v>
      </c>
      <c r="K2510" t="str">
        <f t="shared" si="79"/>
        <v>Budget</v>
      </c>
    </row>
    <row r="2511" spans="2:11" x14ac:dyDescent="0.25">
      <c r="B2511" t="s">
        <v>628</v>
      </c>
      <c r="C2511">
        <v>1996</v>
      </c>
      <c r="D2511" s="1">
        <v>200000</v>
      </c>
      <c r="E2511">
        <v>60000</v>
      </c>
      <c r="F2511" t="s">
        <v>15</v>
      </c>
      <c r="G2511" t="s">
        <v>10</v>
      </c>
      <c r="H2511" t="s">
        <v>11</v>
      </c>
      <c r="I2511" t="s">
        <v>12</v>
      </c>
      <c r="J2511">
        <f t="shared" si="78"/>
        <v>30</v>
      </c>
      <c r="K2511" t="str">
        <f t="shared" si="79"/>
        <v>Budget</v>
      </c>
    </row>
    <row r="2512" spans="2:11" x14ac:dyDescent="0.25">
      <c r="B2512" t="s">
        <v>1243</v>
      </c>
      <c r="C2512">
        <v>2010</v>
      </c>
      <c r="D2512" s="1">
        <v>145000</v>
      </c>
      <c r="E2512">
        <v>68000</v>
      </c>
      <c r="F2512" t="s">
        <v>24</v>
      </c>
      <c r="G2512" t="s">
        <v>10</v>
      </c>
      <c r="H2512" t="s">
        <v>11</v>
      </c>
      <c r="I2512" t="s">
        <v>18</v>
      </c>
      <c r="J2512">
        <f t="shared" si="78"/>
        <v>16</v>
      </c>
      <c r="K2512" t="str">
        <f t="shared" si="79"/>
        <v>Budget</v>
      </c>
    </row>
    <row r="2513" spans="2:11" x14ac:dyDescent="0.25">
      <c r="B2513" t="s">
        <v>295</v>
      </c>
      <c r="C2513">
        <v>2011</v>
      </c>
      <c r="D2513" s="1">
        <v>280000</v>
      </c>
      <c r="E2513">
        <v>120000</v>
      </c>
      <c r="F2513" t="s">
        <v>15</v>
      </c>
      <c r="G2513" t="s">
        <v>10</v>
      </c>
      <c r="H2513" t="s">
        <v>11</v>
      </c>
      <c r="I2513" t="s">
        <v>18</v>
      </c>
      <c r="J2513">
        <f t="shared" si="78"/>
        <v>15</v>
      </c>
      <c r="K2513" t="str">
        <f t="shared" si="79"/>
        <v>Budget</v>
      </c>
    </row>
    <row r="2514" spans="2:11" x14ac:dyDescent="0.25">
      <c r="B2514" t="s">
        <v>114</v>
      </c>
      <c r="C2514">
        <v>2014</v>
      </c>
      <c r="D2514" s="1">
        <v>254999</v>
      </c>
      <c r="E2514">
        <v>30000</v>
      </c>
      <c r="F2514" t="s">
        <v>15</v>
      </c>
      <c r="G2514" t="s">
        <v>10</v>
      </c>
      <c r="H2514" t="s">
        <v>11</v>
      </c>
      <c r="I2514" t="s">
        <v>12</v>
      </c>
      <c r="J2514">
        <f t="shared" si="78"/>
        <v>12</v>
      </c>
      <c r="K2514" t="str">
        <f t="shared" si="79"/>
        <v>Budget</v>
      </c>
    </row>
    <row r="2515" spans="2:11" x14ac:dyDescent="0.25">
      <c r="B2515" t="s">
        <v>1244</v>
      </c>
      <c r="C2515">
        <v>2016</v>
      </c>
      <c r="D2515" s="1">
        <v>300000</v>
      </c>
      <c r="E2515">
        <v>90000</v>
      </c>
      <c r="F2515" t="s">
        <v>9</v>
      </c>
      <c r="G2515" t="s">
        <v>10</v>
      </c>
      <c r="H2515" t="s">
        <v>11</v>
      </c>
      <c r="I2515" t="s">
        <v>18</v>
      </c>
      <c r="J2515">
        <f t="shared" si="78"/>
        <v>10</v>
      </c>
      <c r="K2515" t="str">
        <f t="shared" si="79"/>
        <v>Budget</v>
      </c>
    </row>
    <row r="2516" spans="2:11" x14ac:dyDescent="0.25">
      <c r="B2516" t="s">
        <v>162</v>
      </c>
      <c r="C2516">
        <v>2015</v>
      </c>
      <c r="D2516" s="1">
        <v>480000</v>
      </c>
      <c r="E2516">
        <v>140000</v>
      </c>
      <c r="F2516" t="s">
        <v>15</v>
      </c>
      <c r="G2516" t="s">
        <v>10</v>
      </c>
      <c r="H2516" t="s">
        <v>11</v>
      </c>
      <c r="I2516" t="s">
        <v>49</v>
      </c>
      <c r="J2516">
        <f t="shared" si="78"/>
        <v>11</v>
      </c>
      <c r="K2516" t="str">
        <f t="shared" si="79"/>
        <v>Budget</v>
      </c>
    </row>
    <row r="2517" spans="2:11" x14ac:dyDescent="0.25">
      <c r="B2517" t="s">
        <v>1245</v>
      </c>
      <c r="C2517">
        <v>2017</v>
      </c>
      <c r="D2517" s="1">
        <v>850000</v>
      </c>
      <c r="E2517">
        <v>44500</v>
      </c>
      <c r="F2517" t="s">
        <v>9</v>
      </c>
      <c r="G2517" t="s">
        <v>10</v>
      </c>
      <c r="H2517" t="s">
        <v>28</v>
      </c>
      <c r="I2517" t="s">
        <v>12</v>
      </c>
      <c r="J2517">
        <f t="shared" si="78"/>
        <v>9</v>
      </c>
      <c r="K2517" t="str">
        <f t="shared" si="79"/>
        <v>Mid Range</v>
      </c>
    </row>
    <row r="2518" spans="2:11" x14ac:dyDescent="0.25">
      <c r="B2518" t="s">
        <v>144</v>
      </c>
      <c r="C2518">
        <v>2014</v>
      </c>
      <c r="D2518" s="1">
        <v>350000</v>
      </c>
      <c r="E2518">
        <v>52000</v>
      </c>
      <c r="F2518" t="s">
        <v>15</v>
      </c>
      <c r="G2518" t="s">
        <v>10</v>
      </c>
      <c r="H2518" t="s">
        <v>11</v>
      </c>
      <c r="I2518" t="s">
        <v>18</v>
      </c>
      <c r="J2518">
        <f t="shared" si="78"/>
        <v>12</v>
      </c>
      <c r="K2518" t="str">
        <f t="shared" si="79"/>
        <v>Budget</v>
      </c>
    </row>
    <row r="2519" spans="2:11" x14ac:dyDescent="0.25">
      <c r="B2519" t="s">
        <v>208</v>
      </c>
      <c r="C2519">
        <v>2016</v>
      </c>
      <c r="D2519" s="1">
        <v>650000</v>
      </c>
      <c r="E2519">
        <v>26000</v>
      </c>
      <c r="F2519" t="s">
        <v>9</v>
      </c>
      <c r="G2519" t="s">
        <v>10</v>
      </c>
      <c r="H2519" t="s">
        <v>11</v>
      </c>
      <c r="I2519" t="s">
        <v>12</v>
      </c>
      <c r="J2519">
        <f t="shared" si="78"/>
        <v>10</v>
      </c>
      <c r="K2519" t="str">
        <f t="shared" si="79"/>
        <v>Mid Range</v>
      </c>
    </row>
    <row r="2520" spans="2:11" x14ac:dyDescent="0.25">
      <c r="B2520" t="s">
        <v>1246</v>
      </c>
      <c r="C2520">
        <v>2007</v>
      </c>
      <c r="D2520" s="1">
        <v>550000</v>
      </c>
      <c r="E2520">
        <v>80000</v>
      </c>
      <c r="F2520" t="s">
        <v>9</v>
      </c>
      <c r="G2520" t="s">
        <v>10</v>
      </c>
      <c r="H2520" t="s">
        <v>11</v>
      </c>
      <c r="I2520" t="s">
        <v>18</v>
      </c>
      <c r="J2520">
        <f t="shared" si="78"/>
        <v>19</v>
      </c>
      <c r="K2520" t="str">
        <f t="shared" si="79"/>
        <v>Mid Range</v>
      </c>
    </row>
    <row r="2521" spans="2:11" x14ac:dyDescent="0.25">
      <c r="B2521" t="s">
        <v>1090</v>
      </c>
      <c r="C2521">
        <v>2015</v>
      </c>
      <c r="D2521" s="1">
        <v>300000</v>
      </c>
      <c r="E2521">
        <v>35000</v>
      </c>
      <c r="F2521" t="s">
        <v>9</v>
      </c>
      <c r="G2521" t="s">
        <v>10</v>
      </c>
      <c r="H2521" t="s">
        <v>11</v>
      </c>
      <c r="I2521" t="s">
        <v>12</v>
      </c>
      <c r="J2521">
        <f t="shared" si="78"/>
        <v>11</v>
      </c>
      <c r="K2521" t="str">
        <f t="shared" si="79"/>
        <v>Budget</v>
      </c>
    </row>
    <row r="2522" spans="2:11" x14ac:dyDescent="0.25">
      <c r="B2522" t="s">
        <v>76</v>
      </c>
      <c r="C2522">
        <v>2008</v>
      </c>
      <c r="D2522" s="1">
        <v>150000</v>
      </c>
      <c r="E2522">
        <v>60000</v>
      </c>
      <c r="F2522" t="s">
        <v>9</v>
      </c>
      <c r="G2522" t="s">
        <v>10</v>
      </c>
      <c r="H2522" t="s">
        <v>11</v>
      </c>
      <c r="I2522" t="s">
        <v>18</v>
      </c>
      <c r="J2522">
        <f t="shared" si="78"/>
        <v>18</v>
      </c>
      <c r="K2522" t="str">
        <f t="shared" si="79"/>
        <v>Budget</v>
      </c>
    </row>
    <row r="2523" spans="2:11" x14ac:dyDescent="0.25">
      <c r="B2523" t="s">
        <v>289</v>
      </c>
      <c r="C2523">
        <v>2014</v>
      </c>
      <c r="D2523" s="1">
        <v>300000</v>
      </c>
      <c r="E2523">
        <v>120000</v>
      </c>
      <c r="F2523" t="s">
        <v>9</v>
      </c>
      <c r="G2523" t="s">
        <v>10</v>
      </c>
      <c r="H2523" t="s">
        <v>11</v>
      </c>
      <c r="I2523" t="s">
        <v>12</v>
      </c>
      <c r="J2523">
        <f t="shared" si="78"/>
        <v>12</v>
      </c>
      <c r="K2523" t="str">
        <f t="shared" si="79"/>
        <v>Budget</v>
      </c>
    </row>
    <row r="2524" spans="2:11" x14ac:dyDescent="0.25">
      <c r="B2524" t="s">
        <v>164</v>
      </c>
      <c r="C2524">
        <v>2004</v>
      </c>
      <c r="D2524" s="1">
        <v>80000</v>
      </c>
      <c r="E2524">
        <v>58000</v>
      </c>
      <c r="F2524" t="s">
        <v>9</v>
      </c>
      <c r="G2524" t="s">
        <v>10</v>
      </c>
      <c r="H2524" t="s">
        <v>11</v>
      </c>
      <c r="I2524" t="s">
        <v>12</v>
      </c>
      <c r="J2524">
        <f t="shared" si="78"/>
        <v>22</v>
      </c>
      <c r="K2524" t="str">
        <f t="shared" si="79"/>
        <v>Budget</v>
      </c>
    </row>
    <row r="2525" spans="2:11" x14ac:dyDescent="0.25">
      <c r="B2525" t="s">
        <v>769</v>
      </c>
      <c r="C2525">
        <v>2011</v>
      </c>
      <c r="D2525" s="1">
        <v>180000</v>
      </c>
      <c r="E2525">
        <v>80000</v>
      </c>
      <c r="F2525" t="s">
        <v>15</v>
      </c>
      <c r="G2525" t="s">
        <v>10</v>
      </c>
      <c r="H2525" t="s">
        <v>11</v>
      </c>
      <c r="I2525" t="s">
        <v>49</v>
      </c>
      <c r="J2525">
        <f t="shared" si="78"/>
        <v>15</v>
      </c>
      <c r="K2525" t="str">
        <f t="shared" si="79"/>
        <v>Budget</v>
      </c>
    </row>
    <row r="2526" spans="2:11" x14ac:dyDescent="0.25">
      <c r="B2526" t="s">
        <v>1014</v>
      </c>
      <c r="C2526">
        <v>2009</v>
      </c>
      <c r="D2526" s="1">
        <v>110000</v>
      </c>
      <c r="E2526">
        <v>100000</v>
      </c>
      <c r="F2526" t="s">
        <v>15</v>
      </c>
      <c r="G2526" t="s">
        <v>10</v>
      </c>
      <c r="H2526" t="s">
        <v>11</v>
      </c>
      <c r="I2526" t="s">
        <v>46</v>
      </c>
      <c r="J2526">
        <f t="shared" si="78"/>
        <v>17</v>
      </c>
      <c r="K2526" t="str">
        <f t="shared" si="79"/>
        <v>Budget</v>
      </c>
    </row>
    <row r="2527" spans="2:11" x14ac:dyDescent="0.25">
      <c r="B2527" t="s">
        <v>289</v>
      </c>
      <c r="C2527">
        <v>2015</v>
      </c>
      <c r="D2527" s="1">
        <v>425000</v>
      </c>
      <c r="E2527">
        <v>12000</v>
      </c>
      <c r="F2527" t="s">
        <v>9</v>
      </c>
      <c r="G2527" t="s">
        <v>10</v>
      </c>
      <c r="H2527" t="s">
        <v>11</v>
      </c>
      <c r="I2527" t="s">
        <v>12</v>
      </c>
      <c r="J2527">
        <f t="shared" si="78"/>
        <v>11</v>
      </c>
      <c r="K2527" t="str">
        <f t="shared" si="79"/>
        <v>Budget</v>
      </c>
    </row>
    <row r="2528" spans="2:11" x14ac:dyDescent="0.25">
      <c r="B2528" t="s">
        <v>17</v>
      </c>
      <c r="C2528">
        <v>2016</v>
      </c>
      <c r="D2528" s="1">
        <v>700000</v>
      </c>
      <c r="E2528">
        <v>35000</v>
      </c>
      <c r="F2528" t="s">
        <v>15</v>
      </c>
      <c r="G2528" t="s">
        <v>10</v>
      </c>
      <c r="H2528" t="s">
        <v>11</v>
      </c>
      <c r="I2528" t="s">
        <v>12</v>
      </c>
      <c r="J2528">
        <f t="shared" si="78"/>
        <v>10</v>
      </c>
      <c r="K2528" t="str">
        <f t="shared" si="79"/>
        <v>Mid Range</v>
      </c>
    </row>
    <row r="2529" spans="2:11" x14ac:dyDescent="0.25">
      <c r="B2529" t="s">
        <v>313</v>
      </c>
      <c r="C2529">
        <v>2010</v>
      </c>
      <c r="D2529" s="1">
        <v>130000</v>
      </c>
      <c r="E2529">
        <v>50000</v>
      </c>
      <c r="F2529" t="s">
        <v>9</v>
      </c>
      <c r="G2529" t="s">
        <v>10</v>
      </c>
      <c r="H2529" t="s">
        <v>11</v>
      </c>
      <c r="I2529" t="s">
        <v>18</v>
      </c>
      <c r="J2529">
        <f t="shared" si="78"/>
        <v>16</v>
      </c>
      <c r="K2529" t="str">
        <f t="shared" si="79"/>
        <v>Budget</v>
      </c>
    </row>
    <row r="2530" spans="2:11" x14ac:dyDescent="0.25">
      <c r="B2530" t="s">
        <v>366</v>
      </c>
      <c r="C2530">
        <v>2017</v>
      </c>
      <c r="D2530" s="1">
        <v>650000</v>
      </c>
      <c r="E2530">
        <v>67000</v>
      </c>
      <c r="F2530" t="s">
        <v>15</v>
      </c>
      <c r="G2530" t="s">
        <v>10</v>
      </c>
      <c r="H2530" t="s">
        <v>11</v>
      </c>
      <c r="I2530" t="s">
        <v>12</v>
      </c>
      <c r="J2530">
        <f t="shared" si="78"/>
        <v>9</v>
      </c>
      <c r="K2530" t="str">
        <f t="shared" si="79"/>
        <v>Mid Range</v>
      </c>
    </row>
    <row r="2531" spans="2:11" x14ac:dyDescent="0.25">
      <c r="B2531" t="s">
        <v>1247</v>
      </c>
      <c r="C2531">
        <v>2013</v>
      </c>
      <c r="D2531" s="1">
        <v>400000</v>
      </c>
      <c r="E2531">
        <v>100000</v>
      </c>
      <c r="F2531" t="s">
        <v>9</v>
      </c>
      <c r="G2531" t="s">
        <v>10</v>
      </c>
      <c r="H2531" t="s">
        <v>11</v>
      </c>
      <c r="I2531" t="s">
        <v>18</v>
      </c>
      <c r="J2531">
        <f t="shared" si="78"/>
        <v>13</v>
      </c>
      <c r="K2531" t="str">
        <f t="shared" si="79"/>
        <v>Budget</v>
      </c>
    </row>
    <row r="2532" spans="2:11" x14ac:dyDescent="0.25">
      <c r="B2532" t="s">
        <v>1116</v>
      </c>
      <c r="C2532">
        <v>2017</v>
      </c>
      <c r="D2532" s="1">
        <v>800000</v>
      </c>
      <c r="E2532">
        <v>60000</v>
      </c>
      <c r="F2532" t="s">
        <v>15</v>
      </c>
      <c r="G2532" t="s">
        <v>10</v>
      </c>
      <c r="H2532" t="s">
        <v>11</v>
      </c>
      <c r="I2532" t="s">
        <v>12</v>
      </c>
      <c r="J2532">
        <f t="shared" si="78"/>
        <v>9</v>
      </c>
      <c r="K2532" t="str">
        <f t="shared" si="79"/>
        <v>Mid Range</v>
      </c>
    </row>
    <row r="2533" spans="2:11" x14ac:dyDescent="0.25">
      <c r="B2533" t="s">
        <v>105</v>
      </c>
      <c r="C2533">
        <v>2017</v>
      </c>
      <c r="D2533" s="1">
        <v>675000</v>
      </c>
      <c r="E2533">
        <v>70000</v>
      </c>
      <c r="F2533" t="s">
        <v>15</v>
      </c>
      <c r="G2533" t="s">
        <v>10</v>
      </c>
      <c r="H2533" t="s">
        <v>11</v>
      </c>
      <c r="I2533" t="s">
        <v>12</v>
      </c>
      <c r="J2533">
        <f t="shared" si="78"/>
        <v>9</v>
      </c>
      <c r="K2533" t="str">
        <f t="shared" si="79"/>
        <v>Mid Range</v>
      </c>
    </row>
    <row r="2534" spans="2:11" x14ac:dyDescent="0.25">
      <c r="B2534" t="s">
        <v>345</v>
      </c>
      <c r="C2534">
        <v>2017</v>
      </c>
      <c r="D2534" s="1">
        <v>210000</v>
      </c>
      <c r="E2534">
        <v>50000</v>
      </c>
      <c r="F2534" t="s">
        <v>9</v>
      </c>
      <c r="G2534" t="s">
        <v>10</v>
      </c>
      <c r="H2534" t="s">
        <v>11</v>
      </c>
      <c r="I2534" t="s">
        <v>46</v>
      </c>
      <c r="J2534">
        <f t="shared" si="78"/>
        <v>9</v>
      </c>
      <c r="K2534" t="str">
        <f t="shared" si="79"/>
        <v>Budget</v>
      </c>
    </row>
    <row r="2535" spans="2:11" x14ac:dyDescent="0.25">
      <c r="B2535" t="s">
        <v>331</v>
      </c>
      <c r="C2535">
        <v>2009</v>
      </c>
      <c r="D2535" s="1">
        <v>150000</v>
      </c>
      <c r="E2535">
        <v>120000</v>
      </c>
      <c r="F2535" t="s">
        <v>15</v>
      </c>
      <c r="G2535" t="s">
        <v>10</v>
      </c>
      <c r="H2535" t="s">
        <v>11</v>
      </c>
      <c r="I2535" t="s">
        <v>49</v>
      </c>
      <c r="J2535">
        <f t="shared" si="78"/>
        <v>17</v>
      </c>
      <c r="K2535" t="str">
        <f t="shared" si="79"/>
        <v>Budget</v>
      </c>
    </row>
    <row r="2536" spans="2:11" x14ac:dyDescent="0.25">
      <c r="B2536" t="s">
        <v>1248</v>
      </c>
      <c r="C2536">
        <v>2007</v>
      </c>
      <c r="D2536" s="1">
        <v>45000</v>
      </c>
      <c r="E2536">
        <v>100000</v>
      </c>
      <c r="F2536" t="s">
        <v>24</v>
      </c>
      <c r="G2536" t="s">
        <v>10</v>
      </c>
      <c r="H2536" t="s">
        <v>11</v>
      </c>
      <c r="I2536" t="s">
        <v>46</v>
      </c>
      <c r="J2536">
        <f t="shared" si="78"/>
        <v>19</v>
      </c>
      <c r="K2536" t="str">
        <f t="shared" si="79"/>
        <v>Budget</v>
      </c>
    </row>
    <row r="2537" spans="2:11" x14ac:dyDescent="0.25">
      <c r="B2537" t="s">
        <v>429</v>
      </c>
      <c r="C2537">
        <v>2015</v>
      </c>
      <c r="D2537" s="1">
        <v>516000</v>
      </c>
      <c r="E2537">
        <v>90000</v>
      </c>
      <c r="F2537" t="s">
        <v>9</v>
      </c>
      <c r="G2537" t="s">
        <v>10</v>
      </c>
      <c r="H2537" t="s">
        <v>11</v>
      </c>
      <c r="I2537" t="s">
        <v>12</v>
      </c>
      <c r="J2537">
        <f t="shared" si="78"/>
        <v>11</v>
      </c>
      <c r="K2537" t="str">
        <f t="shared" si="79"/>
        <v>Mid Range</v>
      </c>
    </row>
    <row r="2538" spans="2:11" x14ac:dyDescent="0.25">
      <c r="B2538" t="s">
        <v>429</v>
      </c>
      <c r="C2538">
        <v>2014</v>
      </c>
      <c r="D2538" s="1">
        <v>450000</v>
      </c>
      <c r="E2538">
        <v>80000</v>
      </c>
      <c r="F2538" t="s">
        <v>9</v>
      </c>
      <c r="G2538" t="s">
        <v>10</v>
      </c>
      <c r="H2538" t="s">
        <v>11</v>
      </c>
      <c r="I2538" t="s">
        <v>12</v>
      </c>
      <c r="J2538">
        <f t="shared" si="78"/>
        <v>12</v>
      </c>
      <c r="K2538" t="str">
        <f t="shared" si="79"/>
        <v>Budget</v>
      </c>
    </row>
    <row r="2539" spans="2:11" x14ac:dyDescent="0.25">
      <c r="B2539" t="s">
        <v>135</v>
      </c>
      <c r="C2539">
        <v>2012</v>
      </c>
      <c r="D2539" s="1">
        <v>134000</v>
      </c>
      <c r="E2539">
        <v>90000</v>
      </c>
      <c r="F2539" t="s">
        <v>9</v>
      </c>
      <c r="G2539" t="s">
        <v>10</v>
      </c>
      <c r="H2539" t="s">
        <v>11</v>
      </c>
      <c r="I2539" t="s">
        <v>18</v>
      </c>
      <c r="J2539">
        <f t="shared" si="78"/>
        <v>14</v>
      </c>
      <c r="K2539" t="str">
        <f t="shared" si="79"/>
        <v>Budget</v>
      </c>
    </row>
    <row r="2540" spans="2:11" x14ac:dyDescent="0.25">
      <c r="B2540" t="s">
        <v>377</v>
      </c>
      <c r="C2540">
        <v>2014</v>
      </c>
      <c r="D2540" s="1">
        <v>509999</v>
      </c>
      <c r="E2540">
        <v>157000</v>
      </c>
      <c r="F2540" t="s">
        <v>15</v>
      </c>
      <c r="G2540" t="s">
        <v>10</v>
      </c>
      <c r="H2540" t="s">
        <v>11</v>
      </c>
      <c r="I2540" t="s">
        <v>18</v>
      </c>
      <c r="J2540">
        <f t="shared" si="78"/>
        <v>12</v>
      </c>
      <c r="K2540" t="str">
        <f t="shared" si="79"/>
        <v>Mid Range</v>
      </c>
    </row>
    <row r="2541" spans="2:11" x14ac:dyDescent="0.25">
      <c r="B2541" t="s">
        <v>1152</v>
      </c>
      <c r="C2541">
        <v>2016</v>
      </c>
      <c r="D2541" s="1">
        <v>500000</v>
      </c>
      <c r="E2541">
        <v>20000</v>
      </c>
      <c r="F2541" t="s">
        <v>9</v>
      </c>
      <c r="G2541" t="s">
        <v>10</v>
      </c>
      <c r="H2541" t="s">
        <v>11</v>
      </c>
      <c r="I2541" t="s">
        <v>12</v>
      </c>
      <c r="J2541">
        <f t="shared" si="78"/>
        <v>10</v>
      </c>
      <c r="K2541" t="str">
        <f t="shared" si="79"/>
        <v>Mid Range</v>
      </c>
    </row>
    <row r="2542" spans="2:11" x14ac:dyDescent="0.25">
      <c r="B2542" t="s">
        <v>767</v>
      </c>
      <c r="C2542">
        <v>2008</v>
      </c>
      <c r="D2542" s="1">
        <v>130000</v>
      </c>
      <c r="E2542">
        <v>80000</v>
      </c>
      <c r="F2542" t="s">
        <v>9</v>
      </c>
      <c r="G2542" t="s">
        <v>10</v>
      </c>
      <c r="H2542" t="s">
        <v>11</v>
      </c>
      <c r="I2542" t="s">
        <v>46</v>
      </c>
      <c r="J2542">
        <f t="shared" si="78"/>
        <v>18</v>
      </c>
      <c r="K2542" t="str">
        <f t="shared" si="79"/>
        <v>Budget</v>
      </c>
    </row>
    <row r="2543" spans="2:11" x14ac:dyDescent="0.25">
      <c r="B2543" t="s">
        <v>63</v>
      </c>
      <c r="C2543">
        <v>2015</v>
      </c>
      <c r="D2543" s="1">
        <v>575000</v>
      </c>
      <c r="E2543">
        <v>60000</v>
      </c>
      <c r="F2543" t="s">
        <v>15</v>
      </c>
      <c r="G2543" t="s">
        <v>10</v>
      </c>
      <c r="H2543" t="s">
        <v>11</v>
      </c>
      <c r="I2543" t="s">
        <v>12</v>
      </c>
      <c r="J2543">
        <f t="shared" si="78"/>
        <v>11</v>
      </c>
      <c r="K2543" t="str">
        <f t="shared" si="79"/>
        <v>Mid Range</v>
      </c>
    </row>
    <row r="2544" spans="2:11" x14ac:dyDescent="0.25">
      <c r="B2544" t="s">
        <v>1022</v>
      </c>
      <c r="C2544">
        <v>2015</v>
      </c>
      <c r="D2544" s="1">
        <v>550000</v>
      </c>
      <c r="E2544">
        <v>49000</v>
      </c>
      <c r="F2544" t="s">
        <v>9</v>
      </c>
      <c r="G2544" t="s">
        <v>10</v>
      </c>
      <c r="H2544" t="s">
        <v>11</v>
      </c>
      <c r="I2544" t="s">
        <v>12</v>
      </c>
      <c r="J2544">
        <f t="shared" si="78"/>
        <v>11</v>
      </c>
      <c r="K2544" t="str">
        <f t="shared" si="79"/>
        <v>Mid Range</v>
      </c>
    </row>
    <row r="2545" spans="2:11" x14ac:dyDescent="0.25">
      <c r="B2545" t="s">
        <v>1249</v>
      </c>
      <c r="C2545">
        <v>2009</v>
      </c>
      <c r="D2545" s="1">
        <v>145000</v>
      </c>
      <c r="E2545">
        <v>89255</v>
      </c>
      <c r="F2545" t="s">
        <v>15</v>
      </c>
      <c r="G2545" t="s">
        <v>10</v>
      </c>
      <c r="H2545" t="s">
        <v>11</v>
      </c>
      <c r="I2545" t="s">
        <v>12</v>
      </c>
      <c r="J2545">
        <f t="shared" si="78"/>
        <v>17</v>
      </c>
      <c r="K2545" t="str">
        <f t="shared" si="79"/>
        <v>Budget</v>
      </c>
    </row>
    <row r="2546" spans="2:11" x14ac:dyDescent="0.25">
      <c r="B2546" t="s">
        <v>249</v>
      </c>
      <c r="C2546">
        <v>2020</v>
      </c>
      <c r="D2546" s="1">
        <v>347000</v>
      </c>
      <c r="E2546">
        <v>5000</v>
      </c>
      <c r="F2546" t="s">
        <v>9</v>
      </c>
      <c r="G2546" t="s">
        <v>10</v>
      </c>
      <c r="H2546" t="s">
        <v>11</v>
      </c>
      <c r="I2546" t="s">
        <v>12</v>
      </c>
      <c r="J2546">
        <f t="shared" si="78"/>
        <v>6</v>
      </c>
      <c r="K2546" t="str">
        <f t="shared" si="79"/>
        <v>Budget</v>
      </c>
    </row>
    <row r="2547" spans="2:11" x14ac:dyDescent="0.25">
      <c r="B2547" t="s">
        <v>438</v>
      </c>
      <c r="C2547">
        <v>2013</v>
      </c>
      <c r="D2547" s="1">
        <v>275000</v>
      </c>
      <c r="E2547">
        <v>110000</v>
      </c>
      <c r="F2547" t="s">
        <v>15</v>
      </c>
      <c r="G2547" t="s">
        <v>10</v>
      </c>
      <c r="H2547" t="s">
        <v>11</v>
      </c>
      <c r="I2547" t="s">
        <v>12</v>
      </c>
      <c r="J2547">
        <f t="shared" si="78"/>
        <v>13</v>
      </c>
      <c r="K2547" t="str">
        <f t="shared" si="79"/>
        <v>Budget</v>
      </c>
    </row>
    <row r="2548" spans="2:11" x14ac:dyDescent="0.25">
      <c r="B2548" t="s">
        <v>74</v>
      </c>
      <c r="C2548">
        <v>2010</v>
      </c>
      <c r="D2548" s="1">
        <v>630000</v>
      </c>
      <c r="E2548">
        <v>200000</v>
      </c>
      <c r="F2548" t="s">
        <v>15</v>
      </c>
      <c r="G2548" t="s">
        <v>10</v>
      </c>
      <c r="H2548" t="s">
        <v>11</v>
      </c>
      <c r="I2548" t="s">
        <v>49</v>
      </c>
      <c r="J2548">
        <f t="shared" si="78"/>
        <v>16</v>
      </c>
      <c r="K2548" t="str">
        <f t="shared" si="79"/>
        <v>Mid Range</v>
      </c>
    </row>
    <row r="2549" spans="2:11" x14ac:dyDescent="0.25">
      <c r="B2549" t="s">
        <v>119</v>
      </c>
      <c r="C2549">
        <v>2012</v>
      </c>
      <c r="D2549" s="1">
        <v>160000</v>
      </c>
      <c r="E2549">
        <v>90000</v>
      </c>
      <c r="F2549" t="s">
        <v>15</v>
      </c>
      <c r="G2549" t="s">
        <v>10</v>
      </c>
      <c r="H2549" t="s">
        <v>11</v>
      </c>
      <c r="I2549" t="s">
        <v>18</v>
      </c>
      <c r="J2549">
        <f t="shared" si="78"/>
        <v>14</v>
      </c>
      <c r="K2549" t="str">
        <f t="shared" si="79"/>
        <v>Budget</v>
      </c>
    </row>
    <row r="2550" spans="2:11" x14ac:dyDescent="0.25">
      <c r="B2550" t="s">
        <v>518</v>
      </c>
      <c r="C2550">
        <v>2010</v>
      </c>
      <c r="D2550" s="1">
        <v>150000</v>
      </c>
      <c r="E2550">
        <v>63000</v>
      </c>
      <c r="F2550" t="s">
        <v>15</v>
      </c>
      <c r="G2550" t="s">
        <v>10</v>
      </c>
      <c r="H2550" t="s">
        <v>11</v>
      </c>
      <c r="I2550" t="s">
        <v>49</v>
      </c>
      <c r="J2550">
        <f t="shared" si="78"/>
        <v>16</v>
      </c>
      <c r="K2550" t="str">
        <f t="shared" si="79"/>
        <v>Budget</v>
      </c>
    </row>
    <row r="2551" spans="2:11" x14ac:dyDescent="0.25">
      <c r="B2551" t="s">
        <v>1250</v>
      </c>
      <c r="C2551">
        <v>2015</v>
      </c>
      <c r="D2551" s="1">
        <v>550000</v>
      </c>
      <c r="E2551">
        <v>23000</v>
      </c>
      <c r="F2551" t="s">
        <v>9</v>
      </c>
      <c r="G2551" t="s">
        <v>10</v>
      </c>
      <c r="H2551" t="s">
        <v>11</v>
      </c>
      <c r="I2551" t="s">
        <v>12</v>
      </c>
      <c r="J2551">
        <f t="shared" si="78"/>
        <v>11</v>
      </c>
      <c r="K2551" t="str">
        <f t="shared" si="79"/>
        <v>Mid Range</v>
      </c>
    </row>
    <row r="2552" spans="2:11" x14ac:dyDescent="0.25">
      <c r="B2552" t="s">
        <v>732</v>
      </c>
      <c r="C2552">
        <v>2013</v>
      </c>
      <c r="D2552" s="1">
        <v>349000</v>
      </c>
      <c r="E2552">
        <v>100000</v>
      </c>
      <c r="F2552" t="s">
        <v>15</v>
      </c>
      <c r="G2552" t="s">
        <v>10</v>
      </c>
      <c r="H2552" t="s">
        <v>11</v>
      </c>
      <c r="I2552" t="s">
        <v>12</v>
      </c>
      <c r="J2552">
        <f t="shared" si="78"/>
        <v>13</v>
      </c>
      <c r="K2552" t="str">
        <f t="shared" si="79"/>
        <v>Budget</v>
      </c>
    </row>
    <row r="2553" spans="2:11" x14ac:dyDescent="0.25">
      <c r="B2553" t="s">
        <v>987</v>
      </c>
      <c r="C2553">
        <v>2004</v>
      </c>
      <c r="D2553" s="1">
        <v>229999</v>
      </c>
      <c r="E2553">
        <v>168000</v>
      </c>
      <c r="F2553" t="s">
        <v>15</v>
      </c>
      <c r="G2553" t="s">
        <v>10</v>
      </c>
      <c r="H2553" t="s">
        <v>11</v>
      </c>
      <c r="I2553" t="s">
        <v>46</v>
      </c>
      <c r="J2553">
        <f t="shared" si="78"/>
        <v>22</v>
      </c>
      <c r="K2553" t="str">
        <f t="shared" si="79"/>
        <v>Budget</v>
      </c>
    </row>
    <row r="2554" spans="2:11" x14ac:dyDescent="0.25">
      <c r="B2554" t="s">
        <v>128</v>
      </c>
      <c r="C2554">
        <v>2008</v>
      </c>
      <c r="D2554" s="1">
        <v>110000</v>
      </c>
      <c r="E2554">
        <v>90000</v>
      </c>
      <c r="F2554" t="s">
        <v>15</v>
      </c>
      <c r="G2554" t="s">
        <v>10</v>
      </c>
      <c r="H2554" t="s">
        <v>11</v>
      </c>
      <c r="I2554" t="s">
        <v>49</v>
      </c>
      <c r="J2554">
        <f t="shared" si="78"/>
        <v>18</v>
      </c>
      <c r="K2554" t="str">
        <f t="shared" si="79"/>
        <v>Budget</v>
      </c>
    </row>
    <row r="2555" spans="2:11" x14ac:dyDescent="0.25">
      <c r="B2555" t="s">
        <v>13</v>
      </c>
      <c r="C2555">
        <v>2008</v>
      </c>
      <c r="D2555" s="1">
        <v>110000</v>
      </c>
      <c r="E2555">
        <v>70000</v>
      </c>
      <c r="F2555" t="s">
        <v>9</v>
      </c>
      <c r="G2555" t="s">
        <v>10</v>
      </c>
      <c r="H2555" t="s">
        <v>11</v>
      </c>
      <c r="I2555" t="s">
        <v>49</v>
      </c>
      <c r="J2555">
        <f t="shared" si="78"/>
        <v>18</v>
      </c>
      <c r="K2555" t="str">
        <f t="shared" si="79"/>
        <v>Budget</v>
      </c>
    </row>
    <row r="2556" spans="2:11" x14ac:dyDescent="0.25">
      <c r="B2556" t="s">
        <v>1251</v>
      </c>
      <c r="C2556">
        <v>2018</v>
      </c>
      <c r="D2556" s="1">
        <v>245000</v>
      </c>
      <c r="E2556">
        <v>5550</v>
      </c>
      <c r="F2556" t="s">
        <v>9</v>
      </c>
      <c r="G2556" t="s">
        <v>10</v>
      </c>
      <c r="H2556" t="s">
        <v>11</v>
      </c>
      <c r="I2556" t="s">
        <v>18</v>
      </c>
      <c r="J2556">
        <f t="shared" si="78"/>
        <v>8</v>
      </c>
      <c r="K2556" t="str">
        <f t="shared" si="79"/>
        <v>Budget</v>
      </c>
    </row>
    <row r="2557" spans="2:11" x14ac:dyDescent="0.25">
      <c r="B2557" t="s">
        <v>170</v>
      </c>
      <c r="C2557">
        <v>2014</v>
      </c>
      <c r="D2557" s="1">
        <v>180000</v>
      </c>
      <c r="E2557">
        <v>100000</v>
      </c>
      <c r="F2557" t="s">
        <v>9</v>
      </c>
      <c r="G2557" t="s">
        <v>10</v>
      </c>
      <c r="H2557" t="s">
        <v>11</v>
      </c>
      <c r="I2557" t="s">
        <v>18</v>
      </c>
      <c r="J2557">
        <f t="shared" si="78"/>
        <v>12</v>
      </c>
      <c r="K2557" t="str">
        <f t="shared" si="79"/>
        <v>Budget</v>
      </c>
    </row>
    <row r="2558" spans="2:11" x14ac:dyDescent="0.25">
      <c r="B2558" t="s">
        <v>54</v>
      </c>
      <c r="C2558">
        <v>2014</v>
      </c>
      <c r="D2558" s="1">
        <v>290000</v>
      </c>
      <c r="E2558">
        <v>80000</v>
      </c>
      <c r="F2558" t="s">
        <v>9</v>
      </c>
      <c r="G2558" t="s">
        <v>10</v>
      </c>
      <c r="H2558" t="s">
        <v>11</v>
      </c>
      <c r="I2558" t="s">
        <v>18</v>
      </c>
      <c r="J2558">
        <f t="shared" si="78"/>
        <v>12</v>
      </c>
      <c r="K2558" t="str">
        <f t="shared" si="79"/>
        <v>Budget</v>
      </c>
    </row>
    <row r="2559" spans="2:11" x14ac:dyDescent="0.25">
      <c r="B2559" t="s">
        <v>489</v>
      </c>
      <c r="C2559">
        <v>2010</v>
      </c>
      <c r="D2559" s="1">
        <v>250000</v>
      </c>
      <c r="E2559">
        <v>40000</v>
      </c>
      <c r="F2559" t="s">
        <v>9</v>
      </c>
      <c r="G2559" t="s">
        <v>10</v>
      </c>
      <c r="H2559" t="s">
        <v>11</v>
      </c>
      <c r="I2559" t="s">
        <v>12</v>
      </c>
      <c r="J2559">
        <f t="shared" si="78"/>
        <v>16</v>
      </c>
      <c r="K2559" t="str">
        <f t="shared" si="79"/>
        <v>Budget</v>
      </c>
    </row>
    <row r="2560" spans="2:11" x14ac:dyDescent="0.25">
      <c r="B2560" t="s">
        <v>1040</v>
      </c>
      <c r="C2560">
        <v>2010</v>
      </c>
      <c r="D2560" s="1">
        <v>150000</v>
      </c>
      <c r="E2560">
        <v>100000</v>
      </c>
      <c r="F2560" t="s">
        <v>15</v>
      </c>
      <c r="G2560" t="s">
        <v>10</v>
      </c>
      <c r="H2560" t="s">
        <v>11</v>
      </c>
      <c r="I2560" t="s">
        <v>12</v>
      </c>
      <c r="J2560">
        <f t="shared" si="78"/>
        <v>16</v>
      </c>
      <c r="K2560" t="str">
        <f t="shared" si="79"/>
        <v>Budget</v>
      </c>
    </row>
    <row r="2561" spans="2:11" x14ac:dyDescent="0.25">
      <c r="B2561" t="s">
        <v>357</v>
      </c>
      <c r="C2561">
        <v>2004</v>
      </c>
      <c r="D2561" s="1">
        <v>55000</v>
      </c>
      <c r="E2561">
        <v>35000</v>
      </c>
      <c r="F2561" t="s">
        <v>9</v>
      </c>
      <c r="G2561" t="s">
        <v>10</v>
      </c>
      <c r="H2561" t="s">
        <v>11</v>
      </c>
      <c r="I2561" t="s">
        <v>49</v>
      </c>
      <c r="J2561">
        <f t="shared" si="78"/>
        <v>22</v>
      </c>
      <c r="K2561" t="str">
        <f t="shared" si="79"/>
        <v>Budget</v>
      </c>
    </row>
    <row r="2562" spans="2:11" x14ac:dyDescent="0.25">
      <c r="B2562" t="s">
        <v>388</v>
      </c>
      <c r="C2562">
        <v>2006</v>
      </c>
      <c r="D2562" s="1">
        <v>500000</v>
      </c>
      <c r="E2562">
        <v>75000</v>
      </c>
      <c r="F2562" t="s">
        <v>15</v>
      </c>
      <c r="G2562" t="s">
        <v>10</v>
      </c>
      <c r="H2562" t="s">
        <v>11</v>
      </c>
      <c r="I2562" t="s">
        <v>18</v>
      </c>
      <c r="J2562">
        <f t="shared" si="78"/>
        <v>20</v>
      </c>
      <c r="K2562" t="str">
        <f t="shared" si="79"/>
        <v>Mid Range</v>
      </c>
    </row>
    <row r="2563" spans="2:11" x14ac:dyDescent="0.25">
      <c r="B2563" t="s">
        <v>839</v>
      </c>
      <c r="C2563">
        <v>2013</v>
      </c>
      <c r="D2563" s="1">
        <v>290000</v>
      </c>
      <c r="E2563">
        <v>150000</v>
      </c>
      <c r="F2563" t="s">
        <v>15</v>
      </c>
      <c r="G2563" t="s">
        <v>10</v>
      </c>
      <c r="H2563" t="s">
        <v>11</v>
      </c>
      <c r="I2563" t="s">
        <v>46</v>
      </c>
      <c r="J2563">
        <f t="shared" si="78"/>
        <v>13</v>
      </c>
      <c r="K2563" t="str">
        <f t="shared" si="79"/>
        <v>Budget</v>
      </c>
    </row>
    <row r="2564" spans="2:11" x14ac:dyDescent="0.25">
      <c r="B2564" t="s">
        <v>1157</v>
      </c>
      <c r="C2564">
        <v>2009</v>
      </c>
      <c r="D2564" s="1">
        <v>72000</v>
      </c>
      <c r="E2564">
        <v>70000</v>
      </c>
      <c r="F2564" t="s">
        <v>9</v>
      </c>
      <c r="G2564" t="s">
        <v>10</v>
      </c>
      <c r="H2564" t="s">
        <v>11</v>
      </c>
      <c r="I2564" t="s">
        <v>12</v>
      </c>
      <c r="J2564">
        <f t="shared" si="78"/>
        <v>17</v>
      </c>
      <c r="K2564" t="str">
        <f t="shared" si="79"/>
        <v>Budget</v>
      </c>
    </row>
    <row r="2565" spans="2:11" x14ac:dyDescent="0.25">
      <c r="B2565" t="s">
        <v>295</v>
      </c>
      <c r="C2565">
        <v>2014</v>
      </c>
      <c r="D2565" s="1">
        <v>250000</v>
      </c>
      <c r="E2565">
        <v>115000</v>
      </c>
      <c r="F2565" t="s">
        <v>15</v>
      </c>
      <c r="G2565" t="s">
        <v>10</v>
      </c>
      <c r="H2565" t="s">
        <v>11</v>
      </c>
      <c r="I2565" t="s">
        <v>12</v>
      </c>
      <c r="J2565">
        <f t="shared" si="78"/>
        <v>12</v>
      </c>
      <c r="K2565" t="str">
        <f t="shared" si="79"/>
        <v>Budget</v>
      </c>
    </row>
    <row r="2566" spans="2:11" x14ac:dyDescent="0.25">
      <c r="B2566" t="s">
        <v>464</v>
      </c>
      <c r="C2566">
        <v>2019</v>
      </c>
      <c r="D2566" s="1">
        <v>575000</v>
      </c>
      <c r="E2566">
        <v>25000</v>
      </c>
      <c r="F2566" t="s">
        <v>9</v>
      </c>
      <c r="G2566" t="s">
        <v>10</v>
      </c>
      <c r="H2566" t="s">
        <v>28</v>
      </c>
      <c r="I2566" t="s">
        <v>12</v>
      </c>
      <c r="J2566">
        <f t="shared" ref="J2566:J2629" si="80">2026 - C2566</f>
        <v>7</v>
      </c>
      <c r="K2566" t="str">
        <f t="shared" ref="K2566:K2629" si="81">IF(D2566&lt;500000,"Budget",IF(D2566&lt;=1000000,"Mid Range","Premium"))</f>
        <v>Mid Range</v>
      </c>
    </row>
    <row r="2567" spans="2:11" x14ac:dyDescent="0.25">
      <c r="B2567" t="s">
        <v>1252</v>
      </c>
      <c r="C2567">
        <v>2019</v>
      </c>
      <c r="D2567" s="1">
        <v>1300000</v>
      </c>
      <c r="E2567">
        <v>10000</v>
      </c>
      <c r="F2567" t="s">
        <v>15</v>
      </c>
      <c r="G2567" t="s">
        <v>10</v>
      </c>
      <c r="H2567" t="s">
        <v>28</v>
      </c>
      <c r="I2567" t="s">
        <v>12</v>
      </c>
      <c r="J2567">
        <f t="shared" si="80"/>
        <v>7</v>
      </c>
      <c r="K2567" t="str">
        <f t="shared" si="81"/>
        <v>Premium</v>
      </c>
    </row>
    <row r="2568" spans="2:11" x14ac:dyDescent="0.25">
      <c r="B2568" t="s">
        <v>358</v>
      </c>
      <c r="C2568">
        <v>2019</v>
      </c>
      <c r="D2568" s="1">
        <v>425000</v>
      </c>
      <c r="E2568">
        <v>15000</v>
      </c>
      <c r="F2568" t="s">
        <v>9</v>
      </c>
      <c r="G2568" t="s">
        <v>10</v>
      </c>
      <c r="H2568" t="s">
        <v>11</v>
      </c>
      <c r="I2568" t="s">
        <v>12</v>
      </c>
      <c r="J2568">
        <f t="shared" si="80"/>
        <v>7</v>
      </c>
      <c r="K2568" t="str">
        <f t="shared" si="81"/>
        <v>Budget</v>
      </c>
    </row>
    <row r="2569" spans="2:11" x14ac:dyDescent="0.25">
      <c r="B2569" t="s">
        <v>1253</v>
      </c>
      <c r="C2569">
        <v>2019</v>
      </c>
      <c r="D2569" s="1">
        <v>470000</v>
      </c>
      <c r="E2569">
        <v>10000</v>
      </c>
      <c r="F2569" t="s">
        <v>24</v>
      </c>
      <c r="G2569" t="s">
        <v>10</v>
      </c>
      <c r="H2569" t="s">
        <v>11</v>
      </c>
      <c r="I2569" t="s">
        <v>12</v>
      </c>
      <c r="J2569">
        <f t="shared" si="80"/>
        <v>7</v>
      </c>
      <c r="K2569" t="str">
        <f t="shared" si="81"/>
        <v>Budget</v>
      </c>
    </row>
    <row r="2570" spans="2:11" x14ac:dyDescent="0.25">
      <c r="B2570" t="s">
        <v>915</v>
      </c>
      <c r="C2570">
        <v>2012</v>
      </c>
      <c r="D2570" s="1">
        <v>220000</v>
      </c>
      <c r="E2570">
        <v>80000</v>
      </c>
      <c r="F2570" t="s">
        <v>9</v>
      </c>
      <c r="G2570" t="s">
        <v>10</v>
      </c>
      <c r="H2570" t="s">
        <v>11</v>
      </c>
      <c r="I2570" t="s">
        <v>49</v>
      </c>
      <c r="J2570">
        <f t="shared" si="80"/>
        <v>14</v>
      </c>
      <c r="K2570" t="str">
        <f t="shared" si="81"/>
        <v>Budget</v>
      </c>
    </row>
    <row r="2571" spans="2:11" x14ac:dyDescent="0.25">
      <c r="B2571" t="s">
        <v>249</v>
      </c>
      <c r="C2571">
        <v>2020</v>
      </c>
      <c r="D2571" s="1">
        <v>310000</v>
      </c>
      <c r="E2571">
        <v>1700</v>
      </c>
      <c r="F2571" t="s">
        <v>9</v>
      </c>
      <c r="G2571" t="s">
        <v>10</v>
      </c>
      <c r="H2571" t="s">
        <v>11</v>
      </c>
      <c r="I2571" t="s">
        <v>12</v>
      </c>
      <c r="J2571">
        <f t="shared" si="80"/>
        <v>6</v>
      </c>
      <c r="K2571" t="str">
        <f t="shared" si="81"/>
        <v>Budget</v>
      </c>
    </row>
    <row r="2572" spans="2:11" x14ac:dyDescent="0.25">
      <c r="B2572" t="s">
        <v>1196</v>
      </c>
      <c r="C2572">
        <v>2016</v>
      </c>
      <c r="D2572" s="1">
        <v>400000</v>
      </c>
      <c r="E2572">
        <v>45217</v>
      </c>
      <c r="F2572" t="s">
        <v>15</v>
      </c>
      <c r="G2572" t="s">
        <v>27</v>
      </c>
      <c r="H2572" t="s">
        <v>11</v>
      </c>
      <c r="I2572" t="s">
        <v>12</v>
      </c>
      <c r="J2572">
        <f t="shared" si="80"/>
        <v>10</v>
      </c>
      <c r="K2572" t="str">
        <f t="shared" si="81"/>
        <v>Budget</v>
      </c>
    </row>
    <row r="2573" spans="2:11" x14ac:dyDescent="0.25">
      <c r="B2573" t="s">
        <v>68</v>
      </c>
      <c r="C2573">
        <v>2018</v>
      </c>
      <c r="D2573" s="1">
        <v>310000</v>
      </c>
      <c r="E2573">
        <v>20000</v>
      </c>
      <c r="F2573" t="s">
        <v>9</v>
      </c>
      <c r="G2573" t="s">
        <v>10</v>
      </c>
      <c r="H2573" t="s">
        <v>11</v>
      </c>
      <c r="I2573" t="s">
        <v>12</v>
      </c>
      <c r="J2573">
        <f t="shared" si="80"/>
        <v>8</v>
      </c>
      <c r="K2573" t="str">
        <f t="shared" si="81"/>
        <v>Budget</v>
      </c>
    </row>
    <row r="2574" spans="2:11" x14ac:dyDescent="0.25">
      <c r="B2574" t="s">
        <v>1254</v>
      </c>
      <c r="C2574">
        <v>2017</v>
      </c>
      <c r="D2574" s="1">
        <v>750000</v>
      </c>
      <c r="E2574">
        <v>50000</v>
      </c>
      <c r="F2574" t="s">
        <v>15</v>
      </c>
      <c r="G2574" t="s">
        <v>10</v>
      </c>
      <c r="H2574" t="s">
        <v>11</v>
      </c>
      <c r="I2574" t="s">
        <v>12</v>
      </c>
      <c r="J2574">
        <f t="shared" si="80"/>
        <v>9</v>
      </c>
      <c r="K2574" t="str">
        <f t="shared" si="81"/>
        <v>Mid Range</v>
      </c>
    </row>
    <row r="2575" spans="2:11" x14ac:dyDescent="0.25">
      <c r="B2575" t="s">
        <v>331</v>
      </c>
      <c r="C2575">
        <v>2009</v>
      </c>
      <c r="D2575" s="1">
        <v>204999</v>
      </c>
      <c r="E2575">
        <v>120000</v>
      </c>
      <c r="F2575" t="s">
        <v>15</v>
      </c>
      <c r="G2575" t="s">
        <v>10</v>
      </c>
      <c r="H2575" t="s">
        <v>11</v>
      </c>
      <c r="I2575" t="s">
        <v>18</v>
      </c>
      <c r="J2575">
        <f t="shared" si="80"/>
        <v>17</v>
      </c>
      <c r="K2575" t="str">
        <f t="shared" si="81"/>
        <v>Budget</v>
      </c>
    </row>
    <row r="2576" spans="2:11" x14ac:dyDescent="0.25">
      <c r="B2576" t="s">
        <v>76</v>
      </c>
      <c r="C2576">
        <v>2010</v>
      </c>
      <c r="D2576" s="1">
        <v>260000</v>
      </c>
      <c r="E2576">
        <v>50000</v>
      </c>
      <c r="F2576" t="s">
        <v>9</v>
      </c>
      <c r="G2576" t="s">
        <v>10</v>
      </c>
      <c r="H2576" t="s">
        <v>11</v>
      </c>
      <c r="I2576" t="s">
        <v>12</v>
      </c>
      <c r="J2576">
        <f t="shared" si="80"/>
        <v>16</v>
      </c>
      <c r="K2576" t="str">
        <f t="shared" si="81"/>
        <v>Budget</v>
      </c>
    </row>
    <row r="2577" spans="2:11" x14ac:dyDescent="0.25">
      <c r="B2577" t="s">
        <v>58</v>
      </c>
      <c r="C2577">
        <v>2012</v>
      </c>
      <c r="D2577" s="1">
        <v>180000</v>
      </c>
      <c r="E2577">
        <v>40000</v>
      </c>
      <c r="F2577" t="s">
        <v>9</v>
      </c>
      <c r="G2577" t="s">
        <v>10</v>
      </c>
      <c r="H2577" t="s">
        <v>11</v>
      </c>
      <c r="I2577" t="s">
        <v>18</v>
      </c>
      <c r="J2577">
        <f t="shared" si="80"/>
        <v>14</v>
      </c>
      <c r="K2577" t="str">
        <f t="shared" si="81"/>
        <v>Budget</v>
      </c>
    </row>
    <row r="2578" spans="2:11" x14ac:dyDescent="0.25">
      <c r="B2578" t="s">
        <v>1255</v>
      </c>
      <c r="C2578">
        <v>2007</v>
      </c>
      <c r="D2578" s="1">
        <v>125000</v>
      </c>
      <c r="E2578">
        <v>110000</v>
      </c>
      <c r="F2578" t="s">
        <v>15</v>
      </c>
      <c r="G2578" t="s">
        <v>10</v>
      </c>
      <c r="H2578" t="s">
        <v>11</v>
      </c>
      <c r="I2578" t="s">
        <v>18</v>
      </c>
      <c r="J2578">
        <f t="shared" si="80"/>
        <v>19</v>
      </c>
      <c r="K2578" t="str">
        <f t="shared" si="81"/>
        <v>Budget</v>
      </c>
    </row>
    <row r="2579" spans="2:11" x14ac:dyDescent="0.25">
      <c r="B2579" t="s">
        <v>162</v>
      </c>
      <c r="C2579">
        <v>2014</v>
      </c>
      <c r="D2579" s="1">
        <v>420000</v>
      </c>
      <c r="E2579">
        <v>155000</v>
      </c>
      <c r="F2579" t="s">
        <v>15</v>
      </c>
      <c r="G2579" t="s">
        <v>10</v>
      </c>
      <c r="H2579" t="s">
        <v>11</v>
      </c>
      <c r="I2579" t="s">
        <v>12</v>
      </c>
      <c r="J2579">
        <f t="shared" si="80"/>
        <v>12</v>
      </c>
      <c r="K2579" t="str">
        <f t="shared" si="81"/>
        <v>Budget</v>
      </c>
    </row>
    <row r="2580" spans="2:11" x14ac:dyDescent="0.25">
      <c r="B2580" t="s">
        <v>454</v>
      </c>
      <c r="C2580">
        <v>2011</v>
      </c>
      <c r="D2580" s="1">
        <v>220000</v>
      </c>
      <c r="E2580">
        <v>70000</v>
      </c>
      <c r="F2580" t="s">
        <v>9</v>
      </c>
      <c r="G2580" t="s">
        <v>10</v>
      </c>
      <c r="H2580" t="s">
        <v>11</v>
      </c>
      <c r="I2580" t="s">
        <v>18</v>
      </c>
      <c r="J2580">
        <f t="shared" si="80"/>
        <v>15</v>
      </c>
      <c r="K2580" t="str">
        <f t="shared" si="81"/>
        <v>Budget</v>
      </c>
    </row>
    <row r="2581" spans="2:11" x14ac:dyDescent="0.25">
      <c r="B2581" t="s">
        <v>453</v>
      </c>
      <c r="C2581">
        <v>2010</v>
      </c>
      <c r="D2581" s="1">
        <v>200000</v>
      </c>
      <c r="E2581">
        <v>70000</v>
      </c>
      <c r="F2581" t="s">
        <v>9</v>
      </c>
      <c r="G2581" t="s">
        <v>10</v>
      </c>
      <c r="H2581" t="s">
        <v>11</v>
      </c>
      <c r="I2581" t="s">
        <v>49</v>
      </c>
      <c r="J2581">
        <f t="shared" si="80"/>
        <v>16</v>
      </c>
      <c r="K2581" t="str">
        <f t="shared" si="81"/>
        <v>Budget</v>
      </c>
    </row>
    <row r="2582" spans="2:11" x14ac:dyDescent="0.25">
      <c r="B2582" t="s">
        <v>1256</v>
      </c>
      <c r="C2582">
        <v>2009</v>
      </c>
      <c r="D2582" s="1">
        <v>130000</v>
      </c>
      <c r="E2582">
        <v>100000</v>
      </c>
      <c r="F2582" t="s">
        <v>15</v>
      </c>
      <c r="G2582" t="s">
        <v>10</v>
      </c>
      <c r="H2582" t="s">
        <v>11</v>
      </c>
      <c r="I2582" t="s">
        <v>49</v>
      </c>
      <c r="J2582">
        <f t="shared" si="80"/>
        <v>17</v>
      </c>
      <c r="K2582" t="str">
        <f t="shared" si="81"/>
        <v>Budget</v>
      </c>
    </row>
    <row r="2583" spans="2:11" x14ac:dyDescent="0.25">
      <c r="B2583" t="s">
        <v>1257</v>
      </c>
      <c r="C2583">
        <v>2016</v>
      </c>
      <c r="D2583" s="1">
        <v>335000</v>
      </c>
      <c r="E2583">
        <v>41000</v>
      </c>
      <c r="F2583" t="s">
        <v>9</v>
      </c>
      <c r="G2583" t="s">
        <v>27</v>
      </c>
      <c r="H2583" t="s">
        <v>11</v>
      </c>
      <c r="I2583" t="s">
        <v>12</v>
      </c>
      <c r="J2583">
        <f t="shared" si="80"/>
        <v>10</v>
      </c>
      <c r="K2583" t="str">
        <f t="shared" si="81"/>
        <v>Budget</v>
      </c>
    </row>
    <row r="2584" spans="2:11" x14ac:dyDescent="0.25">
      <c r="B2584" t="s">
        <v>1258</v>
      </c>
      <c r="C2584">
        <v>2017</v>
      </c>
      <c r="D2584" s="1">
        <v>2650000</v>
      </c>
      <c r="E2584">
        <v>60000</v>
      </c>
      <c r="F2584" t="s">
        <v>15</v>
      </c>
      <c r="G2584" t="s">
        <v>27</v>
      </c>
      <c r="H2584" t="s">
        <v>28</v>
      </c>
      <c r="I2584" t="s">
        <v>12</v>
      </c>
      <c r="J2584">
        <f t="shared" si="80"/>
        <v>9</v>
      </c>
      <c r="K2584" t="str">
        <f t="shared" si="81"/>
        <v>Premium</v>
      </c>
    </row>
    <row r="2585" spans="2:11" x14ac:dyDescent="0.25">
      <c r="B2585" t="s">
        <v>621</v>
      </c>
      <c r="C2585">
        <v>2018</v>
      </c>
      <c r="D2585" s="1">
        <v>2675000</v>
      </c>
      <c r="E2585">
        <v>56000</v>
      </c>
      <c r="F2585" t="s">
        <v>15</v>
      </c>
      <c r="G2585" t="s">
        <v>27</v>
      </c>
      <c r="H2585" t="s">
        <v>28</v>
      </c>
      <c r="I2585" t="s">
        <v>12</v>
      </c>
      <c r="J2585">
        <f t="shared" si="80"/>
        <v>8</v>
      </c>
      <c r="K2585" t="str">
        <f t="shared" si="81"/>
        <v>Premium</v>
      </c>
    </row>
    <row r="2586" spans="2:11" x14ac:dyDescent="0.25">
      <c r="B2586" t="s">
        <v>1258</v>
      </c>
      <c r="C2586">
        <v>2017</v>
      </c>
      <c r="D2586" s="1">
        <v>2675000</v>
      </c>
      <c r="E2586">
        <v>60000</v>
      </c>
      <c r="F2586" t="s">
        <v>15</v>
      </c>
      <c r="G2586" t="s">
        <v>27</v>
      </c>
      <c r="H2586" t="s">
        <v>28</v>
      </c>
      <c r="I2586" t="s">
        <v>12</v>
      </c>
      <c r="J2586">
        <f t="shared" si="80"/>
        <v>9</v>
      </c>
      <c r="K2586" t="str">
        <f t="shared" si="81"/>
        <v>Premium</v>
      </c>
    </row>
    <row r="2587" spans="2:11" x14ac:dyDescent="0.25">
      <c r="B2587" t="s">
        <v>1259</v>
      </c>
      <c r="C2587">
        <v>2011</v>
      </c>
      <c r="D2587" s="1">
        <v>434999</v>
      </c>
      <c r="E2587">
        <v>97000</v>
      </c>
      <c r="F2587" t="s">
        <v>9</v>
      </c>
      <c r="G2587" t="s">
        <v>27</v>
      </c>
      <c r="H2587" t="s">
        <v>28</v>
      </c>
      <c r="I2587" t="s">
        <v>18</v>
      </c>
      <c r="J2587">
        <f t="shared" si="80"/>
        <v>15</v>
      </c>
      <c r="K2587" t="str">
        <f t="shared" si="81"/>
        <v>Budget</v>
      </c>
    </row>
    <row r="2588" spans="2:11" x14ac:dyDescent="0.25">
      <c r="B2588" t="s">
        <v>1260</v>
      </c>
      <c r="C2588">
        <v>2014</v>
      </c>
      <c r="D2588" s="1">
        <v>500000</v>
      </c>
      <c r="E2588">
        <v>60000</v>
      </c>
      <c r="F2588" t="s">
        <v>9</v>
      </c>
      <c r="G2588" t="s">
        <v>10</v>
      </c>
      <c r="H2588" t="s">
        <v>11</v>
      </c>
      <c r="I2588" t="s">
        <v>12</v>
      </c>
      <c r="J2588">
        <f t="shared" si="80"/>
        <v>12</v>
      </c>
      <c r="K2588" t="str">
        <f t="shared" si="81"/>
        <v>Mid Range</v>
      </c>
    </row>
    <row r="2589" spans="2:11" x14ac:dyDescent="0.25">
      <c r="B2589" t="s">
        <v>372</v>
      </c>
      <c r="C2589">
        <v>2017</v>
      </c>
      <c r="D2589" s="1">
        <v>290000</v>
      </c>
      <c r="E2589">
        <v>60000</v>
      </c>
      <c r="F2589" t="s">
        <v>9</v>
      </c>
      <c r="G2589" t="s">
        <v>10</v>
      </c>
      <c r="H2589" t="s">
        <v>11</v>
      </c>
      <c r="I2589" t="s">
        <v>12</v>
      </c>
      <c r="J2589">
        <f t="shared" si="80"/>
        <v>9</v>
      </c>
      <c r="K2589" t="str">
        <f t="shared" si="81"/>
        <v>Budget</v>
      </c>
    </row>
    <row r="2590" spans="2:11" x14ac:dyDescent="0.25">
      <c r="B2590" t="s">
        <v>1261</v>
      </c>
      <c r="C2590">
        <v>2014</v>
      </c>
      <c r="D2590" s="1">
        <v>475000</v>
      </c>
      <c r="E2590">
        <v>48000</v>
      </c>
      <c r="F2590" t="s">
        <v>9</v>
      </c>
      <c r="G2590" t="s">
        <v>27</v>
      </c>
      <c r="H2590" t="s">
        <v>28</v>
      </c>
      <c r="I2590" t="s">
        <v>18</v>
      </c>
      <c r="J2590">
        <f t="shared" si="80"/>
        <v>12</v>
      </c>
      <c r="K2590" t="str">
        <f t="shared" si="81"/>
        <v>Budget</v>
      </c>
    </row>
    <row r="2591" spans="2:11" x14ac:dyDescent="0.25">
      <c r="B2591" t="s">
        <v>181</v>
      </c>
      <c r="C2591">
        <v>2009</v>
      </c>
      <c r="D2591" s="1">
        <v>270000</v>
      </c>
      <c r="E2591">
        <v>190000</v>
      </c>
      <c r="F2591" t="s">
        <v>15</v>
      </c>
      <c r="G2591" t="s">
        <v>10</v>
      </c>
      <c r="H2591" t="s">
        <v>11</v>
      </c>
      <c r="I2591" t="s">
        <v>49</v>
      </c>
      <c r="J2591">
        <f t="shared" si="80"/>
        <v>17</v>
      </c>
      <c r="K2591" t="str">
        <f t="shared" si="81"/>
        <v>Budget</v>
      </c>
    </row>
    <row r="2592" spans="2:11" x14ac:dyDescent="0.25">
      <c r="B2592" t="s">
        <v>760</v>
      </c>
      <c r="C2592">
        <v>2019</v>
      </c>
      <c r="D2592" s="1">
        <v>600000</v>
      </c>
      <c r="E2592">
        <v>80000</v>
      </c>
      <c r="F2592" t="s">
        <v>9</v>
      </c>
      <c r="G2592" t="s">
        <v>10</v>
      </c>
      <c r="H2592" t="s">
        <v>11</v>
      </c>
      <c r="I2592" t="s">
        <v>12</v>
      </c>
      <c r="J2592">
        <f t="shared" si="80"/>
        <v>7</v>
      </c>
      <c r="K2592" t="str">
        <f t="shared" si="81"/>
        <v>Mid Range</v>
      </c>
    </row>
    <row r="2593" spans="2:11" x14ac:dyDescent="0.25">
      <c r="B2593" t="s">
        <v>144</v>
      </c>
      <c r="C2593">
        <v>2013</v>
      </c>
      <c r="D2593" s="1">
        <v>300000</v>
      </c>
      <c r="E2593">
        <v>70000</v>
      </c>
      <c r="F2593" t="s">
        <v>15</v>
      </c>
      <c r="G2593" t="s">
        <v>10</v>
      </c>
      <c r="H2593" t="s">
        <v>11</v>
      </c>
      <c r="I2593" t="s">
        <v>18</v>
      </c>
      <c r="J2593">
        <f t="shared" si="80"/>
        <v>13</v>
      </c>
      <c r="K2593" t="str">
        <f t="shared" si="81"/>
        <v>Budget</v>
      </c>
    </row>
    <row r="2594" spans="2:11" x14ac:dyDescent="0.25">
      <c r="B2594" t="s">
        <v>1262</v>
      </c>
      <c r="C2594">
        <v>2012</v>
      </c>
      <c r="D2594" s="1">
        <v>415000</v>
      </c>
      <c r="E2594">
        <v>80000</v>
      </c>
      <c r="F2594" t="s">
        <v>15</v>
      </c>
      <c r="G2594" t="s">
        <v>10</v>
      </c>
      <c r="H2594" t="s">
        <v>11</v>
      </c>
      <c r="I2594" t="s">
        <v>18</v>
      </c>
      <c r="J2594">
        <f t="shared" si="80"/>
        <v>14</v>
      </c>
      <c r="K2594" t="str">
        <f t="shared" si="81"/>
        <v>Budget</v>
      </c>
    </row>
    <row r="2595" spans="2:11" x14ac:dyDescent="0.25">
      <c r="B2595" t="s">
        <v>34</v>
      </c>
      <c r="C2595">
        <v>2018</v>
      </c>
      <c r="D2595" s="1">
        <v>800000</v>
      </c>
      <c r="E2595">
        <v>30000</v>
      </c>
      <c r="F2595" t="s">
        <v>15</v>
      </c>
      <c r="G2595" t="s">
        <v>10</v>
      </c>
      <c r="H2595" t="s">
        <v>28</v>
      </c>
      <c r="I2595" t="s">
        <v>18</v>
      </c>
      <c r="J2595">
        <f t="shared" si="80"/>
        <v>8</v>
      </c>
      <c r="K2595" t="str">
        <f t="shared" si="81"/>
        <v>Mid Range</v>
      </c>
    </row>
    <row r="2596" spans="2:11" x14ac:dyDescent="0.25">
      <c r="B2596" t="s">
        <v>289</v>
      </c>
      <c r="C2596">
        <v>2016</v>
      </c>
      <c r="D2596" s="1">
        <v>420000</v>
      </c>
      <c r="E2596">
        <v>44440</v>
      </c>
      <c r="F2596" t="s">
        <v>9</v>
      </c>
      <c r="G2596" t="s">
        <v>10</v>
      </c>
      <c r="H2596" t="s">
        <v>11</v>
      </c>
      <c r="I2596" t="s">
        <v>18</v>
      </c>
      <c r="J2596">
        <f t="shared" si="80"/>
        <v>10</v>
      </c>
      <c r="K2596" t="str">
        <f t="shared" si="81"/>
        <v>Budget</v>
      </c>
    </row>
    <row r="2597" spans="2:11" x14ac:dyDescent="0.25">
      <c r="B2597" t="s">
        <v>395</v>
      </c>
      <c r="C2597">
        <v>2018</v>
      </c>
      <c r="D2597" s="1">
        <v>1250000</v>
      </c>
      <c r="E2597">
        <v>30000</v>
      </c>
      <c r="F2597" t="s">
        <v>15</v>
      </c>
      <c r="G2597" t="s">
        <v>10</v>
      </c>
      <c r="H2597" t="s">
        <v>11</v>
      </c>
      <c r="I2597" t="s">
        <v>12</v>
      </c>
      <c r="J2597">
        <f t="shared" si="80"/>
        <v>8</v>
      </c>
      <c r="K2597" t="str">
        <f t="shared" si="81"/>
        <v>Premium</v>
      </c>
    </row>
    <row r="2598" spans="2:11" x14ac:dyDescent="0.25">
      <c r="B2598" t="s">
        <v>162</v>
      </c>
      <c r="C2598">
        <v>2011</v>
      </c>
      <c r="D2598" s="1">
        <v>270000</v>
      </c>
      <c r="E2598">
        <v>120000</v>
      </c>
      <c r="F2598" t="s">
        <v>15</v>
      </c>
      <c r="G2598" t="s">
        <v>10</v>
      </c>
      <c r="H2598" t="s">
        <v>11</v>
      </c>
      <c r="I2598" t="s">
        <v>12</v>
      </c>
      <c r="J2598">
        <f t="shared" si="80"/>
        <v>15</v>
      </c>
      <c r="K2598" t="str">
        <f t="shared" si="81"/>
        <v>Budget</v>
      </c>
    </row>
    <row r="2599" spans="2:11" x14ac:dyDescent="0.25">
      <c r="B2599" t="s">
        <v>84</v>
      </c>
      <c r="C2599">
        <v>2015</v>
      </c>
      <c r="D2599" s="1">
        <v>390000</v>
      </c>
      <c r="E2599">
        <v>80000</v>
      </c>
      <c r="F2599" t="s">
        <v>15</v>
      </c>
      <c r="G2599" t="s">
        <v>10</v>
      </c>
      <c r="H2599" t="s">
        <v>11</v>
      </c>
      <c r="I2599" t="s">
        <v>18</v>
      </c>
      <c r="J2599">
        <f t="shared" si="80"/>
        <v>11</v>
      </c>
      <c r="K2599" t="str">
        <f t="shared" si="81"/>
        <v>Budget</v>
      </c>
    </row>
    <row r="2600" spans="2:11" x14ac:dyDescent="0.25">
      <c r="B2600" t="s">
        <v>428</v>
      </c>
      <c r="C2600">
        <v>2012</v>
      </c>
      <c r="D2600" s="1">
        <v>400000</v>
      </c>
      <c r="E2600">
        <v>110000</v>
      </c>
      <c r="F2600" t="s">
        <v>15</v>
      </c>
      <c r="G2600" t="s">
        <v>10</v>
      </c>
      <c r="H2600" t="s">
        <v>11</v>
      </c>
      <c r="I2600" t="s">
        <v>12</v>
      </c>
      <c r="J2600">
        <f t="shared" si="80"/>
        <v>14</v>
      </c>
      <c r="K2600" t="str">
        <f t="shared" si="81"/>
        <v>Budget</v>
      </c>
    </row>
    <row r="2601" spans="2:11" x14ac:dyDescent="0.25">
      <c r="B2601" t="s">
        <v>1263</v>
      </c>
      <c r="C2601">
        <v>2007</v>
      </c>
      <c r="D2601" s="1">
        <v>100000</v>
      </c>
      <c r="E2601">
        <v>170000</v>
      </c>
      <c r="F2601" t="s">
        <v>9</v>
      </c>
      <c r="G2601" t="s">
        <v>10</v>
      </c>
      <c r="H2601" t="s">
        <v>11</v>
      </c>
      <c r="I2601" t="s">
        <v>12</v>
      </c>
      <c r="J2601">
        <f t="shared" si="80"/>
        <v>19</v>
      </c>
      <c r="K2601" t="str">
        <f t="shared" si="81"/>
        <v>Budget</v>
      </c>
    </row>
    <row r="2602" spans="2:11" x14ac:dyDescent="0.25">
      <c r="B2602" t="s">
        <v>1264</v>
      </c>
      <c r="C2602">
        <v>2010</v>
      </c>
      <c r="D2602" s="1">
        <v>850000</v>
      </c>
      <c r="E2602">
        <v>46000</v>
      </c>
      <c r="F2602" t="s">
        <v>15</v>
      </c>
      <c r="G2602" t="s">
        <v>10</v>
      </c>
      <c r="H2602" t="s">
        <v>28</v>
      </c>
      <c r="I2602" t="s">
        <v>12</v>
      </c>
      <c r="J2602">
        <f t="shared" si="80"/>
        <v>16</v>
      </c>
      <c r="K2602" t="str">
        <f t="shared" si="81"/>
        <v>Mid Range</v>
      </c>
    </row>
    <row r="2603" spans="2:11" x14ac:dyDescent="0.25">
      <c r="B2603" t="s">
        <v>186</v>
      </c>
      <c r="C2603">
        <v>2012</v>
      </c>
      <c r="D2603" s="1">
        <v>359000</v>
      </c>
      <c r="E2603">
        <v>120000</v>
      </c>
      <c r="F2603" t="s">
        <v>15</v>
      </c>
      <c r="G2603" t="s">
        <v>10</v>
      </c>
      <c r="H2603" t="s">
        <v>28</v>
      </c>
      <c r="I2603" t="s">
        <v>49</v>
      </c>
      <c r="J2603">
        <f t="shared" si="80"/>
        <v>14</v>
      </c>
      <c r="K2603" t="str">
        <f t="shared" si="81"/>
        <v>Budget</v>
      </c>
    </row>
    <row r="2604" spans="2:11" x14ac:dyDescent="0.25">
      <c r="B2604" t="s">
        <v>366</v>
      </c>
      <c r="C2604">
        <v>2015</v>
      </c>
      <c r="D2604" s="1">
        <v>470000</v>
      </c>
      <c r="E2604">
        <v>91365</v>
      </c>
      <c r="F2604" t="s">
        <v>15</v>
      </c>
      <c r="G2604" t="s">
        <v>27</v>
      </c>
      <c r="H2604" t="s">
        <v>11</v>
      </c>
      <c r="I2604" t="s">
        <v>12</v>
      </c>
      <c r="J2604">
        <f t="shared" si="80"/>
        <v>11</v>
      </c>
      <c r="K2604" t="str">
        <f t="shared" si="81"/>
        <v>Budget</v>
      </c>
    </row>
    <row r="2605" spans="2:11" x14ac:dyDescent="0.25">
      <c r="B2605" t="s">
        <v>114</v>
      </c>
      <c r="C2605">
        <v>2013</v>
      </c>
      <c r="D2605" s="1">
        <v>360000</v>
      </c>
      <c r="E2605">
        <v>90010</v>
      </c>
      <c r="F2605" t="s">
        <v>15</v>
      </c>
      <c r="G2605" t="s">
        <v>27</v>
      </c>
      <c r="H2605" t="s">
        <v>11</v>
      </c>
      <c r="I2605" t="s">
        <v>18</v>
      </c>
      <c r="J2605">
        <f t="shared" si="80"/>
        <v>13</v>
      </c>
      <c r="K2605" t="str">
        <f t="shared" si="81"/>
        <v>Budget</v>
      </c>
    </row>
    <row r="2606" spans="2:11" x14ac:dyDescent="0.25">
      <c r="B2606" t="s">
        <v>118</v>
      </c>
      <c r="C2606">
        <v>2013</v>
      </c>
      <c r="D2606" s="1">
        <v>250999</v>
      </c>
      <c r="E2606">
        <v>80000</v>
      </c>
      <c r="F2606" t="s">
        <v>15</v>
      </c>
      <c r="G2606" t="s">
        <v>10</v>
      </c>
      <c r="H2606" t="s">
        <v>11</v>
      </c>
      <c r="I2606" t="s">
        <v>12</v>
      </c>
      <c r="J2606">
        <f t="shared" si="80"/>
        <v>13</v>
      </c>
      <c r="K2606" t="str">
        <f t="shared" si="81"/>
        <v>Budget</v>
      </c>
    </row>
    <row r="2607" spans="2:11" x14ac:dyDescent="0.25">
      <c r="B2607" t="s">
        <v>123</v>
      </c>
      <c r="C2607">
        <v>2012</v>
      </c>
      <c r="D2607" s="1">
        <v>45000</v>
      </c>
      <c r="E2607">
        <v>35000</v>
      </c>
      <c r="F2607" t="s">
        <v>9</v>
      </c>
      <c r="G2607" t="s">
        <v>10</v>
      </c>
      <c r="H2607" t="s">
        <v>11</v>
      </c>
      <c r="I2607" t="s">
        <v>18</v>
      </c>
      <c r="J2607">
        <f t="shared" si="80"/>
        <v>14</v>
      </c>
      <c r="K2607" t="str">
        <f t="shared" si="81"/>
        <v>Budget</v>
      </c>
    </row>
    <row r="2608" spans="2:11" x14ac:dyDescent="0.25">
      <c r="B2608" t="s">
        <v>1265</v>
      </c>
      <c r="C2608">
        <v>2006</v>
      </c>
      <c r="D2608" s="1">
        <v>75000</v>
      </c>
      <c r="E2608">
        <v>80000</v>
      </c>
      <c r="F2608" t="s">
        <v>9</v>
      </c>
      <c r="G2608" t="s">
        <v>10</v>
      </c>
      <c r="H2608" t="s">
        <v>11</v>
      </c>
      <c r="I2608" t="s">
        <v>18</v>
      </c>
      <c r="J2608">
        <f t="shared" si="80"/>
        <v>20</v>
      </c>
      <c r="K2608" t="str">
        <f t="shared" si="81"/>
        <v>Budget</v>
      </c>
    </row>
    <row r="2609" spans="2:11" x14ac:dyDescent="0.25">
      <c r="B2609" t="s">
        <v>114</v>
      </c>
      <c r="C2609">
        <v>2013</v>
      </c>
      <c r="D2609" s="1">
        <v>495000</v>
      </c>
      <c r="E2609">
        <v>31800</v>
      </c>
      <c r="F2609" t="s">
        <v>15</v>
      </c>
      <c r="G2609" t="s">
        <v>27</v>
      </c>
      <c r="H2609" t="s">
        <v>11</v>
      </c>
      <c r="I2609" t="s">
        <v>12</v>
      </c>
      <c r="J2609">
        <f t="shared" si="80"/>
        <v>13</v>
      </c>
      <c r="K2609" t="str">
        <f t="shared" si="81"/>
        <v>Budget</v>
      </c>
    </row>
    <row r="2610" spans="2:11" x14ac:dyDescent="0.25">
      <c r="B2610" t="s">
        <v>1266</v>
      </c>
      <c r="C2610">
        <v>2013</v>
      </c>
      <c r="D2610" s="1">
        <v>310000</v>
      </c>
      <c r="E2610">
        <v>59100</v>
      </c>
      <c r="F2610" t="s">
        <v>24</v>
      </c>
      <c r="G2610" t="s">
        <v>27</v>
      </c>
      <c r="H2610" t="s">
        <v>11</v>
      </c>
      <c r="I2610" t="s">
        <v>12</v>
      </c>
      <c r="J2610">
        <f t="shared" si="80"/>
        <v>13</v>
      </c>
      <c r="K2610" t="str">
        <f t="shared" si="81"/>
        <v>Budget</v>
      </c>
    </row>
    <row r="2611" spans="2:11" x14ac:dyDescent="0.25">
      <c r="B2611" t="s">
        <v>1267</v>
      </c>
      <c r="C2611">
        <v>2016</v>
      </c>
      <c r="D2611" s="1">
        <v>540000</v>
      </c>
      <c r="E2611">
        <v>31200</v>
      </c>
      <c r="F2611" t="s">
        <v>9</v>
      </c>
      <c r="G2611" t="s">
        <v>27</v>
      </c>
      <c r="H2611" t="s">
        <v>11</v>
      </c>
      <c r="I2611" t="s">
        <v>12</v>
      </c>
      <c r="J2611">
        <f t="shared" si="80"/>
        <v>10</v>
      </c>
      <c r="K2611" t="str">
        <f t="shared" si="81"/>
        <v>Mid Range</v>
      </c>
    </row>
    <row r="2612" spans="2:11" x14ac:dyDescent="0.25">
      <c r="B2612" t="s">
        <v>1268</v>
      </c>
      <c r="C2612">
        <v>2016</v>
      </c>
      <c r="D2612" s="1">
        <v>665000</v>
      </c>
      <c r="E2612">
        <v>51000</v>
      </c>
      <c r="F2612" t="s">
        <v>15</v>
      </c>
      <c r="G2612" t="s">
        <v>27</v>
      </c>
      <c r="H2612" t="s">
        <v>11</v>
      </c>
      <c r="I2612" t="s">
        <v>12</v>
      </c>
      <c r="J2612">
        <f t="shared" si="80"/>
        <v>10</v>
      </c>
      <c r="K2612" t="str">
        <f t="shared" si="81"/>
        <v>Mid Range</v>
      </c>
    </row>
    <row r="2613" spans="2:11" x14ac:dyDescent="0.25">
      <c r="B2613" t="s">
        <v>200</v>
      </c>
      <c r="C2613">
        <v>2013</v>
      </c>
      <c r="D2613" s="1">
        <v>425000</v>
      </c>
      <c r="E2613">
        <v>22700</v>
      </c>
      <c r="F2613" t="s">
        <v>15</v>
      </c>
      <c r="G2613" t="s">
        <v>27</v>
      </c>
      <c r="H2613" t="s">
        <v>11</v>
      </c>
      <c r="I2613" t="s">
        <v>18</v>
      </c>
      <c r="J2613">
        <f t="shared" si="80"/>
        <v>13</v>
      </c>
      <c r="K2613" t="str">
        <f t="shared" si="81"/>
        <v>Budget</v>
      </c>
    </row>
    <row r="2614" spans="2:11" x14ac:dyDescent="0.25">
      <c r="B2614" t="s">
        <v>1269</v>
      </c>
      <c r="C2614">
        <v>2011</v>
      </c>
      <c r="D2614" s="1">
        <v>1295000</v>
      </c>
      <c r="E2614">
        <v>58000</v>
      </c>
      <c r="F2614" t="s">
        <v>15</v>
      </c>
      <c r="G2614" t="s">
        <v>27</v>
      </c>
      <c r="H2614" t="s">
        <v>28</v>
      </c>
      <c r="I2614" t="s">
        <v>12</v>
      </c>
      <c r="J2614">
        <f t="shared" si="80"/>
        <v>15</v>
      </c>
      <c r="K2614" t="str">
        <f t="shared" si="81"/>
        <v>Premium</v>
      </c>
    </row>
    <row r="2615" spans="2:11" x14ac:dyDescent="0.25">
      <c r="B2615" t="s">
        <v>503</v>
      </c>
      <c r="C2615">
        <v>2016</v>
      </c>
      <c r="D2615" s="1">
        <v>675000</v>
      </c>
      <c r="E2615">
        <v>50900</v>
      </c>
      <c r="F2615" t="s">
        <v>15</v>
      </c>
      <c r="G2615" t="s">
        <v>27</v>
      </c>
      <c r="H2615" t="s">
        <v>11</v>
      </c>
      <c r="I2615" t="s">
        <v>12</v>
      </c>
      <c r="J2615">
        <f t="shared" si="80"/>
        <v>10</v>
      </c>
      <c r="K2615" t="str">
        <f t="shared" si="81"/>
        <v>Mid Range</v>
      </c>
    </row>
    <row r="2616" spans="2:11" x14ac:dyDescent="0.25">
      <c r="B2616" t="s">
        <v>1270</v>
      </c>
      <c r="C2616">
        <v>2018</v>
      </c>
      <c r="D2616" s="1">
        <v>980000</v>
      </c>
      <c r="E2616">
        <v>10000</v>
      </c>
      <c r="F2616" t="s">
        <v>15</v>
      </c>
      <c r="G2616" t="s">
        <v>10</v>
      </c>
      <c r="H2616" t="s">
        <v>11</v>
      </c>
      <c r="I2616" t="s">
        <v>12</v>
      </c>
      <c r="J2616">
        <f t="shared" si="80"/>
        <v>8</v>
      </c>
      <c r="K2616" t="str">
        <f t="shared" si="81"/>
        <v>Mid Range</v>
      </c>
    </row>
    <row r="2617" spans="2:11" x14ac:dyDescent="0.25">
      <c r="B2617" t="s">
        <v>218</v>
      </c>
      <c r="C2617">
        <v>2014</v>
      </c>
      <c r="D2617" s="1">
        <v>320000</v>
      </c>
      <c r="E2617">
        <v>60000</v>
      </c>
      <c r="F2617" t="s">
        <v>15</v>
      </c>
      <c r="G2617" t="s">
        <v>10</v>
      </c>
      <c r="H2617" t="s">
        <v>11</v>
      </c>
      <c r="I2617" t="s">
        <v>12</v>
      </c>
      <c r="J2617">
        <f t="shared" si="80"/>
        <v>12</v>
      </c>
      <c r="K2617" t="str">
        <f t="shared" si="81"/>
        <v>Budget</v>
      </c>
    </row>
    <row r="2618" spans="2:11" x14ac:dyDescent="0.25">
      <c r="B2618" t="s">
        <v>1271</v>
      </c>
      <c r="C2618">
        <v>2011</v>
      </c>
      <c r="D2618" s="1">
        <v>250000</v>
      </c>
      <c r="E2618">
        <v>80000</v>
      </c>
      <c r="F2618" t="s">
        <v>9</v>
      </c>
      <c r="G2618" t="s">
        <v>10</v>
      </c>
      <c r="H2618" t="s">
        <v>11</v>
      </c>
      <c r="I2618" t="s">
        <v>18</v>
      </c>
      <c r="J2618">
        <f t="shared" si="80"/>
        <v>15</v>
      </c>
      <c r="K2618" t="str">
        <f t="shared" si="81"/>
        <v>Budget</v>
      </c>
    </row>
    <row r="2619" spans="2:11" x14ac:dyDescent="0.25">
      <c r="B2619" t="s">
        <v>1155</v>
      </c>
      <c r="C2619">
        <v>2016</v>
      </c>
      <c r="D2619" s="1">
        <v>600000</v>
      </c>
      <c r="E2619">
        <v>72000</v>
      </c>
      <c r="F2619" t="s">
        <v>15</v>
      </c>
      <c r="G2619" t="s">
        <v>10</v>
      </c>
      <c r="H2619" t="s">
        <v>11</v>
      </c>
      <c r="I2619" t="s">
        <v>12</v>
      </c>
      <c r="J2619">
        <f t="shared" si="80"/>
        <v>10</v>
      </c>
      <c r="K2619" t="str">
        <f t="shared" si="81"/>
        <v>Mid Range</v>
      </c>
    </row>
    <row r="2620" spans="2:11" x14ac:dyDescent="0.25">
      <c r="B2620" t="s">
        <v>20</v>
      </c>
      <c r="C2620">
        <v>2016</v>
      </c>
      <c r="D2620" s="1">
        <v>300000</v>
      </c>
      <c r="E2620">
        <v>96000</v>
      </c>
      <c r="F2620" t="s">
        <v>9</v>
      </c>
      <c r="G2620" t="s">
        <v>10</v>
      </c>
      <c r="H2620" t="s">
        <v>11</v>
      </c>
      <c r="I2620" t="s">
        <v>12</v>
      </c>
      <c r="J2620">
        <f t="shared" si="80"/>
        <v>10</v>
      </c>
      <c r="K2620" t="str">
        <f t="shared" si="81"/>
        <v>Budget</v>
      </c>
    </row>
    <row r="2621" spans="2:11" x14ac:dyDescent="0.25">
      <c r="B2621" t="s">
        <v>218</v>
      </c>
      <c r="C2621">
        <v>2014</v>
      </c>
      <c r="D2621" s="1">
        <v>305000</v>
      </c>
      <c r="E2621">
        <v>66000</v>
      </c>
      <c r="F2621" t="s">
        <v>15</v>
      </c>
      <c r="G2621" t="s">
        <v>10</v>
      </c>
      <c r="H2621" t="s">
        <v>11</v>
      </c>
      <c r="I2621" t="s">
        <v>12</v>
      </c>
      <c r="J2621">
        <f t="shared" si="80"/>
        <v>12</v>
      </c>
      <c r="K2621" t="str">
        <f t="shared" si="81"/>
        <v>Budget</v>
      </c>
    </row>
    <row r="2622" spans="2:11" x14ac:dyDescent="0.25">
      <c r="B2622" t="s">
        <v>13</v>
      </c>
      <c r="C2622">
        <v>2009</v>
      </c>
      <c r="D2622" s="1">
        <v>106000</v>
      </c>
      <c r="E2622">
        <v>70000</v>
      </c>
      <c r="F2622" t="s">
        <v>9</v>
      </c>
      <c r="G2622" t="s">
        <v>10</v>
      </c>
      <c r="H2622" t="s">
        <v>11</v>
      </c>
      <c r="I2622" t="s">
        <v>12</v>
      </c>
      <c r="J2622">
        <f t="shared" si="80"/>
        <v>17</v>
      </c>
      <c r="K2622" t="str">
        <f t="shared" si="81"/>
        <v>Budget</v>
      </c>
    </row>
    <row r="2623" spans="2:11" x14ac:dyDescent="0.25">
      <c r="B2623" t="s">
        <v>1272</v>
      </c>
      <c r="C2623">
        <v>2006</v>
      </c>
      <c r="D2623" s="1">
        <v>90000</v>
      </c>
      <c r="E2623">
        <v>75000</v>
      </c>
      <c r="F2623" t="s">
        <v>9</v>
      </c>
      <c r="G2623" t="s">
        <v>10</v>
      </c>
      <c r="H2623" t="s">
        <v>11</v>
      </c>
      <c r="I2623" t="s">
        <v>49</v>
      </c>
      <c r="J2623">
        <f t="shared" si="80"/>
        <v>20</v>
      </c>
      <c r="K2623" t="str">
        <f t="shared" si="81"/>
        <v>Budget</v>
      </c>
    </row>
    <row r="2624" spans="2:11" x14ac:dyDescent="0.25">
      <c r="B2624" t="s">
        <v>254</v>
      </c>
      <c r="C2624">
        <v>2019</v>
      </c>
      <c r="D2624" s="1">
        <v>539000</v>
      </c>
      <c r="E2624">
        <v>2417</v>
      </c>
      <c r="F2624" t="s">
        <v>9</v>
      </c>
      <c r="G2624" t="s">
        <v>10</v>
      </c>
      <c r="H2624" t="s">
        <v>11</v>
      </c>
      <c r="I2624" t="s">
        <v>12</v>
      </c>
      <c r="J2624">
        <f t="shared" si="80"/>
        <v>7</v>
      </c>
      <c r="K2624" t="str">
        <f t="shared" si="81"/>
        <v>Mid Range</v>
      </c>
    </row>
    <row r="2625" spans="2:11" x14ac:dyDescent="0.25">
      <c r="B2625" t="s">
        <v>189</v>
      </c>
      <c r="C2625">
        <v>2016</v>
      </c>
      <c r="D2625" s="1">
        <v>250000</v>
      </c>
      <c r="E2625">
        <v>30000</v>
      </c>
      <c r="F2625" t="s">
        <v>9</v>
      </c>
      <c r="G2625" t="s">
        <v>10</v>
      </c>
      <c r="H2625" t="s">
        <v>11</v>
      </c>
      <c r="I2625" t="s">
        <v>18</v>
      </c>
      <c r="J2625">
        <f t="shared" si="80"/>
        <v>10</v>
      </c>
      <c r="K2625" t="str">
        <f t="shared" si="81"/>
        <v>Budget</v>
      </c>
    </row>
    <row r="2626" spans="2:11" x14ac:dyDescent="0.25">
      <c r="B2626" t="s">
        <v>1273</v>
      </c>
      <c r="C2626">
        <v>2018</v>
      </c>
      <c r="D2626" s="1">
        <v>707000</v>
      </c>
      <c r="E2626">
        <v>60000</v>
      </c>
      <c r="F2626" t="s">
        <v>15</v>
      </c>
      <c r="G2626" t="s">
        <v>10</v>
      </c>
      <c r="H2626" t="s">
        <v>11</v>
      </c>
      <c r="I2626" t="s">
        <v>12</v>
      </c>
      <c r="J2626">
        <f t="shared" si="80"/>
        <v>8</v>
      </c>
      <c r="K2626" t="str">
        <f t="shared" si="81"/>
        <v>Mid Range</v>
      </c>
    </row>
    <row r="2627" spans="2:11" x14ac:dyDescent="0.25">
      <c r="B2627" t="s">
        <v>82</v>
      </c>
      <c r="C2627">
        <v>2007</v>
      </c>
      <c r="D2627" s="1">
        <v>95000</v>
      </c>
      <c r="E2627">
        <v>120000</v>
      </c>
      <c r="F2627" t="s">
        <v>9</v>
      </c>
      <c r="G2627" t="s">
        <v>10</v>
      </c>
      <c r="H2627" t="s">
        <v>11</v>
      </c>
      <c r="I2627" t="s">
        <v>46</v>
      </c>
      <c r="J2627">
        <f t="shared" si="80"/>
        <v>19</v>
      </c>
      <c r="K2627" t="str">
        <f t="shared" si="81"/>
        <v>Budget</v>
      </c>
    </row>
    <row r="2628" spans="2:11" x14ac:dyDescent="0.25">
      <c r="B2628" t="s">
        <v>1253</v>
      </c>
      <c r="C2628">
        <v>2020</v>
      </c>
      <c r="D2628" s="1">
        <v>495000</v>
      </c>
      <c r="E2628">
        <v>7000</v>
      </c>
      <c r="F2628" t="s">
        <v>24</v>
      </c>
      <c r="G2628" t="s">
        <v>10</v>
      </c>
      <c r="H2628" t="s">
        <v>11</v>
      </c>
      <c r="I2628" t="s">
        <v>12</v>
      </c>
      <c r="J2628">
        <f t="shared" si="80"/>
        <v>6</v>
      </c>
      <c r="K2628" t="str">
        <f t="shared" si="81"/>
        <v>Budget</v>
      </c>
    </row>
    <row r="2629" spans="2:11" x14ac:dyDescent="0.25">
      <c r="B2629" t="s">
        <v>1040</v>
      </c>
      <c r="C2629">
        <v>2012</v>
      </c>
      <c r="D2629" s="1">
        <v>200000</v>
      </c>
      <c r="E2629">
        <v>35000</v>
      </c>
      <c r="F2629" t="s">
        <v>15</v>
      </c>
      <c r="G2629" t="s">
        <v>10</v>
      </c>
      <c r="H2629" t="s">
        <v>11</v>
      </c>
      <c r="I2629" t="s">
        <v>12</v>
      </c>
      <c r="J2629">
        <f t="shared" si="80"/>
        <v>14</v>
      </c>
      <c r="K2629" t="str">
        <f t="shared" si="81"/>
        <v>Budget</v>
      </c>
    </row>
    <row r="2630" spans="2:11" x14ac:dyDescent="0.25">
      <c r="B2630" t="s">
        <v>269</v>
      </c>
      <c r="C2630">
        <v>2009</v>
      </c>
      <c r="D2630" s="1">
        <v>110000</v>
      </c>
      <c r="E2630">
        <v>110000</v>
      </c>
      <c r="F2630" t="s">
        <v>9</v>
      </c>
      <c r="G2630" t="s">
        <v>10</v>
      </c>
      <c r="H2630" t="s">
        <v>11</v>
      </c>
      <c r="I2630" t="s">
        <v>46</v>
      </c>
      <c r="J2630">
        <f t="shared" ref="J2630:J2693" si="82">2026 - C2630</f>
        <v>17</v>
      </c>
      <c r="K2630" t="str">
        <f t="shared" ref="K2630:K2693" si="83">IF(D2630&lt;500000,"Budget",IF(D2630&lt;=1000000,"Mid Range","Premium"))</f>
        <v>Budget</v>
      </c>
    </row>
    <row r="2631" spans="2:11" x14ac:dyDescent="0.25">
      <c r="B2631" t="s">
        <v>58</v>
      </c>
      <c r="C2631">
        <v>2008</v>
      </c>
      <c r="D2631" s="1">
        <v>100000</v>
      </c>
      <c r="E2631">
        <v>130000</v>
      </c>
      <c r="F2631" t="s">
        <v>9</v>
      </c>
      <c r="G2631" t="s">
        <v>10</v>
      </c>
      <c r="H2631" t="s">
        <v>11</v>
      </c>
      <c r="I2631" t="s">
        <v>46</v>
      </c>
      <c r="J2631">
        <f t="shared" si="82"/>
        <v>18</v>
      </c>
      <c r="K2631" t="str">
        <f t="shared" si="83"/>
        <v>Budget</v>
      </c>
    </row>
    <row r="2632" spans="2:11" x14ac:dyDescent="0.25">
      <c r="B2632" t="s">
        <v>856</v>
      </c>
      <c r="C2632">
        <v>2016</v>
      </c>
      <c r="D2632" s="1">
        <v>150000</v>
      </c>
      <c r="E2632">
        <v>25000</v>
      </c>
      <c r="F2632" t="s">
        <v>9</v>
      </c>
      <c r="G2632" t="s">
        <v>10</v>
      </c>
      <c r="H2632" t="s">
        <v>11</v>
      </c>
      <c r="I2632" t="s">
        <v>18</v>
      </c>
      <c r="J2632">
        <f t="shared" si="82"/>
        <v>10</v>
      </c>
      <c r="K2632" t="str">
        <f t="shared" si="83"/>
        <v>Budget</v>
      </c>
    </row>
    <row r="2633" spans="2:11" x14ac:dyDescent="0.25">
      <c r="B2633" t="s">
        <v>1166</v>
      </c>
      <c r="C2633">
        <v>2005</v>
      </c>
      <c r="D2633" s="1">
        <v>50000</v>
      </c>
      <c r="E2633">
        <v>80000</v>
      </c>
      <c r="F2633" t="s">
        <v>9</v>
      </c>
      <c r="G2633" t="s">
        <v>10</v>
      </c>
      <c r="H2633" t="s">
        <v>11</v>
      </c>
      <c r="I2633" t="s">
        <v>49</v>
      </c>
      <c r="J2633">
        <f t="shared" si="82"/>
        <v>21</v>
      </c>
      <c r="K2633" t="str">
        <f t="shared" si="83"/>
        <v>Budget</v>
      </c>
    </row>
    <row r="2634" spans="2:11" x14ac:dyDescent="0.25">
      <c r="B2634" t="s">
        <v>1274</v>
      </c>
      <c r="C2634">
        <v>2007</v>
      </c>
      <c r="D2634" s="1">
        <v>85000</v>
      </c>
      <c r="E2634">
        <v>70000</v>
      </c>
      <c r="F2634" t="s">
        <v>9</v>
      </c>
      <c r="G2634" t="s">
        <v>10</v>
      </c>
      <c r="H2634" t="s">
        <v>11</v>
      </c>
      <c r="I2634" t="s">
        <v>18</v>
      </c>
      <c r="J2634">
        <f t="shared" si="82"/>
        <v>19</v>
      </c>
      <c r="K2634" t="str">
        <f t="shared" si="83"/>
        <v>Budget</v>
      </c>
    </row>
    <row r="2635" spans="2:11" x14ac:dyDescent="0.25">
      <c r="B2635" t="s">
        <v>753</v>
      </c>
      <c r="C2635">
        <v>2018</v>
      </c>
      <c r="D2635" s="1">
        <v>475000</v>
      </c>
      <c r="E2635">
        <v>23000</v>
      </c>
      <c r="F2635" t="s">
        <v>9</v>
      </c>
      <c r="G2635" t="s">
        <v>10</v>
      </c>
      <c r="H2635" t="s">
        <v>11</v>
      </c>
      <c r="I2635" t="s">
        <v>12</v>
      </c>
      <c r="J2635">
        <f t="shared" si="82"/>
        <v>8</v>
      </c>
      <c r="K2635" t="str">
        <f t="shared" si="83"/>
        <v>Budget</v>
      </c>
    </row>
    <row r="2636" spans="2:11" x14ac:dyDescent="0.25">
      <c r="B2636" t="s">
        <v>1275</v>
      </c>
      <c r="C2636">
        <v>2014</v>
      </c>
      <c r="D2636" s="1">
        <v>425000</v>
      </c>
      <c r="E2636">
        <v>40000</v>
      </c>
      <c r="F2636" t="s">
        <v>9</v>
      </c>
      <c r="G2636" t="s">
        <v>10</v>
      </c>
      <c r="H2636" t="s">
        <v>11</v>
      </c>
      <c r="I2636" t="s">
        <v>12</v>
      </c>
      <c r="J2636">
        <f t="shared" si="82"/>
        <v>12</v>
      </c>
      <c r="K2636" t="str">
        <f t="shared" si="83"/>
        <v>Budget</v>
      </c>
    </row>
    <row r="2637" spans="2:11" x14ac:dyDescent="0.25">
      <c r="B2637" t="s">
        <v>1276</v>
      </c>
      <c r="C2637">
        <v>2006</v>
      </c>
      <c r="D2637" s="1">
        <v>480000</v>
      </c>
      <c r="E2637">
        <v>110000</v>
      </c>
      <c r="F2637" t="s">
        <v>9</v>
      </c>
      <c r="G2637" t="s">
        <v>10</v>
      </c>
      <c r="H2637" t="s">
        <v>28</v>
      </c>
      <c r="I2637" t="s">
        <v>18</v>
      </c>
      <c r="J2637">
        <f t="shared" si="82"/>
        <v>20</v>
      </c>
      <c r="K2637" t="str">
        <f t="shared" si="83"/>
        <v>Budget</v>
      </c>
    </row>
    <row r="2638" spans="2:11" x14ac:dyDescent="0.25">
      <c r="B2638" t="s">
        <v>1277</v>
      </c>
      <c r="C2638">
        <v>2019</v>
      </c>
      <c r="D2638" s="1">
        <v>950000</v>
      </c>
      <c r="E2638">
        <v>10000</v>
      </c>
      <c r="F2638" t="s">
        <v>15</v>
      </c>
      <c r="G2638" t="s">
        <v>10</v>
      </c>
      <c r="H2638" t="s">
        <v>11</v>
      </c>
      <c r="I2638" t="s">
        <v>12</v>
      </c>
      <c r="J2638">
        <f t="shared" si="82"/>
        <v>7</v>
      </c>
      <c r="K2638" t="str">
        <f t="shared" si="83"/>
        <v>Mid Range</v>
      </c>
    </row>
    <row r="2639" spans="2:11" x14ac:dyDescent="0.25">
      <c r="B2639" t="s">
        <v>114</v>
      </c>
      <c r="C2639">
        <v>2015</v>
      </c>
      <c r="D2639" s="1">
        <v>535000</v>
      </c>
      <c r="E2639">
        <v>80000</v>
      </c>
      <c r="F2639" t="s">
        <v>15</v>
      </c>
      <c r="G2639" t="s">
        <v>10</v>
      </c>
      <c r="H2639" t="s">
        <v>11</v>
      </c>
      <c r="I2639" t="s">
        <v>12</v>
      </c>
      <c r="J2639">
        <f t="shared" si="82"/>
        <v>11</v>
      </c>
      <c r="K2639" t="str">
        <f t="shared" si="83"/>
        <v>Mid Range</v>
      </c>
    </row>
    <row r="2640" spans="2:11" x14ac:dyDescent="0.25">
      <c r="B2640" t="s">
        <v>847</v>
      </c>
      <c r="C2640">
        <v>2009</v>
      </c>
      <c r="D2640" s="1">
        <v>325000</v>
      </c>
      <c r="E2640">
        <v>25000</v>
      </c>
      <c r="F2640" t="s">
        <v>15</v>
      </c>
      <c r="G2640" t="s">
        <v>10</v>
      </c>
      <c r="H2640" t="s">
        <v>11</v>
      </c>
      <c r="I2640" t="s">
        <v>49</v>
      </c>
      <c r="J2640">
        <f t="shared" si="82"/>
        <v>17</v>
      </c>
      <c r="K2640" t="str">
        <f t="shared" si="83"/>
        <v>Budget</v>
      </c>
    </row>
    <row r="2641" spans="2:11" x14ac:dyDescent="0.25">
      <c r="B2641" t="s">
        <v>519</v>
      </c>
      <c r="C2641">
        <v>2013</v>
      </c>
      <c r="D2641" s="1">
        <v>270000</v>
      </c>
      <c r="E2641">
        <v>74000</v>
      </c>
      <c r="F2641" t="s">
        <v>9</v>
      </c>
      <c r="G2641" t="s">
        <v>10</v>
      </c>
      <c r="H2641" t="s">
        <v>11</v>
      </c>
      <c r="I2641" t="s">
        <v>49</v>
      </c>
      <c r="J2641">
        <f t="shared" si="82"/>
        <v>13</v>
      </c>
      <c r="K2641" t="str">
        <f t="shared" si="83"/>
        <v>Budget</v>
      </c>
    </row>
    <row r="2642" spans="2:11" x14ac:dyDescent="0.25">
      <c r="B2642" t="s">
        <v>1090</v>
      </c>
      <c r="C2642">
        <v>2015</v>
      </c>
      <c r="D2642" s="1">
        <v>300000</v>
      </c>
      <c r="E2642">
        <v>60000</v>
      </c>
      <c r="F2642" t="s">
        <v>9</v>
      </c>
      <c r="G2642" t="s">
        <v>10</v>
      </c>
      <c r="H2642" t="s">
        <v>11</v>
      </c>
      <c r="I2642" t="s">
        <v>49</v>
      </c>
      <c r="J2642">
        <f t="shared" si="82"/>
        <v>11</v>
      </c>
      <c r="K2642" t="str">
        <f t="shared" si="83"/>
        <v>Budget</v>
      </c>
    </row>
    <row r="2643" spans="2:11" x14ac:dyDescent="0.25">
      <c r="B2643" t="s">
        <v>1278</v>
      </c>
      <c r="C2643">
        <v>2011</v>
      </c>
      <c r="D2643" s="1">
        <v>325000</v>
      </c>
      <c r="E2643">
        <v>70000</v>
      </c>
      <c r="F2643" t="s">
        <v>15</v>
      </c>
      <c r="G2643" t="s">
        <v>10</v>
      </c>
      <c r="H2643" t="s">
        <v>11</v>
      </c>
      <c r="I2643" t="s">
        <v>12</v>
      </c>
      <c r="J2643">
        <f t="shared" si="82"/>
        <v>15</v>
      </c>
      <c r="K2643" t="str">
        <f t="shared" si="83"/>
        <v>Budget</v>
      </c>
    </row>
    <row r="2644" spans="2:11" x14ac:dyDescent="0.25">
      <c r="B2644" t="s">
        <v>331</v>
      </c>
      <c r="C2644">
        <v>2010</v>
      </c>
      <c r="D2644" s="1">
        <v>350000</v>
      </c>
      <c r="E2644">
        <v>100000</v>
      </c>
      <c r="F2644" t="s">
        <v>15</v>
      </c>
      <c r="G2644" t="s">
        <v>10</v>
      </c>
      <c r="H2644" t="s">
        <v>11</v>
      </c>
      <c r="I2644" t="s">
        <v>12</v>
      </c>
      <c r="J2644">
        <f t="shared" si="82"/>
        <v>16</v>
      </c>
      <c r="K2644" t="str">
        <f t="shared" si="83"/>
        <v>Budget</v>
      </c>
    </row>
    <row r="2645" spans="2:11" x14ac:dyDescent="0.25">
      <c r="B2645" t="s">
        <v>1199</v>
      </c>
      <c r="C2645">
        <v>2008</v>
      </c>
      <c r="D2645" s="1">
        <v>229999</v>
      </c>
      <c r="E2645">
        <v>146000</v>
      </c>
      <c r="F2645" t="s">
        <v>15</v>
      </c>
      <c r="G2645" t="s">
        <v>10</v>
      </c>
      <c r="H2645" t="s">
        <v>11</v>
      </c>
      <c r="I2645" t="s">
        <v>49</v>
      </c>
      <c r="J2645">
        <f t="shared" si="82"/>
        <v>18</v>
      </c>
      <c r="K2645" t="str">
        <f t="shared" si="83"/>
        <v>Budget</v>
      </c>
    </row>
    <row r="2646" spans="2:11" x14ac:dyDescent="0.25">
      <c r="B2646" t="s">
        <v>1279</v>
      </c>
      <c r="C2646">
        <v>2012</v>
      </c>
      <c r="D2646" s="1">
        <v>325000</v>
      </c>
      <c r="E2646">
        <v>120000</v>
      </c>
      <c r="F2646" t="s">
        <v>15</v>
      </c>
      <c r="G2646" t="s">
        <v>10</v>
      </c>
      <c r="H2646" t="s">
        <v>11</v>
      </c>
      <c r="I2646" t="s">
        <v>18</v>
      </c>
      <c r="J2646">
        <f t="shared" si="82"/>
        <v>14</v>
      </c>
      <c r="K2646" t="str">
        <f t="shared" si="83"/>
        <v>Budget</v>
      </c>
    </row>
    <row r="2647" spans="2:11" x14ac:dyDescent="0.25">
      <c r="B2647" t="s">
        <v>153</v>
      </c>
      <c r="C2647">
        <v>2005</v>
      </c>
      <c r="D2647" s="1">
        <v>70000</v>
      </c>
      <c r="E2647">
        <v>70000</v>
      </c>
      <c r="F2647" t="s">
        <v>9</v>
      </c>
      <c r="G2647" t="s">
        <v>10</v>
      </c>
      <c r="H2647" t="s">
        <v>11</v>
      </c>
      <c r="I2647" t="s">
        <v>18</v>
      </c>
      <c r="J2647">
        <f t="shared" si="82"/>
        <v>21</v>
      </c>
      <c r="K2647" t="str">
        <f t="shared" si="83"/>
        <v>Budget</v>
      </c>
    </row>
    <row r="2648" spans="2:11" x14ac:dyDescent="0.25">
      <c r="B2648" t="s">
        <v>1280</v>
      </c>
      <c r="C2648">
        <v>2008</v>
      </c>
      <c r="D2648" s="1">
        <v>190000</v>
      </c>
      <c r="E2648">
        <v>120000</v>
      </c>
      <c r="F2648" t="s">
        <v>15</v>
      </c>
      <c r="G2648" t="s">
        <v>10</v>
      </c>
      <c r="H2648" t="s">
        <v>11</v>
      </c>
      <c r="I2648" t="s">
        <v>49</v>
      </c>
      <c r="J2648">
        <f t="shared" si="82"/>
        <v>18</v>
      </c>
      <c r="K2648" t="str">
        <f t="shared" si="83"/>
        <v>Budget</v>
      </c>
    </row>
    <row r="2649" spans="2:11" x14ac:dyDescent="0.25">
      <c r="B2649" t="s">
        <v>130</v>
      </c>
      <c r="C2649">
        <v>2011</v>
      </c>
      <c r="D2649" s="1">
        <v>345000</v>
      </c>
      <c r="E2649">
        <v>65500</v>
      </c>
      <c r="F2649" t="s">
        <v>15</v>
      </c>
      <c r="G2649" t="s">
        <v>10</v>
      </c>
      <c r="H2649" t="s">
        <v>11</v>
      </c>
      <c r="I2649" t="s">
        <v>12</v>
      </c>
      <c r="J2649">
        <f t="shared" si="82"/>
        <v>15</v>
      </c>
      <c r="K2649" t="str">
        <f t="shared" si="83"/>
        <v>Budget</v>
      </c>
    </row>
    <row r="2650" spans="2:11" x14ac:dyDescent="0.25">
      <c r="B2650" t="s">
        <v>51</v>
      </c>
      <c r="C2650">
        <v>2016</v>
      </c>
      <c r="D2650" s="1">
        <v>1025000</v>
      </c>
      <c r="E2650">
        <v>70000</v>
      </c>
      <c r="F2650" t="s">
        <v>15</v>
      </c>
      <c r="G2650" t="s">
        <v>10</v>
      </c>
      <c r="H2650" t="s">
        <v>11</v>
      </c>
      <c r="I2650" t="s">
        <v>12</v>
      </c>
      <c r="J2650">
        <f t="shared" si="82"/>
        <v>10</v>
      </c>
      <c r="K2650" t="str">
        <f t="shared" si="83"/>
        <v>Premium</v>
      </c>
    </row>
    <row r="2651" spans="2:11" x14ac:dyDescent="0.25">
      <c r="B2651" t="s">
        <v>249</v>
      </c>
      <c r="C2651">
        <v>2012</v>
      </c>
      <c r="D2651" s="1">
        <v>120000</v>
      </c>
      <c r="E2651">
        <v>50000</v>
      </c>
      <c r="F2651" t="s">
        <v>9</v>
      </c>
      <c r="G2651" t="s">
        <v>10</v>
      </c>
      <c r="H2651" t="s">
        <v>11</v>
      </c>
      <c r="I2651" t="s">
        <v>12</v>
      </c>
      <c r="J2651">
        <f t="shared" si="82"/>
        <v>14</v>
      </c>
      <c r="K2651" t="str">
        <f t="shared" si="83"/>
        <v>Budget</v>
      </c>
    </row>
    <row r="2652" spans="2:11" x14ac:dyDescent="0.25">
      <c r="B2652" t="s">
        <v>211</v>
      </c>
      <c r="C2652">
        <v>2009</v>
      </c>
      <c r="D2652" s="1">
        <v>114999</v>
      </c>
      <c r="E2652">
        <v>90000</v>
      </c>
      <c r="F2652" t="s">
        <v>9</v>
      </c>
      <c r="G2652" t="s">
        <v>10</v>
      </c>
      <c r="H2652" t="s">
        <v>11</v>
      </c>
      <c r="I2652" t="s">
        <v>18</v>
      </c>
      <c r="J2652">
        <f t="shared" si="82"/>
        <v>17</v>
      </c>
      <c r="K2652" t="str">
        <f t="shared" si="83"/>
        <v>Budget</v>
      </c>
    </row>
    <row r="2653" spans="2:11" x14ac:dyDescent="0.25">
      <c r="B2653" t="s">
        <v>1104</v>
      </c>
      <c r="C2653">
        <v>2009</v>
      </c>
      <c r="D2653" s="1">
        <v>300000</v>
      </c>
      <c r="E2653">
        <v>120000</v>
      </c>
      <c r="F2653" t="s">
        <v>9</v>
      </c>
      <c r="G2653" t="s">
        <v>10</v>
      </c>
      <c r="H2653" t="s">
        <v>11</v>
      </c>
      <c r="I2653" t="s">
        <v>18</v>
      </c>
      <c r="J2653">
        <f t="shared" si="82"/>
        <v>17</v>
      </c>
      <c r="K2653" t="str">
        <f t="shared" si="83"/>
        <v>Budget</v>
      </c>
    </row>
    <row r="2654" spans="2:11" x14ac:dyDescent="0.25">
      <c r="B2654" t="s">
        <v>1090</v>
      </c>
      <c r="C2654">
        <v>2016</v>
      </c>
      <c r="D2654" s="1">
        <v>340000</v>
      </c>
      <c r="E2654">
        <v>56000</v>
      </c>
      <c r="F2654" t="s">
        <v>9</v>
      </c>
      <c r="G2654" t="s">
        <v>27</v>
      </c>
      <c r="H2654" t="s">
        <v>11</v>
      </c>
      <c r="I2654" t="s">
        <v>12</v>
      </c>
      <c r="J2654">
        <f t="shared" si="82"/>
        <v>10</v>
      </c>
      <c r="K2654" t="str">
        <f t="shared" si="83"/>
        <v>Budget</v>
      </c>
    </row>
    <row r="2655" spans="2:11" x14ac:dyDescent="0.25">
      <c r="B2655" t="s">
        <v>153</v>
      </c>
      <c r="C2655">
        <v>2005</v>
      </c>
      <c r="D2655" s="1">
        <v>90000</v>
      </c>
      <c r="E2655">
        <v>70000</v>
      </c>
      <c r="F2655" t="s">
        <v>9</v>
      </c>
      <c r="G2655" t="s">
        <v>10</v>
      </c>
      <c r="H2655" t="s">
        <v>11</v>
      </c>
      <c r="I2655" t="s">
        <v>18</v>
      </c>
      <c r="J2655">
        <f t="shared" si="82"/>
        <v>21</v>
      </c>
      <c r="K2655" t="str">
        <f t="shared" si="83"/>
        <v>Budget</v>
      </c>
    </row>
    <row r="2656" spans="2:11" x14ac:dyDescent="0.25">
      <c r="B2656" t="s">
        <v>172</v>
      </c>
      <c r="C2656">
        <v>2006</v>
      </c>
      <c r="D2656" s="1">
        <v>150000</v>
      </c>
      <c r="E2656">
        <v>140300</v>
      </c>
      <c r="F2656" t="s">
        <v>9</v>
      </c>
      <c r="G2656" t="s">
        <v>10</v>
      </c>
      <c r="H2656" t="s">
        <v>11</v>
      </c>
      <c r="I2656" t="s">
        <v>12</v>
      </c>
      <c r="J2656">
        <f t="shared" si="82"/>
        <v>20</v>
      </c>
      <c r="K2656" t="str">
        <f t="shared" si="83"/>
        <v>Budget</v>
      </c>
    </row>
    <row r="2657" spans="2:11" x14ac:dyDescent="0.25">
      <c r="B2657" t="s">
        <v>453</v>
      </c>
      <c r="C2657">
        <v>2010</v>
      </c>
      <c r="D2657" s="1">
        <v>115999</v>
      </c>
      <c r="E2657">
        <v>70000</v>
      </c>
      <c r="F2657" t="s">
        <v>9</v>
      </c>
      <c r="G2657" t="s">
        <v>10</v>
      </c>
      <c r="H2657" t="s">
        <v>11</v>
      </c>
      <c r="I2657" t="s">
        <v>12</v>
      </c>
      <c r="J2657">
        <f t="shared" si="82"/>
        <v>16</v>
      </c>
      <c r="K2657" t="str">
        <f t="shared" si="83"/>
        <v>Budget</v>
      </c>
    </row>
    <row r="2658" spans="2:11" x14ac:dyDescent="0.25">
      <c r="B2658" t="s">
        <v>257</v>
      </c>
      <c r="C2658">
        <v>2016</v>
      </c>
      <c r="D2658" s="1">
        <v>375000</v>
      </c>
      <c r="E2658">
        <v>23000</v>
      </c>
      <c r="F2658" t="s">
        <v>9</v>
      </c>
      <c r="G2658" t="s">
        <v>27</v>
      </c>
      <c r="H2658" t="s">
        <v>11</v>
      </c>
      <c r="I2658" t="s">
        <v>18</v>
      </c>
      <c r="J2658">
        <f t="shared" si="82"/>
        <v>10</v>
      </c>
      <c r="K2658" t="str">
        <f t="shared" si="83"/>
        <v>Budget</v>
      </c>
    </row>
    <row r="2659" spans="2:11" x14ac:dyDescent="0.25">
      <c r="B2659" t="s">
        <v>440</v>
      </c>
      <c r="C2659">
        <v>2007</v>
      </c>
      <c r="D2659" s="1">
        <v>275000</v>
      </c>
      <c r="E2659">
        <v>10211</v>
      </c>
      <c r="F2659" t="s">
        <v>9</v>
      </c>
      <c r="G2659" t="s">
        <v>10</v>
      </c>
      <c r="H2659" t="s">
        <v>11</v>
      </c>
      <c r="I2659" t="s">
        <v>12</v>
      </c>
      <c r="J2659">
        <f t="shared" si="82"/>
        <v>19</v>
      </c>
      <c r="K2659" t="str">
        <f t="shared" si="83"/>
        <v>Budget</v>
      </c>
    </row>
    <row r="2660" spans="2:11" x14ac:dyDescent="0.25">
      <c r="B2660" t="s">
        <v>793</v>
      </c>
      <c r="C2660">
        <v>2005</v>
      </c>
      <c r="D2660" s="1">
        <v>120000</v>
      </c>
      <c r="E2660">
        <v>120000</v>
      </c>
      <c r="F2660" t="s">
        <v>15</v>
      </c>
      <c r="G2660" t="s">
        <v>10</v>
      </c>
      <c r="H2660" t="s">
        <v>11</v>
      </c>
      <c r="I2660" t="s">
        <v>49</v>
      </c>
      <c r="J2660">
        <f t="shared" si="82"/>
        <v>21</v>
      </c>
      <c r="K2660" t="str">
        <f t="shared" si="83"/>
        <v>Budget</v>
      </c>
    </row>
    <row r="2661" spans="2:11" x14ac:dyDescent="0.25">
      <c r="B2661" t="s">
        <v>1281</v>
      </c>
      <c r="C2661">
        <v>2015</v>
      </c>
      <c r="D2661" s="1">
        <v>350000</v>
      </c>
      <c r="E2661">
        <v>120000</v>
      </c>
      <c r="F2661" t="s">
        <v>15</v>
      </c>
      <c r="G2661" t="s">
        <v>10</v>
      </c>
      <c r="H2661" t="s">
        <v>11</v>
      </c>
      <c r="I2661" t="s">
        <v>12</v>
      </c>
      <c r="J2661">
        <f t="shared" si="82"/>
        <v>11</v>
      </c>
      <c r="K2661" t="str">
        <f t="shared" si="83"/>
        <v>Budget</v>
      </c>
    </row>
    <row r="2662" spans="2:11" x14ac:dyDescent="0.25">
      <c r="B2662" t="s">
        <v>1043</v>
      </c>
      <c r="C2662">
        <v>2017</v>
      </c>
      <c r="D2662" s="1">
        <v>409999</v>
      </c>
      <c r="E2662">
        <v>35000</v>
      </c>
      <c r="F2662" t="s">
        <v>9</v>
      </c>
      <c r="G2662" t="s">
        <v>10</v>
      </c>
      <c r="H2662" t="s">
        <v>11</v>
      </c>
      <c r="I2662" t="s">
        <v>12</v>
      </c>
      <c r="J2662">
        <f t="shared" si="82"/>
        <v>9</v>
      </c>
      <c r="K2662" t="str">
        <f t="shared" si="83"/>
        <v>Budget</v>
      </c>
    </row>
    <row r="2663" spans="2:11" x14ac:dyDescent="0.25">
      <c r="B2663" t="s">
        <v>14</v>
      </c>
      <c r="C2663">
        <v>2012</v>
      </c>
      <c r="D2663" s="1">
        <v>500000</v>
      </c>
      <c r="E2663">
        <v>130000</v>
      </c>
      <c r="F2663" t="s">
        <v>15</v>
      </c>
      <c r="G2663" t="s">
        <v>10</v>
      </c>
      <c r="H2663" t="s">
        <v>11</v>
      </c>
      <c r="I2663" t="s">
        <v>12</v>
      </c>
      <c r="J2663">
        <f t="shared" si="82"/>
        <v>14</v>
      </c>
      <c r="K2663" t="str">
        <f t="shared" si="83"/>
        <v>Mid Range</v>
      </c>
    </row>
    <row r="2664" spans="2:11" x14ac:dyDescent="0.25">
      <c r="B2664" t="s">
        <v>1058</v>
      </c>
      <c r="C2664">
        <v>2013</v>
      </c>
      <c r="D2664" s="1">
        <v>220000</v>
      </c>
      <c r="E2664">
        <v>90000</v>
      </c>
      <c r="F2664" t="s">
        <v>15</v>
      </c>
      <c r="G2664" t="s">
        <v>10</v>
      </c>
      <c r="H2664" t="s">
        <v>11</v>
      </c>
      <c r="I2664" t="s">
        <v>18</v>
      </c>
      <c r="J2664">
        <f t="shared" si="82"/>
        <v>13</v>
      </c>
      <c r="K2664" t="str">
        <f t="shared" si="83"/>
        <v>Budget</v>
      </c>
    </row>
    <row r="2665" spans="2:11" x14ac:dyDescent="0.25">
      <c r="B2665" t="s">
        <v>1282</v>
      </c>
      <c r="C2665">
        <v>2008</v>
      </c>
      <c r="D2665" s="1">
        <v>120000</v>
      </c>
      <c r="E2665">
        <v>80000</v>
      </c>
      <c r="F2665" t="s">
        <v>9</v>
      </c>
      <c r="G2665" t="s">
        <v>10</v>
      </c>
      <c r="H2665" t="s">
        <v>11</v>
      </c>
      <c r="I2665" t="s">
        <v>18</v>
      </c>
      <c r="J2665">
        <f t="shared" si="82"/>
        <v>18</v>
      </c>
      <c r="K2665" t="str">
        <f t="shared" si="83"/>
        <v>Budget</v>
      </c>
    </row>
    <row r="2666" spans="2:11" x14ac:dyDescent="0.25">
      <c r="B2666" t="s">
        <v>1283</v>
      </c>
      <c r="C2666">
        <v>2007</v>
      </c>
      <c r="D2666" s="1">
        <v>70000</v>
      </c>
      <c r="E2666">
        <v>55000</v>
      </c>
      <c r="F2666" t="s">
        <v>9</v>
      </c>
      <c r="G2666" t="s">
        <v>10</v>
      </c>
      <c r="H2666" t="s">
        <v>11</v>
      </c>
      <c r="I2666" t="s">
        <v>18</v>
      </c>
      <c r="J2666">
        <f t="shared" si="82"/>
        <v>19</v>
      </c>
      <c r="K2666" t="str">
        <f t="shared" si="83"/>
        <v>Budget</v>
      </c>
    </row>
    <row r="2667" spans="2:11" x14ac:dyDescent="0.25">
      <c r="B2667" t="s">
        <v>165</v>
      </c>
      <c r="C2667">
        <v>2017</v>
      </c>
      <c r="D2667" s="1">
        <v>800000</v>
      </c>
      <c r="E2667">
        <v>15000</v>
      </c>
      <c r="F2667" t="s">
        <v>9</v>
      </c>
      <c r="G2667" t="s">
        <v>10</v>
      </c>
      <c r="H2667" t="s">
        <v>11</v>
      </c>
      <c r="I2667" t="s">
        <v>12</v>
      </c>
      <c r="J2667">
        <f t="shared" si="82"/>
        <v>9</v>
      </c>
      <c r="K2667" t="str">
        <f t="shared" si="83"/>
        <v>Mid Range</v>
      </c>
    </row>
    <row r="2668" spans="2:11" x14ac:dyDescent="0.25">
      <c r="B2668" t="s">
        <v>114</v>
      </c>
      <c r="C2668">
        <v>2014</v>
      </c>
      <c r="D2668" s="1">
        <v>450000</v>
      </c>
      <c r="E2668">
        <v>260000</v>
      </c>
      <c r="F2668" t="s">
        <v>15</v>
      </c>
      <c r="G2668" t="s">
        <v>10</v>
      </c>
      <c r="H2668" t="s">
        <v>11</v>
      </c>
      <c r="I2668" t="s">
        <v>18</v>
      </c>
      <c r="J2668">
        <f t="shared" si="82"/>
        <v>12</v>
      </c>
      <c r="K2668" t="str">
        <f t="shared" si="83"/>
        <v>Budget</v>
      </c>
    </row>
    <row r="2669" spans="2:11" x14ac:dyDescent="0.25">
      <c r="B2669" t="s">
        <v>302</v>
      </c>
      <c r="C2669">
        <v>2012</v>
      </c>
      <c r="D2669" s="1">
        <v>525000</v>
      </c>
      <c r="E2669">
        <v>145000</v>
      </c>
      <c r="F2669" t="s">
        <v>15</v>
      </c>
      <c r="G2669" t="s">
        <v>10</v>
      </c>
      <c r="H2669" t="s">
        <v>11</v>
      </c>
      <c r="I2669" t="s">
        <v>12</v>
      </c>
      <c r="J2669">
        <f t="shared" si="82"/>
        <v>14</v>
      </c>
      <c r="K2669" t="str">
        <f t="shared" si="83"/>
        <v>Mid Range</v>
      </c>
    </row>
    <row r="2670" spans="2:11" x14ac:dyDescent="0.25">
      <c r="B2670" t="s">
        <v>1284</v>
      </c>
      <c r="C2670">
        <v>2016</v>
      </c>
      <c r="D2670" s="1">
        <v>300000</v>
      </c>
      <c r="E2670">
        <v>35000</v>
      </c>
      <c r="F2670" t="s">
        <v>9</v>
      </c>
      <c r="G2670" t="s">
        <v>10</v>
      </c>
      <c r="H2670" t="s">
        <v>11</v>
      </c>
      <c r="I2670" t="s">
        <v>12</v>
      </c>
      <c r="J2670">
        <f t="shared" si="82"/>
        <v>10</v>
      </c>
      <c r="K2670" t="str">
        <f t="shared" si="83"/>
        <v>Budget</v>
      </c>
    </row>
    <row r="2671" spans="2:11" x14ac:dyDescent="0.25">
      <c r="B2671" t="s">
        <v>426</v>
      </c>
      <c r="C2671">
        <v>2008</v>
      </c>
      <c r="D2671" s="1">
        <v>195000</v>
      </c>
      <c r="E2671">
        <v>56000</v>
      </c>
      <c r="F2671" t="s">
        <v>9</v>
      </c>
      <c r="G2671" t="s">
        <v>10</v>
      </c>
      <c r="H2671" t="s">
        <v>11</v>
      </c>
      <c r="I2671" t="s">
        <v>18</v>
      </c>
      <c r="J2671">
        <f t="shared" si="82"/>
        <v>18</v>
      </c>
      <c r="K2671" t="str">
        <f t="shared" si="83"/>
        <v>Budget</v>
      </c>
    </row>
    <row r="2672" spans="2:11" x14ac:dyDescent="0.25">
      <c r="B2672" t="s">
        <v>226</v>
      </c>
      <c r="C2672">
        <v>2007</v>
      </c>
      <c r="D2672" s="1">
        <v>130000</v>
      </c>
      <c r="E2672">
        <v>98000</v>
      </c>
      <c r="F2672" t="s">
        <v>15</v>
      </c>
      <c r="G2672" t="s">
        <v>10</v>
      </c>
      <c r="H2672" t="s">
        <v>11</v>
      </c>
      <c r="I2672" t="s">
        <v>18</v>
      </c>
      <c r="J2672">
        <f t="shared" si="82"/>
        <v>19</v>
      </c>
      <c r="K2672" t="str">
        <f t="shared" si="83"/>
        <v>Budget</v>
      </c>
    </row>
    <row r="2673" spans="2:11" x14ac:dyDescent="0.25">
      <c r="B2673" t="s">
        <v>377</v>
      </c>
      <c r="C2673">
        <v>2011</v>
      </c>
      <c r="D2673" s="1">
        <v>300000</v>
      </c>
      <c r="E2673">
        <v>135000</v>
      </c>
      <c r="F2673" t="s">
        <v>15</v>
      </c>
      <c r="G2673" t="s">
        <v>10</v>
      </c>
      <c r="H2673" t="s">
        <v>11</v>
      </c>
      <c r="I2673" t="s">
        <v>18</v>
      </c>
      <c r="J2673">
        <f t="shared" si="82"/>
        <v>15</v>
      </c>
      <c r="K2673" t="str">
        <f t="shared" si="83"/>
        <v>Budget</v>
      </c>
    </row>
    <row r="2674" spans="2:11" x14ac:dyDescent="0.25">
      <c r="B2674" t="s">
        <v>1110</v>
      </c>
      <c r="C2674">
        <v>2002</v>
      </c>
      <c r="D2674" s="1">
        <v>120000</v>
      </c>
      <c r="E2674">
        <v>60000</v>
      </c>
      <c r="F2674" t="s">
        <v>9</v>
      </c>
      <c r="G2674" t="s">
        <v>10</v>
      </c>
      <c r="H2674" t="s">
        <v>11</v>
      </c>
      <c r="I2674" t="s">
        <v>49</v>
      </c>
      <c r="J2674">
        <f t="shared" si="82"/>
        <v>24</v>
      </c>
      <c r="K2674" t="str">
        <f t="shared" si="83"/>
        <v>Budget</v>
      </c>
    </row>
    <row r="2675" spans="2:11" x14ac:dyDescent="0.25">
      <c r="B2675" t="s">
        <v>1285</v>
      </c>
      <c r="C2675">
        <v>2010</v>
      </c>
      <c r="D2675" s="1">
        <v>450000</v>
      </c>
      <c r="E2675">
        <v>120000</v>
      </c>
      <c r="F2675" t="s">
        <v>15</v>
      </c>
      <c r="G2675" t="s">
        <v>10</v>
      </c>
      <c r="H2675" t="s">
        <v>11</v>
      </c>
      <c r="I2675" t="s">
        <v>49</v>
      </c>
      <c r="J2675">
        <f t="shared" si="82"/>
        <v>16</v>
      </c>
      <c r="K2675" t="str">
        <f t="shared" si="83"/>
        <v>Budget</v>
      </c>
    </row>
    <row r="2676" spans="2:11" x14ac:dyDescent="0.25">
      <c r="B2676" t="s">
        <v>486</v>
      </c>
      <c r="C2676">
        <v>2010</v>
      </c>
      <c r="D2676" s="1">
        <v>160000</v>
      </c>
      <c r="E2676">
        <v>102000</v>
      </c>
      <c r="F2676" t="s">
        <v>15</v>
      </c>
      <c r="G2676" t="s">
        <v>10</v>
      </c>
      <c r="H2676" t="s">
        <v>11</v>
      </c>
      <c r="I2676" t="s">
        <v>18</v>
      </c>
      <c r="J2676">
        <f t="shared" si="82"/>
        <v>16</v>
      </c>
      <c r="K2676" t="str">
        <f t="shared" si="83"/>
        <v>Budget</v>
      </c>
    </row>
    <row r="2677" spans="2:11" x14ac:dyDescent="0.25">
      <c r="B2677" t="s">
        <v>266</v>
      </c>
      <c r="C2677">
        <v>2018</v>
      </c>
      <c r="D2677" s="1">
        <v>800000</v>
      </c>
      <c r="E2677">
        <v>35000</v>
      </c>
      <c r="F2677" t="s">
        <v>15</v>
      </c>
      <c r="G2677" t="s">
        <v>10</v>
      </c>
      <c r="H2677" t="s">
        <v>11</v>
      </c>
      <c r="I2677" t="s">
        <v>12</v>
      </c>
      <c r="J2677">
        <f t="shared" si="82"/>
        <v>8</v>
      </c>
      <c r="K2677" t="str">
        <f t="shared" si="83"/>
        <v>Mid Range</v>
      </c>
    </row>
    <row r="2678" spans="2:11" x14ac:dyDescent="0.25">
      <c r="B2678" t="s">
        <v>8</v>
      </c>
      <c r="C2678">
        <v>2013</v>
      </c>
      <c r="D2678" s="1">
        <v>100000</v>
      </c>
      <c r="E2678">
        <v>80000</v>
      </c>
      <c r="F2678" t="s">
        <v>9</v>
      </c>
      <c r="G2678" t="s">
        <v>10</v>
      </c>
      <c r="H2678" t="s">
        <v>11</v>
      </c>
      <c r="I2678" t="s">
        <v>12</v>
      </c>
      <c r="J2678">
        <f t="shared" si="82"/>
        <v>13</v>
      </c>
      <c r="K2678" t="str">
        <f t="shared" si="83"/>
        <v>Budget</v>
      </c>
    </row>
    <row r="2679" spans="2:11" x14ac:dyDescent="0.25">
      <c r="B2679" t="s">
        <v>249</v>
      </c>
      <c r="C2679">
        <v>2015</v>
      </c>
      <c r="D2679" s="1">
        <v>265000</v>
      </c>
      <c r="E2679">
        <v>32933</v>
      </c>
      <c r="F2679" t="s">
        <v>9</v>
      </c>
      <c r="G2679" t="s">
        <v>27</v>
      </c>
      <c r="H2679" t="s">
        <v>11</v>
      </c>
      <c r="I2679" t="s">
        <v>12</v>
      </c>
      <c r="J2679">
        <f t="shared" si="82"/>
        <v>11</v>
      </c>
      <c r="K2679" t="str">
        <f t="shared" si="83"/>
        <v>Budget</v>
      </c>
    </row>
    <row r="2680" spans="2:11" x14ac:dyDescent="0.25">
      <c r="B2680" t="s">
        <v>153</v>
      </c>
      <c r="C2680">
        <v>2008</v>
      </c>
      <c r="D2680" s="1">
        <v>175000</v>
      </c>
      <c r="E2680">
        <v>54551</v>
      </c>
      <c r="F2680" t="s">
        <v>9</v>
      </c>
      <c r="G2680" t="s">
        <v>27</v>
      </c>
      <c r="H2680" t="s">
        <v>11</v>
      </c>
      <c r="I2680" t="s">
        <v>12</v>
      </c>
      <c r="J2680">
        <f t="shared" si="82"/>
        <v>18</v>
      </c>
      <c r="K2680" t="str">
        <f t="shared" si="83"/>
        <v>Budget</v>
      </c>
    </row>
    <row r="2681" spans="2:11" x14ac:dyDescent="0.25">
      <c r="B2681" t="s">
        <v>1013</v>
      </c>
      <c r="C2681">
        <v>2014</v>
      </c>
      <c r="D2681" s="1">
        <v>250999</v>
      </c>
      <c r="E2681">
        <v>57112</v>
      </c>
      <c r="F2681" t="s">
        <v>9</v>
      </c>
      <c r="G2681" t="s">
        <v>27</v>
      </c>
      <c r="H2681" t="s">
        <v>11</v>
      </c>
      <c r="I2681" t="s">
        <v>12</v>
      </c>
      <c r="J2681">
        <f t="shared" si="82"/>
        <v>12</v>
      </c>
      <c r="K2681" t="str">
        <f t="shared" si="83"/>
        <v>Budget</v>
      </c>
    </row>
    <row r="2682" spans="2:11" x14ac:dyDescent="0.25">
      <c r="B2682" t="s">
        <v>1286</v>
      </c>
      <c r="C2682">
        <v>2015</v>
      </c>
      <c r="D2682" s="1">
        <v>471000</v>
      </c>
      <c r="E2682">
        <v>41025</v>
      </c>
      <c r="F2682" t="s">
        <v>9</v>
      </c>
      <c r="G2682" t="s">
        <v>27</v>
      </c>
      <c r="H2682" t="s">
        <v>28</v>
      </c>
      <c r="I2682" t="s">
        <v>12</v>
      </c>
      <c r="J2682">
        <f t="shared" si="82"/>
        <v>11</v>
      </c>
      <c r="K2682" t="str">
        <f t="shared" si="83"/>
        <v>Budget</v>
      </c>
    </row>
    <row r="2683" spans="2:11" x14ac:dyDescent="0.25">
      <c r="B2683" t="s">
        <v>514</v>
      </c>
      <c r="C2683">
        <v>2019</v>
      </c>
      <c r="D2683" s="1">
        <v>650000</v>
      </c>
      <c r="E2683">
        <v>5000</v>
      </c>
      <c r="F2683" t="s">
        <v>15</v>
      </c>
      <c r="G2683" t="s">
        <v>10</v>
      </c>
      <c r="H2683" t="s">
        <v>11</v>
      </c>
      <c r="I2683" t="s">
        <v>12</v>
      </c>
      <c r="J2683">
        <f t="shared" si="82"/>
        <v>7</v>
      </c>
      <c r="K2683" t="str">
        <f t="shared" si="83"/>
        <v>Mid Range</v>
      </c>
    </row>
    <row r="2684" spans="2:11" x14ac:dyDescent="0.25">
      <c r="B2684" t="s">
        <v>1287</v>
      </c>
      <c r="C2684">
        <v>2012</v>
      </c>
      <c r="D2684" s="1">
        <v>225000</v>
      </c>
      <c r="E2684">
        <v>53122</v>
      </c>
      <c r="F2684" t="s">
        <v>9</v>
      </c>
      <c r="G2684" t="s">
        <v>27</v>
      </c>
      <c r="H2684" t="s">
        <v>11</v>
      </c>
      <c r="I2684" t="s">
        <v>18</v>
      </c>
      <c r="J2684">
        <f t="shared" si="82"/>
        <v>14</v>
      </c>
      <c r="K2684" t="str">
        <f t="shared" si="83"/>
        <v>Budget</v>
      </c>
    </row>
    <row r="2685" spans="2:11" x14ac:dyDescent="0.25">
      <c r="B2685" t="s">
        <v>1288</v>
      </c>
      <c r="C2685">
        <v>2013</v>
      </c>
      <c r="D2685" s="1">
        <v>245000</v>
      </c>
      <c r="E2685">
        <v>64111</v>
      </c>
      <c r="F2685" t="s">
        <v>24</v>
      </c>
      <c r="G2685" t="s">
        <v>27</v>
      </c>
      <c r="H2685" t="s">
        <v>11</v>
      </c>
      <c r="I2685" t="s">
        <v>12</v>
      </c>
      <c r="J2685">
        <f t="shared" si="82"/>
        <v>13</v>
      </c>
      <c r="K2685" t="str">
        <f t="shared" si="83"/>
        <v>Budget</v>
      </c>
    </row>
    <row r="2686" spans="2:11" x14ac:dyDescent="0.25">
      <c r="B2686" t="s">
        <v>1000</v>
      </c>
      <c r="C2686">
        <v>2011</v>
      </c>
      <c r="D2686" s="1">
        <v>221000</v>
      </c>
      <c r="E2686">
        <v>78892</v>
      </c>
      <c r="F2686" t="s">
        <v>9</v>
      </c>
      <c r="G2686" t="s">
        <v>27</v>
      </c>
      <c r="H2686" t="s">
        <v>11</v>
      </c>
      <c r="I2686" t="s">
        <v>12</v>
      </c>
      <c r="J2686">
        <f t="shared" si="82"/>
        <v>15</v>
      </c>
      <c r="K2686" t="str">
        <f t="shared" si="83"/>
        <v>Budget</v>
      </c>
    </row>
    <row r="2687" spans="2:11" x14ac:dyDescent="0.25">
      <c r="B2687" t="s">
        <v>142</v>
      </c>
      <c r="C2687">
        <v>2011</v>
      </c>
      <c r="D2687" s="1">
        <v>271000</v>
      </c>
      <c r="E2687">
        <v>74113</v>
      </c>
      <c r="F2687" t="s">
        <v>9</v>
      </c>
      <c r="G2687" t="s">
        <v>27</v>
      </c>
      <c r="H2687" t="s">
        <v>11</v>
      </c>
      <c r="I2687" t="s">
        <v>12</v>
      </c>
      <c r="J2687">
        <f t="shared" si="82"/>
        <v>15</v>
      </c>
      <c r="K2687" t="str">
        <f t="shared" si="83"/>
        <v>Budget</v>
      </c>
    </row>
    <row r="2688" spans="2:11" x14ac:dyDescent="0.25">
      <c r="B2688" t="s">
        <v>257</v>
      </c>
      <c r="C2688">
        <v>2012</v>
      </c>
      <c r="D2688" s="1">
        <v>290000</v>
      </c>
      <c r="E2688">
        <v>80000</v>
      </c>
      <c r="F2688" t="s">
        <v>9</v>
      </c>
      <c r="G2688" t="s">
        <v>27</v>
      </c>
      <c r="H2688" t="s">
        <v>11</v>
      </c>
      <c r="I2688" t="s">
        <v>12</v>
      </c>
      <c r="J2688">
        <f t="shared" si="82"/>
        <v>14</v>
      </c>
      <c r="K2688" t="str">
        <f t="shared" si="83"/>
        <v>Budget</v>
      </c>
    </row>
    <row r="2689" spans="2:11" x14ac:dyDescent="0.25">
      <c r="B2689" t="s">
        <v>1238</v>
      </c>
      <c r="C2689">
        <v>2017</v>
      </c>
      <c r="D2689" s="1">
        <v>525000</v>
      </c>
      <c r="E2689">
        <v>39000</v>
      </c>
      <c r="F2689" t="s">
        <v>9</v>
      </c>
      <c r="G2689" t="s">
        <v>27</v>
      </c>
      <c r="H2689" t="s">
        <v>11</v>
      </c>
      <c r="I2689" t="s">
        <v>12</v>
      </c>
      <c r="J2689">
        <f t="shared" si="82"/>
        <v>9</v>
      </c>
      <c r="K2689" t="str">
        <f t="shared" si="83"/>
        <v>Mid Range</v>
      </c>
    </row>
    <row r="2690" spans="2:11" x14ac:dyDescent="0.25">
      <c r="B2690" t="s">
        <v>1289</v>
      </c>
      <c r="C2690">
        <v>2012</v>
      </c>
      <c r="D2690" s="1">
        <v>377000</v>
      </c>
      <c r="E2690">
        <v>84775</v>
      </c>
      <c r="F2690" t="s">
        <v>9</v>
      </c>
      <c r="G2690" t="s">
        <v>27</v>
      </c>
      <c r="H2690" t="s">
        <v>11</v>
      </c>
      <c r="I2690" t="s">
        <v>12</v>
      </c>
      <c r="J2690">
        <f t="shared" si="82"/>
        <v>14</v>
      </c>
      <c r="K2690" t="str">
        <f t="shared" si="83"/>
        <v>Budget</v>
      </c>
    </row>
    <row r="2691" spans="2:11" x14ac:dyDescent="0.25">
      <c r="B2691" t="s">
        <v>168</v>
      </c>
      <c r="C2691">
        <v>2012</v>
      </c>
      <c r="D2691" s="1">
        <v>95000</v>
      </c>
      <c r="E2691">
        <v>20778</v>
      </c>
      <c r="F2691" t="s">
        <v>9</v>
      </c>
      <c r="G2691" t="s">
        <v>27</v>
      </c>
      <c r="H2691" t="s">
        <v>11</v>
      </c>
      <c r="I2691" t="s">
        <v>12</v>
      </c>
      <c r="J2691">
        <f t="shared" si="82"/>
        <v>14</v>
      </c>
      <c r="K2691" t="str">
        <f t="shared" si="83"/>
        <v>Budget</v>
      </c>
    </row>
    <row r="2692" spans="2:11" x14ac:dyDescent="0.25">
      <c r="B2692" t="s">
        <v>118</v>
      </c>
      <c r="C2692">
        <v>2015</v>
      </c>
      <c r="D2692" s="1">
        <v>763000</v>
      </c>
      <c r="E2692">
        <v>64441</v>
      </c>
      <c r="F2692" t="s">
        <v>15</v>
      </c>
      <c r="G2692" t="s">
        <v>27</v>
      </c>
      <c r="H2692" t="s">
        <v>11</v>
      </c>
      <c r="I2692" t="s">
        <v>12</v>
      </c>
      <c r="J2692">
        <f t="shared" si="82"/>
        <v>11</v>
      </c>
      <c r="K2692" t="str">
        <f t="shared" si="83"/>
        <v>Mid Range</v>
      </c>
    </row>
    <row r="2693" spans="2:11" x14ac:dyDescent="0.25">
      <c r="B2693" t="s">
        <v>127</v>
      </c>
      <c r="C2693">
        <v>2015</v>
      </c>
      <c r="D2693" s="1">
        <v>450000</v>
      </c>
      <c r="E2693">
        <v>43192</v>
      </c>
      <c r="F2693" t="s">
        <v>9</v>
      </c>
      <c r="G2693" t="s">
        <v>27</v>
      </c>
      <c r="H2693" t="s">
        <v>11</v>
      </c>
      <c r="I2693" t="s">
        <v>12</v>
      </c>
      <c r="J2693">
        <f t="shared" si="82"/>
        <v>11</v>
      </c>
      <c r="K2693" t="str">
        <f t="shared" si="83"/>
        <v>Budget</v>
      </c>
    </row>
    <row r="2694" spans="2:11" x14ac:dyDescent="0.25">
      <c r="B2694" t="s">
        <v>1290</v>
      </c>
      <c r="C2694">
        <v>2014</v>
      </c>
      <c r="D2694" s="1">
        <v>140000</v>
      </c>
      <c r="E2694">
        <v>44416</v>
      </c>
      <c r="F2694" t="s">
        <v>9</v>
      </c>
      <c r="G2694" t="s">
        <v>27</v>
      </c>
      <c r="H2694" t="s">
        <v>11</v>
      </c>
      <c r="I2694" t="s">
        <v>12</v>
      </c>
      <c r="J2694">
        <f t="shared" ref="J2694:J2757" si="84">2026 - C2694</f>
        <v>12</v>
      </c>
      <c r="K2694" t="str">
        <f t="shared" ref="K2694:K2757" si="85">IF(D2694&lt;500000,"Budget",IF(D2694&lt;=1000000,"Mid Range","Premium"))</f>
        <v>Budget</v>
      </c>
    </row>
    <row r="2695" spans="2:11" x14ac:dyDescent="0.25">
      <c r="B2695" t="s">
        <v>1268</v>
      </c>
      <c r="C2695">
        <v>2016</v>
      </c>
      <c r="D2695" s="1">
        <v>701000</v>
      </c>
      <c r="E2695">
        <v>79991</v>
      </c>
      <c r="F2695" t="s">
        <v>15</v>
      </c>
      <c r="G2695" t="s">
        <v>27</v>
      </c>
      <c r="H2695" t="s">
        <v>11</v>
      </c>
      <c r="I2695" t="s">
        <v>12</v>
      </c>
      <c r="J2695">
        <f t="shared" si="84"/>
        <v>10</v>
      </c>
      <c r="K2695" t="str">
        <f t="shared" si="85"/>
        <v>Mid Range</v>
      </c>
    </row>
    <row r="2696" spans="2:11" x14ac:dyDescent="0.25">
      <c r="B2696" t="s">
        <v>1207</v>
      </c>
      <c r="C2696">
        <v>2011</v>
      </c>
      <c r="D2696" s="1">
        <v>277000</v>
      </c>
      <c r="E2696">
        <v>62601</v>
      </c>
      <c r="F2696" t="s">
        <v>15</v>
      </c>
      <c r="G2696" t="s">
        <v>27</v>
      </c>
      <c r="H2696" t="s">
        <v>11</v>
      </c>
      <c r="I2696" t="s">
        <v>18</v>
      </c>
      <c r="J2696">
        <f t="shared" si="84"/>
        <v>15</v>
      </c>
      <c r="K2696" t="str">
        <f t="shared" si="85"/>
        <v>Budget</v>
      </c>
    </row>
    <row r="2697" spans="2:11" x14ac:dyDescent="0.25">
      <c r="B2697" t="s">
        <v>697</v>
      </c>
      <c r="C2697">
        <v>2018</v>
      </c>
      <c r="D2697" s="1">
        <v>520000</v>
      </c>
      <c r="E2697">
        <v>50000</v>
      </c>
      <c r="F2697" t="s">
        <v>9</v>
      </c>
      <c r="G2697" t="s">
        <v>10</v>
      </c>
      <c r="H2697" t="s">
        <v>28</v>
      </c>
      <c r="I2697" t="s">
        <v>12</v>
      </c>
      <c r="J2697">
        <f t="shared" si="84"/>
        <v>8</v>
      </c>
      <c r="K2697" t="str">
        <f t="shared" si="85"/>
        <v>Mid Range</v>
      </c>
    </row>
    <row r="2698" spans="2:11" x14ac:dyDescent="0.25">
      <c r="B2698" t="s">
        <v>1291</v>
      </c>
      <c r="C2698">
        <v>2017</v>
      </c>
      <c r="D2698" s="1">
        <v>550000</v>
      </c>
      <c r="E2698">
        <v>100000</v>
      </c>
      <c r="F2698" t="s">
        <v>15</v>
      </c>
      <c r="G2698" t="s">
        <v>10</v>
      </c>
      <c r="H2698" t="s">
        <v>11</v>
      </c>
      <c r="I2698" t="s">
        <v>12</v>
      </c>
      <c r="J2698">
        <f t="shared" si="84"/>
        <v>9</v>
      </c>
      <c r="K2698" t="str">
        <f t="shared" si="85"/>
        <v>Mid Range</v>
      </c>
    </row>
    <row r="2699" spans="2:11" x14ac:dyDescent="0.25">
      <c r="B2699" t="s">
        <v>370</v>
      </c>
      <c r="C2699">
        <v>2011</v>
      </c>
      <c r="D2699" s="1">
        <v>260000</v>
      </c>
      <c r="E2699">
        <v>97000</v>
      </c>
      <c r="F2699" t="s">
        <v>15</v>
      </c>
      <c r="G2699" t="s">
        <v>10</v>
      </c>
      <c r="H2699" t="s">
        <v>11</v>
      </c>
      <c r="I2699" t="s">
        <v>49</v>
      </c>
      <c r="J2699">
        <f t="shared" si="84"/>
        <v>15</v>
      </c>
      <c r="K2699" t="str">
        <f t="shared" si="85"/>
        <v>Budget</v>
      </c>
    </row>
    <row r="2700" spans="2:11" x14ac:dyDescent="0.25">
      <c r="B2700" t="s">
        <v>648</v>
      </c>
      <c r="C2700">
        <v>2015</v>
      </c>
      <c r="D2700" s="1">
        <v>420000</v>
      </c>
      <c r="E2700">
        <v>100000</v>
      </c>
      <c r="F2700" t="s">
        <v>15</v>
      </c>
      <c r="G2700" t="s">
        <v>10</v>
      </c>
      <c r="H2700" t="s">
        <v>11</v>
      </c>
      <c r="I2700" t="s">
        <v>12</v>
      </c>
      <c r="J2700">
        <f t="shared" si="84"/>
        <v>11</v>
      </c>
      <c r="K2700" t="str">
        <f t="shared" si="85"/>
        <v>Budget</v>
      </c>
    </row>
    <row r="2701" spans="2:11" x14ac:dyDescent="0.25">
      <c r="B2701" t="s">
        <v>1292</v>
      </c>
      <c r="C2701">
        <v>2002</v>
      </c>
      <c r="D2701" s="1">
        <v>35000</v>
      </c>
      <c r="E2701">
        <v>100000</v>
      </c>
      <c r="F2701" t="s">
        <v>9</v>
      </c>
      <c r="G2701" t="s">
        <v>10</v>
      </c>
      <c r="H2701" t="s">
        <v>11</v>
      </c>
      <c r="I2701" t="s">
        <v>49</v>
      </c>
      <c r="J2701">
        <f t="shared" si="84"/>
        <v>24</v>
      </c>
      <c r="K2701" t="str">
        <f t="shared" si="85"/>
        <v>Budget</v>
      </c>
    </row>
    <row r="2702" spans="2:11" x14ac:dyDescent="0.25">
      <c r="B2702" t="s">
        <v>1293</v>
      </c>
      <c r="C2702">
        <v>2018</v>
      </c>
      <c r="D2702" s="1">
        <v>1150000</v>
      </c>
      <c r="E2702">
        <v>20000</v>
      </c>
      <c r="F2702" t="s">
        <v>15</v>
      </c>
      <c r="G2702" t="s">
        <v>10</v>
      </c>
      <c r="H2702" t="s">
        <v>11</v>
      </c>
      <c r="I2702" t="s">
        <v>12</v>
      </c>
      <c r="J2702">
        <f t="shared" si="84"/>
        <v>8</v>
      </c>
      <c r="K2702" t="str">
        <f t="shared" si="85"/>
        <v>Premium</v>
      </c>
    </row>
    <row r="2703" spans="2:11" x14ac:dyDescent="0.25">
      <c r="B2703" t="s">
        <v>1294</v>
      </c>
      <c r="C2703">
        <v>2017</v>
      </c>
      <c r="D2703" s="1">
        <v>680000</v>
      </c>
      <c r="E2703">
        <v>46000</v>
      </c>
      <c r="F2703" t="s">
        <v>9</v>
      </c>
      <c r="G2703" t="s">
        <v>10</v>
      </c>
      <c r="H2703" t="s">
        <v>11</v>
      </c>
      <c r="I2703" t="s">
        <v>12</v>
      </c>
      <c r="J2703">
        <f t="shared" si="84"/>
        <v>9</v>
      </c>
      <c r="K2703" t="str">
        <f t="shared" si="85"/>
        <v>Mid Range</v>
      </c>
    </row>
    <row r="2704" spans="2:11" x14ac:dyDescent="0.25">
      <c r="B2704" t="s">
        <v>354</v>
      </c>
      <c r="C2704">
        <v>2012</v>
      </c>
      <c r="D2704" s="1">
        <v>425000</v>
      </c>
      <c r="E2704">
        <v>40000</v>
      </c>
      <c r="F2704" t="s">
        <v>15</v>
      </c>
      <c r="G2704" t="s">
        <v>10</v>
      </c>
      <c r="H2704" t="s">
        <v>11</v>
      </c>
      <c r="I2704" t="s">
        <v>12</v>
      </c>
      <c r="J2704">
        <f t="shared" si="84"/>
        <v>14</v>
      </c>
      <c r="K2704" t="str">
        <f t="shared" si="85"/>
        <v>Budget</v>
      </c>
    </row>
    <row r="2705" spans="2:11" x14ac:dyDescent="0.25">
      <c r="B2705" t="s">
        <v>514</v>
      </c>
      <c r="C2705">
        <v>2014</v>
      </c>
      <c r="D2705" s="1">
        <v>450000</v>
      </c>
      <c r="E2705">
        <v>70000</v>
      </c>
      <c r="F2705" t="s">
        <v>15</v>
      </c>
      <c r="G2705" t="s">
        <v>10</v>
      </c>
      <c r="H2705" t="s">
        <v>11</v>
      </c>
      <c r="I2705" t="s">
        <v>18</v>
      </c>
      <c r="J2705">
        <f t="shared" si="84"/>
        <v>12</v>
      </c>
      <c r="K2705" t="str">
        <f t="shared" si="85"/>
        <v>Budget</v>
      </c>
    </row>
    <row r="2706" spans="2:11" x14ac:dyDescent="0.25">
      <c r="B2706" t="s">
        <v>1295</v>
      </c>
      <c r="C2706">
        <v>2008</v>
      </c>
      <c r="D2706" s="1">
        <v>590000</v>
      </c>
      <c r="E2706">
        <v>89600</v>
      </c>
      <c r="F2706" t="s">
        <v>15</v>
      </c>
      <c r="G2706" t="s">
        <v>10</v>
      </c>
      <c r="H2706" t="s">
        <v>11</v>
      </c>
      <c r="I2706" t="s">
        <v>49</v>
      </c>
      <c r="J2706">
        <f t="shared" si="84"/>
        <v>18</v>
      </c>
      <c r="K2706" t="str">
        <f t="shared" si="85"/>
        <v>Mid Range</v>
      </c>
    </row>
    <row r="2707" spans="2:11" x14ac:dyDescent="0.25">
      <c r="B2707" t="s">
        <v>98</v>
      </c>
      <c r="C2707">
        <v>2017</v>
      </c>
      <c r="D2707" s="1">
        <v>936999</v>
      </c>
      <c r="E2707">
        <v>60800</v>
      </c>
      <c r="F2707" t="s">
        <v>9</v>
      </c>
      <c r="G2707" t="s">
        <v>10</v>
      </c>
      <c r="H2707" t="s">
        <v>11</v>
      </c>
      <c r="I2707" t="s">
        <v>12</v>
      </c>
      <c r="J2707">
        <f t="shared" si="84"/>
        <v>9</v>
      </c>
      <c r="K2707" t="str">
        <f t="shared" si="85"/>
        <v>Mid Range</v>
      </c>
    </row>
    <row r="2708" spans="2:11" x14ac:dyDescent="0.25">
      <c r="B2708" t="s">
        <v>840</v>
      </c>
      <c r="C2708">
        <v>2015</v>
      </c>
      <c r="D2708" s="1">
        <v>420000</v>
      </c>
      <c r="E2708">
        <v>104000</v>
      </c>
      <c r="F2708" t="s">
        <v>15</v>
      </c>
      <c r="G2708" t="s">
        <v>10</v>
      </c>
      <c r="H2708" t="s">
        <v>11</v>
      </c>
      <c r="I2708" t="s">
        <v>18</v>
      </c>
      <c r="J2708">
        <f t="shared" si="84"/>
        <v>11</v>
      </c>
      <c r="K2708" t="str">
        <f t="shared" si="85"/>
        <v>Budget</v>
      </c>
    </row>
    <row r="2709" spans="2:11" x14ac:dyDescent="0.25">
      <c r="B2709" t="s">
        <v>342</v>
      </c>
      <c r="C2709">
        <v>2014</v>
      </c>
      <c r="D2709" s="1">
        <v>450000</v>
      </c>
      <c r="E2709">
        <v>80000</v>
      </c>
      <c r="F2709" t="s">
        <v>15</v>
      </c>
      <c r="G2709" t="s">
        <v>10</v>
      </c>
      <c r="H2709" t="s">
        <v>11</v>
      </c>
      <c r="I2709" t="s">
        <v>18</v>
      </c>
      <c r="J2709">
        <f t="shared" si="84"/>
        <v>12</v>
      </c>
      <c r="K2709" t="str">
        <f t="shared" si="85"/>
        <v>Budget</v>
      </c>
    </row>
    <row r="2710" spans="2:11" x14ac:dyDescent="0.25">
      <c r="B2710" t="s">
        <v>8</v>
      </c>
      <c r="C2710">
        <v>2004</v>
      </c>
      <c r="D2710" s="1">
        <v>40000</v>
      </c>
      <c r="E2710">
        <v>69111</v>
      </c>
      <c r="F2710" t="s">
        <v>9</v>
      </c>
      <c r="G2710" t="s">
        <v>10</v>
      </c>
      <c r="H2710" t="s">
        <v>11</v>
      </c>
      <c r="I2710" t="s">
        <v>49</v>
      </c>
      <c r="J2710">
        <f t="shared" si="84"/>
        <v>22</v>
      </c>
      <c r="K2710" t="str">
        <f t="shared" si="85"/>
        <v>Budget</v>
      </c>
    </row>
    <row r="2711" spans="2:11" x14ac:dyDescent="0.25">
      <c r="B2711" t="s">
        <v>530</v>
      </c>
      <c r="C2711">
        <v>2014</v>
      </c>
      <c r="D2711" s="1">
        <v>520000</v>
      </c>
      <c r="E2711">
        <v>70000</v>
      </c>
      <c r="F2711" t="s">
        <v>15</v>
      </c>
      <c r="G2711" t="s">
        <v>10</v>
      </c>
      <c r="H2711" t="s">
        <v>11</v>
      </c>
      <c r="I2711" t="s">
        <v>18</v>
      </c>
      <c r="J2711">
        <f t="shared" si="84"/>
        <v>12</v>
      </c>
      <c r="K2711" t="str">
        <f t="shared" si="85"/>
        <v>Mid Range</v>
      </c>
    </row>
    <row r="2712" spans="2:11" x14ac:dyDescent="0.25">
      <c r="B2712" t="s">
        <v>8</v>
      </c>
      <c r="C2712">
        <v>2007</v>
      </c>
      <c r="D2712" s="1">
        <v>80000</v>
      </c>
      <c r="E2712">
        <v>120000</v>
      </c>
      <c r="F2712" t="s">
        <v>9</v>
      </c>
      <c r="G2712" t="s">
        <v>10</v>
      </c>
      <c r="H2712" t="s">
        <v>11</v>
      </c>
      <c r="I2712" t="s">
        <v>12</v>
      </c>
      <c r="J2712">
        <f t="shared" si="84"/>
        <v>19</v>
      </c>
      <c r="K2712" t="str">
        <f t="shared" si="85"/>
        <v>Budget</v>
      </c>
    </row>
    <row r="2713" spans="2:11" x14ac:dyDescent="0.25">
      <c r="B2713" t="s">
        <v>1296</v>
      </c>
      <c r="C2713">
        <v>2014</v>
      </c>
      <c r="D2713" s="1">
        <v>55000</v>
      </c>
      <c r="E2713">
        <v>40000</v>
      </c>
      <c r="F2713" t="s">
        <v>9</v>
      </c>
      <c r="G2713" t="s">
        <v>10</v>
      </c>
      <c r="H2713" t="s">
        <v>11</v>
      </c>
      <c r="I2713" t="s">
        <v>12</v>
      </c>
      <c r="J2713">
        <f t="shared" si="84"/>
        <v>12</v>
      </c>
      <c r="K2713" t="str">
        <f t="shared" si="85"/>
        <v>Budget</v>
      </c>
    </row>
    <row r="2714" spans="2:11" x14ac:dyDescent="0.25">
      <c r="B2714" t="s">
        <v>374</v>
      </c>
      <c r="C2714">
        <v>2001</v>
      </c>
      <c r="D2714" s="1">
        <v>80000</v>
      </c>
      <c r="E2714">
        <v>100000</v>
      </c>
      <c r="F2714" t="s">
        <v>15</v>
      </c>
      <c r="G2714" t="s">
        <v>10</v>
      </c>
      <c r="H2714" t="s">
        <v>11</v>
      </c>
      <c r="I2714" t="s">
        <v>49</v>
      </c>
      <c r="J2714">
        <f t="shared" si="84"/>
        <v>25</v>
      </c>
      <c r="K2714" t="str">
        <f t="shared" si="85"/>
        <v>Budget</v>
      </c>
    </row>
    <row r="2715" spans="2:11" x14ac:dyDescent="0.25">
      <c r="B2715" t="s">
        <v>249</v>
      </c>
      <c r="C2715">
        <v>2019</v>
      </c>
      <c r="D2715" s="1">
        <v>210000</v>
      </c>
      <c r="E2715">
        <v>20000</v>
      </c>
      <c r="F2715" t="s">
        <v>9</v>
      </c>
      <c r="G2715" t="s">
        <v>10</v>
      </c>
      <c r="H2715" t="s">
        <v>11</v>
      </c>
      <c r="I2715" t="s">
        <v>12</v>
      </c>
      <c r="J2715">
        <f t="shared" si="84"/>
        <v>7</v>
      </c>
      <c r="K2715" t="str">
        <f t="shared" si="85"/>
        <v>Budget</v>
      </c>
    </row>
    <row r="2716" spans="2:11" x14ac:dyDescent="0.25">
      <c r="B2716" t="s">
        <v>1297</v>
      </c>
      <c r="C2716">
        <v>2017</v>
      </c>
      <c r="D2716" s="1">
        <v>260000</v>
      </c>
      <c r="E2716">
        <v>50000</v>
      </c>
      <c r="F2716" t="s">
        <v>15</v>
      </c>
      <c r="G2716" t="s">
        <v>10</v>
      </c>
      <c r="H2716" t="s">
        <v>11</v>
      </c>
      <c r="I2716" t="s">
        <v>12</v>
      </c>
      <c r="J2716">
        <f t="shared" si="84"/>
        <v>9</v>
      </c>
      <c r="K2716" t="str">
        <f t="shared" si="85"/>
        <v>Budget</v>
      </c>
    </row>
    <row r="2717" spans="2:11" x14ac:dyDescent="0.25">
      <c r="B2717" t="s">
        <v>1298</v>
      </c>
      <c r="C2717">
        <v>2016</v>
      </c>
      <c r="D2717" s="1">
        <v>250000</v>
      </c>
      <c r="E2717">
        <v>70000</v>
      </c>
      <c r="F2717" t="s">
        <v>15</v>
      </c>
      <c r="G2717" t="s">
        <v>10</v>
      </c>
      <c r="H2717" t="s">
        <v>11</v>
      </c>
      <c r="I2717" t="s">
        <v>12</v>
      </c>
      <c r="J2717">
        <f t="shared" si="84"/>
        <v>10</v>
      </c>
      <c r="K2717" t="str">
        <f t="shared" si="85"/>
        <v>Budget</v>
      </c>
    </row>
    <row r="2718" spans="2:11" x14ac:dyDescent="0.25">
      <c r="B2718" t="s">
        <v>137</v>
      </c>
      <c r="C2718">
        <v>2008</v>
      </c>
      <c r="D2718" s="1">
        <v>80000</v>
      </c>
      <c r="E2718">
        <v>90000</v>
      </c>
      <c r="F2718" t="s">
        <v>15</v>
      </c>
      <c r="G2718" t="s">
        <v>10</v>
      </c>
      <c r="H2718" t="s">
        <v>11</v>
      </c>
      <c r="I2718" t="s">
        <v>12</v>
      </c>
      <c r="J2718">
        <f t="shared" si="84"/>
        <v>18</v>
      </c>
      <c r="K2718" t="str">
        <f t="shared" si="85"/>
        <v>Budget</v>
      </c>
    </row>
    <row r="2719" spans="2:11" x14ac:dyDescent="0.25">
      <c r="B2719" t="s">
        <v>860</v>
      </c>
      <c r="C2719">
        <v>2010</v>
      </c>
      <c r="D2719" s="1">
        <v>450000</v>
      </c>
      <c r="E2719">
        <v>150000</v>
      </c>
      <c r="F2719" t="s">
        <v>15</v>
      </c>
      <c r="G2719" t="s">
        <v>10</v>
      </c>
      <c r="H2719" t="s">
        <v>11</v>
      </c>
      <c r="I2719" t="s">
        <v>18</v>
      </c>
      <c r="J2719">
        <f t="shared" si="84"/>
        <v>16</v>
      </c>
      <c r="K2719" t="str">
        <f t="shared" si="85"/>
        <v>Budget</v>
      </c>
    </row>
    <row r="2720" spans="2:11" x14ac:dyDescent="0.25">
      <c r="B2720" t="s">
        <v>314</v>
      </c>
      <c r="C2720">
        <v>2005</v>
      </c>
      <c r="D2720" s="1">
        <v>310000</v>
      </c>
      <c r="E2720">
        <v>120000</v>
      </c>
      <c r="F2720" t="s">
        <v>15</v>
      </c>
      <c r="G2720" t="s">
        <v>10</v>
      </c>
      <c r="H2720" t="s">
        <v>11</v>
      </c>
      <c r="I2720" t="s">
        <v>18</v>
      </c>
      <c r="J2720">
        <f t="shared" si="84"/>
        <v>21</v>
      </c>
      <c r="K2720" t="str">
        <f t="shared" si="85"/>
        <v>Budget</v>
      </c>
    </row>
    <row r="2721" spans="2:11" x14ac:dyDescent="0.25">
      <c r="B2721" t="s">
        <v>1299</v>
      </c>
      <c r="C2721">
        <v>2014</v>
      </c>
      <c r="D2721" s="1">
        <v>350000</v>
      </c>
      <c r="E2721">
        <v>90000</v>
      </c>
      <c r="F2721" t="s">
        <v>9</v>
      </c>
      <c r="G2721" t="s">
        <v>10</v>
      </c>
      <c r="H2721" t="s">
        <v>11</v>
      </c>
      <c r="I2721" t="s">
        <v>18</v>
      </c>
      <c r="J2721">
        <f t="shared" si="84"/>
        <v>12</v>
      </c>
      <c r="K2721" t="str">
        <f t="shared" si="85"/>
        <v>Budget</v>
      </c>
    </row>
    <row r="2722" spans="2:11" x14ac:dyDescent="0.25">
      <c r="B2722" t="s">
        <v>898</v>
      </c>
      <c r="C2722">
        <v>2011</v>
      </c>
      <c r="D2722" s="1">
        <v>320000</v>
      </c>
      <c r="E2722">
        <v>100000</v>
      </c>
      <c r="F2722" t="s">
        <v>15</v>
      </c>
      <c r="G2722" t="s">
        <v>10</v>
      </c>
      <c r="H2722" t="s">
        <v>11</v>
      </c>
      <c r="I2722" t="s">
        <v>12</v>
      </c>
      <c r="J2722">
        <f t="shared" si="84"/>
        <v>15</v>
      </c>
      <c r="K2722" t="str">
        <f t="shared" si="85"/>
        <v>Budget</v>
      </c>
    </row>
    <row r="2723" spans="2:11" x14ac:dyDescent="0.25">
      <c r="B2723" t="s">
        <v>1300</v>
      </c>
      <c r="C2723">
        <v>2016</v>
      </c>
      <c r="D2723" s="1">
        <v>475000</v>
      </c>
      <c r="E2723">
        <v>90000</v>
      </c>
      <c r="F2723" t="s">
        <v>15</v>
      </c>
      <c r="G2723" t="s">
        <v>10</v>
      </c>
      <c r="H2723" t="s">
        <v>11</v>
      </c>
      <c r="I2723" t="s">
        <v>12</v>
      </c>
      <c r="J2723">
        <f t="shared" si="84"/>
        <v>10</v>
      </c>
      <c r="K2723" t="str">
        <f t="shared" si="85"/>
        <v>Budget</v>
      </c>
    </row>
    <row r="2724" spans="2:11" x14ac:dyDescent="0.25">
      <c r="B2724" t="s">
        <v>954</v>
      </c>
      <c r="C2724">
        <v>2011</v>
      </c>
      <c r="D2724" s="1">
        <v>220000</v>
      </c>
      <c r="E2724">
        <v>140000</v>
      </c>
      <c r="F2724" t="s">
        <v>15</v>
      </c>
      <c r="G2724" t="s">
        <v>10</v>
      </c>
      <c r="H2724" t="s">
        <v>11</v>
      </c>
      <c r="I2724" t="s">
        <v>18</v>
      </c>
      <c r="J2724">
        <f t="shared" si="84"/>
        <v>15</v>
      </c>
      <c r="K2724" t="str">
        <f t="shared" si="85"/>
        <v>Budget</v>
      </c>
    </row>
    <row r="2725" spans="2:11" x14ac:dyDescent="0.25">
      <c r="B2725" t="s">
        <v>504</v>
      </c>
      <c r="C2725">
        <v>2008</v>
      </c>
      <c r="D2725" s="1">
        <v>70000</v>
      </c>
      <c r="E2725">
        <v>60000</v>
      </c>
      <c r="F2725" t="s">
        <v>9</v>
      </c>
      <c r="G2725" t="s">
        <v>10</v>
      </c>
      <c r="H2725" t="s">
        <v>11</v>
      </c>
      <c r="I2725" t="s">
        <v>12</v>
      </c>
      <c r="J2725">
        <f t="shared" si="84"/>
        <v>18</v>
      </c>
      <c r="K2725" t="str">
        <f t="shared" si="85"/>
        <v>Budget</v>
      </c>
    </row>
    <row r="2726" spans="2:11" x14ac:dyDescent="0.25">
      <c r="B2726" t="s">
        <v>1301</v>
      </c>
      <c r="C2726">
        <v>2015</v>
      </c>
      <c r="D2726" s="1">
        <v>281000</v>
      </c>
      <c r="E2726">
        <v>40000</v>
      </c>
      <c r="F2726" t="s">
        <v>15</v>
      </c>
      <c r="G2726" t="s">
        <v>10</v>
      </c>
      <c r="H2726" t="s">
        <v>11</v>
      </c>
      <c r="I2726" t="s">
        <v>12</v>
      </c>
      <c r="J2726">
        <f t="shared" si="84"/>
        <v>11</v>
      </c>
      <c r="K2726" t="str">
        <f t="shared" si="85"/>
        <v>Budget</v>
      </c>
    </row>
    <row r="2727" spans="2:11" x14ac:dyDescent="0.25">
      <c r="B2727" t="s">
        <v>393</v>
      </c>
      <c r="C2727">
        <v>2013</v>
      </c>
      <c r="D2727" s="1">
        <v>211000</v>
      </c>
      <c r="E2727">
        <v>80000</v>
      </c>
      <c r="F2727" t="s">
        <v>15</v>
      </c>
      <c r="G2727" t="s">
        <v>10</v>
      </c>
      <c r="H2727" t="s">
        <v>11</v>
      </c>
      <c r="I2727" t="s">
        <v>12</v>
      </c>
      <c r="J2727">
        <f t="shared" si="84"/>
        <v>13</v>
      </c>
      <c r="K2727" t="str">
        <f t="shared" si="85"/>
        <v>Budget</v>
      </c>
    </row>
    <row r="2728" spans="2:11" x14ac:dyDescent="0.25">
      <c r="B2728" t="s">
        <v>1302</v>
      </c>
      <c r="C2728">
        <v>2018</v>
      </c>
      <c r="D2728" s="1">
        <v>550000</v>
      </c>
      <c r="E2728">
        <v>11000</v>
      </c>
      <c r="F2728" t="s">
        <v>9</v>
      </c>
      <c r="G2728" t="s">
        <v>10</v>
      </c>
      <c r="H2728" t="s">
        <v>11</v>
      </c>
      <c r="I2728" t="s">
        <v>12</v>
      </c>
      <c r="J2728">
        <f t="shared" si="84"/>
        <v>8</v>
      </c>
      <c r="K2728" t="str">
        <f t="shared" si="85"/>
        <v>Mid Range</v>
      </c>
    </row>
    <row r="2729" spans="2:11" x14ac:dyDescent="0.25">
      <c r="B2729" t="s">
        <v>1303</v>
      </c>
      <c r="C2729">
        <v>2014</v>
      </c>
      <c r="D2729" s="1">
        <v>350000</v>
      </c>
      <c r="E2729">
        <v>110000</v>
      </c>
      <c r="F2729" t="s">
        <v>15</v>
      </c>
      <c r="G2729" t="s">
        <v>10</v>
      </c>
      <c r="H2729" t="s">
        <v>11</v>
      </c>
      <c r="I2729" t="s">
        <v>12</v>
      </c>
      <c r="J2729">
        <f t="shared" si="84"/>
        <v>12</v>
      </c>
      <c r="K2729" t="str">
        <f t="shared" si="85"/>
        <v>Budget</v>
      </c>
    </row>
    <row r="2730" spans="2:11" x14ac:dyDescent="0.25">
      <c r="B2730" t="s">
        <v>1304</v>
      </c>
      <c r="C2730">
        <v>2017</v>
      </c>
      <c r="D2730" s="1">
        <v>420000</v>
      </c>
      <c r="E2730">
        <v>19890</v>
      </c>
      <c r="F2730" t="s">
        <v>9</v>
      </c>
      <c r="G2730" t="s">
        <v>27</v>
      </c>
      <c r="H2730" t="s">
        <v>28</v>
      </c>
      <c r="I2730" t="s">
        <v>12</v>
      </c>
      <c r="J2730">
        <f t="shared" si="84"/>
        <v>9</v>
      </c>
      <c r="K2730" t="str">
        <f t="shared" si="85"/>
        <v>Budget</v>
      </c>
    </row>
    <row r="2731" spans="2:11" x14ac:dyDescent="0.25">
      <c r="B2731" t="s">
        <v>110</v>
      </c>
      <c r="C2731">
        <v>2015</v>
      </c>
      <c r="D2731" s="1">
        <v>270000</v>
      </c>
      <c r="E2731">
        <v>20969</v>
      </c>
      <c r="F2731" t="s">
        <v>9</v>
      </c>
      <c r="G2731" t="s">
        <v>27</v>
      </c>
      <c r="H2731" t="s">
        <v>11</v>
      </c>
      <c r="I2731" t="s">
        <v>12</v>
      </c>
      <c r="J2731">
        <f t="shared" si="84"/>
        <v>11</v>
      </c>
      <c r="K2731" t="str">
        <f t="shared" si="85"/>
        <v>Budget</v>
      </c>
    </row>
    <row r="2732" spans="2:11" x14ac:dyDescent="0.25">
      <c r="B2732" t="s">
        <v>1090</v>
      </c>
      <c r="C2732">
        <v>2016</v>
      </c>
      <c r="D2732" s="1">
        <v>399000</v>
      </c>
      <c r="E2732">
        <v>20194</v>
      </c>
      <c r="F2732" t="s">
        <v>9</v>
      </c>
      <c r="G2732" t="s">
        <v>27</v>
      </c>
      <c r="H2732" t="s">
        <v>11</v>
      </c>
      <c r="I2732" t="s">
        <v>12</v>
      </c>
      <c r="J2732">
        <f t="shared" si="84"/>
        <v>10</v>
      </c>
      <c r="K2732" t="str">
        <f t="shared" si="85"/>
        <v>Budget</v>
      </c>
    </row>
    <row r="2733" spans="2:11" x14ac:dyDescent="0.25">
      <c r="B2733" t="s">
        <v>1305</v>
      </c>
      <c r="C2733">
        <v>2016</v>
      </c>
      <c r="D2733" s="1">
        <v>440000</v>
      </c>
      <c r="E2733">
        <v>34982</v>
      </c>
      <c r="F2733" t="s">
        <v>9</v>
      </c>
      <c r="G2733" t="s">
        <v>27</v>
      </c>
      <c r="H2733" t="s">
        <v>11</v>
      </c>
      <c r="I2733" t="s">
        <v>12</v>
      </c>
      <c r="J2733">
        <f t="shared" si="84"/>
        <v>10</v>
      </c>
      <c r="K2733" t="str">
        <f t="shared" si="85"/>
        <v>Budget</v>
      </c>
    </row>
    <row r="2734" spans="2:11" x14ac:dyDescent="0.25">
      <c r="B2734" t="s">
        <v>1287</v>
      </c>
      <c r="C2734">
        <v>2012</v>
      </c>
      <c r="D2734" s="1">
        <v>250000</v>
      </c>
      <c r="E2734">
        <v>44588</v>
      </c>
      <c r="F2734" t="s">
        <v>9</v>
      </c>
      <c r="G2734" t="s">
        <v>27</v>
      </c>
      <c r="H2734" t="s">
        <v>11</v>
      </c>
      <c r="I2734" t="s">
        <v>12</v>
      </c>
      <c r="J2734">
        <f t="shared" si="84"/>
        <v>14</v>
      </c>
      <c r="K2734" t="str">
        <f t="shared" si="85"/>
        <v>Budget</v>
      </c>
    </row>
    <row r="2735" spans="2:11" x14ac:dyDescent="0.25">
      <c r="B2735" t="s">
        <v>913</v>
      </c>
      <c r="C2735">
        <v>2016</v>
      </c>
      <c r="D2735" s="1">
        <v>650000</v>
      </c>
      <c r="E2735">
        <v>57904</v>
      </c>
      <c r="F2735" t="s">
        <v>15</v>
      </c>
      <c r="G2735" t="s">
        <v>27</v>
      </c>
      <c r="H2735" t="s">
        <v>11</v>
      </c>
      <c r="I2735" t="s">
        <v>12</v>
      </c>
      <c r="J2735">
        <f t="shared" si="84"/>
        <v>10</v>
      </c>
      <c r="K2735" t="str">
        <f t="shared" si="85"/>
        <v>Mid Range</v>
      </c>
    </row>
    <row r="2736" spans="2:11" x14ac:dyDescent="0.25">
      <c r="B2736" t="s">
        <v>170</v>
      </c>
      <c r="C2736">
        <v>2015</v>
      </c>
      <c r="D2736" s="1">
        <v>270000</v>
      </c>
      <c r="E2736">
        <v>59258</v>
      </c>
      <c r="F2736" t="s">
        <v>9</v>
      </c>
      <c r="G2736" t="s">
        <v>27</v>
      </c>
      <c r="H2736" t="s">
        <v>11</v>
      </c>
      <c r="I2736" t="s">
        <v>12</v>
      </c>
      <c r="J2736">
        <f t="shared" si="84"/>
        <v>11</v>
      </c>
      <c r="K2736" t="str">
        <f t="shared" si="85"/>
        <v>Budget</v>
      </c>
    </row>
    <row r="2737" spans="2:11" x14ac:dyDescent="0.25">
      <c r="B2737" t="s">
        <v>1305</v>
      </c>
      <c r="C2737">
        <v>2016</v>
      </c>
      <c r="D2737" s="1">
        <v>390000</v>
      </c>
      <c r="E2737">
        <v>60826</v>
      </c>
      <c r="F2737" t="s">
        <v>9</v>
      </c>
      <c r="G2737" t="s">
        <v>27</v>
      </c>
      <c r="H2737" t="s">
        <v>11</v>
      </c>
      <c r="I2737" t="s">
        <v>12</v>
      </c>
      <c r="J2737">
        <f t="shared" si="84"/>
        <v>10</v>
      </c>
      <c r="K2737" t="str">
        <f t="shared" si="85"/>
        <v>Budget</v>
      </c>
    </row>
    <row r="2738" spans="2:11" x14ac:dyDescent="0.25">
      <c r="B2738" t="s">
        <v>945</v>
      </c>
      <c r="C2738">
        <v>2018</v>
      </c>
      <c r="D2738" s="1">
        <v>1500000</v>
      </c>
      <c r="E2738">
        <v>50000</v>
      </c>
      <c r="F2738" t="s">
        <v>15</v>
      </c>
      <c r="G2738" t="s">
        <v>10</v>
      </c>
      <c r="H2738" t="s">
        <v>11</v>
      </c>
      <c r="I2738" t="s">
        <v>12</v>
      </c>
      <c r="J2738">
        <f t="shared" si="84"/>
        <v>8</v>
      </c>
      <c r="K2738" t="str">
        <f t="shared" si="85"/>
        <v>Premium</v>
      </c>
    </row>
    <row r="2739" spans="2:11" x14ac:dyDescent="0.25">
      <c r="B2739" t="s">
        <v>8</v>
      </c>
      <c r="C2739">
        <v>2014</v>
      </c>
      <c r="D2739" s="1">
        <v>225000</v>
      </c>
      <c r="E2739">
        <v>35000</v>
      </c>
      <c r="F2739" t="s">
        <v>9</v>
      </c>
      <c r="G2739" t="s">
        <v>10</v>
      </c>
      <c r="H2739" t="s">
        <v>11</v>
      </c>
      <c r="I2739" t="s">
        <v>12</v>
      </c>
      <c r="J2739">
        <f t="shared" si="84"/>
        <v>12</v>
      </c>
      <c r="K2739" t="str">
        <f t="shared" si="85"/>
        <v>Budget</v>
      </c>
    </row>
    <row r="2740" spans="2:11" x14ac:dyDescent="0.25">
      <c r="B2740" t="s">
        <v>90</v>
      </c>
      <c r="C2740">
        <v>2015</v>
      </c>
      <c r="D2740" s="1">
        <v>900000</v>
      </c>
      <c r="E2740">
        <v>110000</v>
      </c>
      <c r="F2740" t="s">
        <v>15</v>
      </c>
      <c r="G2740" t="s">
        <v>10</v>
      </c>
      <c r="H2740" t="s">
        <v>11</v>
      </c>
      <c r="I2740" t="s">
        <v>18</v>
      </c>
      <c r="J2740">
        <f t="shared" si="84"/>
        <v>11</v>
      </c>
      <c r="K2740" t="str">
        <f t="shared" si="85"/>
        <v>Mid Range</v>
      </c>
    </row>
    <row r="2741" spans="2:11" x14ac:dyDescent="0.25">
      <c r="B2741" t="s">
        <v>1306</v>
      </c>
      <c r="C2741">
        <v>2018</v>
      </c>
      <c r="D2741" s="1">
        <v>1600000</v>
      </c>
      <c r="E2741">
        <v>40000</v>
      </c>
      <c r="F2741" t="s">
        <v>15</v>
      </c>
      <c r="G2741" t="s">
        <v>10</v>
      </c>
      <c r="H2741" t="s">
        <v>28</v>
      </c>
      <c r="I2741" t="s">
        <v>12</v>
      </c>
      <c r="J2741">
        <f t="shared" si="84"/>
        <v>8</v>
      </c>
      <c r="K2741" t="str">
        <f t="shared" si="85"/>
        <v>Premium</v>
      </c>
    </row>
    <row r="2742" spans="2:11" x14ac:dyDescent="0.25">
      <c r="B2742" t="s">
        <v>967</v>
      </c>
      <c r="C2742">
        <v>2019</v>
      </c>
      <c r="D2742" s="1">
        <v>800000</v>
      </c>
      <c r="E2742">
        <v>10000</v>
      </c>
      <c r="F2742" t="s">
        <v>9</v>
      </c>
      <c r="G2742" t="s">
        <v>10</v>
      </c>
      <c r="H2742" t="s">
        <v>11</v>
      </c>
      <c r="I2742" t="s">
        <v>12</v>
      </c>
      <c r="J2742">
        <f t="shared" si="84"/>
        <v>7</v>
      </c>
      <c r="K2742" t="str">
        <f t="shared" si="85"/>
        <v>Mid Range</v>
      </c>
    </row>
    <row r="2743" spans="2:11" x14ac:dyDescent="0.25">
      <c r="B2743" t="s">
        <v>1105</v>
      </c>
      <c r="C2743">
        <v>2013</v>
      </c>
      <c r="D2743" s="1">
        <v>320000</v>
      </c>
      <c r="E2743">
        <v>50000</v>
      </c>
      <c r="F2743" t="s">
        <v>15</v>
      </c>
      <c r="G2743" t="s">
        <v>10</v>
      </c>
      <c r="H2743" t="s">
        <v>11</v>
      </c>
      <c r="I2743" t="s">
        <v>12</v>
      </c>
      <c r="J2743">
        <f t="shared" si="84"/>
        <v>13</v>
      </c>
      <c r="K2743" t="str">
        <f t="shared" si="85"/>
        <v>Budget</v>
      </c>
    </row>
    <row r="2744" spans="2:11" x14ac:dyDescent="0.25">
      <c r="B2744" t="s">
        <v>249</v>
      </c>
      <c r="C2744">
        <v>2016</v>
      </c>
      <c r="D2744" s="1">
        <v>300000</v>
      </c>
      <c r="E2744">
        <v>25000</v>
      </c>
      <c r="F2744" t="s">
        <v>9</v>
      </c>
      <c r="G2744" t="s">
        <v>10</v>
      </c>
      <c r="H2744" t="s">
        <v>11</v>
      </c>
      <c r="I2744" t="s">
        <v>12</v>
      </c>
      <c r="J2744">
        <f t="shared" si="84"/>
        <v>10</v>
      </c>
      <c r="K2744" t="str">
        <f t="shared" si="85"/>
        <v>Budget</v>
      </c>
    </row>
    <row r="2745" spans="2:11" x14ac:dyDescent="0.25">
      <c r="B2745" t="s">
        <v>1307</v>
      </c>
      <c r="C2745">
        <v>2018</v>
      </c>
      <c r="D2745" s="1">
        <v>740000</v>
      </c>
      <c r="E2745">
        <v>25000</v>
      </c>
      <c r="F2745" t="s">
        <v>9</v>
      </c>
      <c r="G2745" t="s">
        <v>10</v>
      </c>
      <c r="H2745" t="s">
        <v>11</v>
      </c>
      <c r="I2745" t="s">
        <v>12</v>
      </c>
      <c r="J2745">
        <f t="shared" si="84"/>
        <v>8</v>
      </c>
      <c r="K2745" t="str">
        <f t="shared" si="85"/>
        <v>Mid Range</v>
      </c>
    </row>
    <row r="2746" spans="2:11" x14ac:dyDescent="0.25">
      <c r="B2746" t="s">
        <v>1308</v>
      </c>
      <c r="C2746">
        <v>2019</v>
      </c>
      <c r="D2746" s="1">
        <v>350000</v>
      </c>
      <c r="E2746">
        <v>1300</v>
      </c>
      <c r="F2746" t="s">
        <v>9</v>
      </c>
      <c r="G2746" t="s">
        <v>10</v>
      </c>
      <c r="H2746" t="s">
        <v>11</v>
      </c>
      <c r="I2746" t="s">
        <v>12</v>
      </c>
      <c r="J2746">
        <f t="shared" si="84"/>
        <v>7</v>
      </c>
      <c r="K2746" t="str">
        <f t="shared" si="85"/>
        <v>Budget</v>
      </c>
    </row>
    <row r="2747" spans="2:11" x14ac:dyDescent="0.25">
      <c r="B2747" t="s">
        <v>1309</v>
      </c>
      <c r="C2747">
        <v>2014</v>
      </c>
      <c r="D2747" s="1">
        <v>280000</v>
      </c>
      <c r="E2747">
        <v>40000</v>
      </c>
      <c r="F2747" t="s">
        <v>9</v>
      </c>
      <c r="G2747" t="s">
        <v>10</v>
      </c>
      <c r="H2747" t="s">
        <v>11</v>
      </c>
      <c r="I2747" t="s">
        <v>12</v>
      </c>
      <c r="J2747">
        <f t="shared" si="84"/>
        <v>12</v>
      </c>
      <c r="K2747" t="str">
        <f t="shared" si="85"/>
        <v>Budget</v>
      </c>
    </row>
    <row r="2748" spans="2:11" x14ac:dyDescent="0.25">
      <c r="B2748" t="s">
        <v>946</v>
      </c>
      <c r="C2748">
        <v>2018</v>
      </c>
      <c r="D2748" s="1">
        <v>675000</v>
      </c>
      <c r="E2748">
        <v>50000</v>
      </c>
      <c r="F2748" t="s">
        <v>15</v>
      </c>
      <c r="G2748" t="s">
        <v>10</v>
      </c>
      <c r="H2748" t="s">
        <v>28</v>
      </c>
      <c r="I2748" t="s">
        <v>12</v>
      </c>
      <c r="J2748">
        <f t="shared" si="84"/>
        <v>8</v>
      </c>
      <c r="K2748" t="str">
        <f t="shared" si="85"/>
        <v>Mid Range</v>
      </c>
    </row>
    <row r="2749" spans="2:11" x14ac:dyDescent="0.25">
      <c r="B2749" t="s">
        <v>605</v>
      </c>
      <c r="C2749">
        <v>2011</v>
      </c>
      <c r="D2749" s="1">
        <v>300000</v>
      </c>
      <c r="E2749">
        <v>20000</v>
      </c>
      <c r="F2749" t="s">
        <v>9</v>
      </c>
      <c r="G2749" t="s">
        <v>10</v>
      </c>
      <c r="H2749" t="s">
        <v>11</v>
      </c>
      <c r="I2749" t="s">
        <v>12</v>
      </c>
      <c r="J2749">
        <f t="shared" si="84"/>
        <v>15</v>
      </c>
      <c r="K2749" t="str">
        <f t="shared" si="85"/>
        <v>Budget</v>
      </c>
    </row>
    <row r="2750" spans="2:11" x14ac:dyDescent="0.25">
      <c r="B2750" t="s">
        <v>1310</v>
      </c>
      <c r="C2750">
        <v>2011</v>
      </c>
      <c r="D2750" s="1">
        <v>400000</v>
      </c>
      <c r="E2750">
        <v>76000</v>
      </c>
      <c r="F2750" t="s">
        <v>15</v>
      </c>
      <c r="G2750" t="s">
        <v>10</v>
      </c>
      <c r="H2750" t="s">
        <v>11</v>
      </c>
      <c r="I2750" t="s">
        <v>49</v>
      </c>
      <c r="J2750">
        <f t="shared" si="84"/>
        <v>15</v>
      </c>
      <c r="K2750" t="str">
        <f t="shared" si="85"/>
        <v>Budget</v>
      </c>
    </row>
    <row r="2751" spans="2:11" x14ac:dyDescent="0.25">
      <c r="B2751" t="s">
        <v>1009</v>
      </c>
      <c r="C2751">
        <v>2010</v>
      </c>
      <c r="D2751" s="1">
        <v>420000</v>
      </c>
      <c r="E2751">
        <v>100000</v>
      </c>
      <c r="F2751" t="s">
        <v>15</v>
      </c>
      <c r="G2751" t="s">
        <v>10</v>
      </c>
      <c r="H2751" t="s">
        <v>11</v>
      </c>
      <c r="I2751" t="s">
        <v>49</v>
      </c>
      <c r="J2751">
        <f t="shared" si="84"/>
        <v>16</v>
      </c>
      <c r="K2751" t="str">
        <f t="shared" si="85"/>
        <v>Budget</v>
      </c>
    </row>
    <row r="2752" spans="2:11" x14ac:dyDescent="0.25">
      <c r="B2752" t="s">
        <v>1311</v>
      </c>
      <c r="C2752">
        <v>2008</v>
      </c>
      <c r="D2752" s="1">
        <v>300000</v>
      </c>
      <c r="E2752">
        <v>120000</v>
      </c>
      <c r="F2752" t="s">
        <v>15</v>
      </c>
      <c r="G2752" t="s">
        <v>10</v>
      </c>
      <c r="H2752" t="s">
        <v>11</v>
      </c>
      <c r="I2752" t="s">
        <v>12</v>
      </c>
      <c r="J2752">
        <f t="shared" si="84"/>
        <v>18</v>
      </c>
      <c r="K2752" t="str">
        <f t="shared" si="85"/>
        <v>Budget</v>
      </c>
    </row>
    <row r="2753" spans="2:11" x14ac:dyDescent="0.25">
      <c r="B2753" t="s">
        <v>996</v>
      </c>
      <c r="C2753">
        <v>2010</v>
      </c>
      <c r="D2753" s="1">
        <v>170000</v>
      </c>
      <c r="E2753">
        <v>70000</v>
      </c>
      <c r="F2753" t="s">
        <v>9</v>
      </c>
      <c r="G2753" t="s">
        <v>10</v>
      </c>
      <c r="H2753" t="s">
        <v>11</v>
      </c>
      <c r="I2753" t="s">
        <v>12</v>
      </c>
      <c r="J2753">
        <f t="shared" si="84"/>
        <v>16</v>
      </c>
      <c r="K2753" t="str">
        <f t="shared" si="85"/>
        <v>Budget</v>
      </c>
    </row>
    <row r="2754" spans="2:11" x14ac:dyDescent="0.25">
      <c r="B2754" t="s">
        <v>136</v>
      </c>
      <c r="C2754">
        <v>2014</v>
      </c>
      <c r="D2754" s="1">
        <v>210000</v>
      </c>
      <c r="E2754">
        <v>70000</v>
      </c>
      <c r="F2754" t="s">
        <v>9</v>
      </c>
      <c r="G2754" t="s">
        <v>10</v>
      </c>
      <c r="H2754" t="s">
        <v>11</v>
      </c>
      <c r="I2754" t="s">
        <v>49</v>
      </c>
      <c r="J2754">
        <f t="shared" si="84"/>
        <v>12</v>
      </c>
      <c r="K2754" t="str">
        <f t="shared" si="85"/>
        <v>Budget</v>
      </c>
    </row>
    <row r="2755" spans="2:11" x14ac:dyDescent="0.25">
      <c r="B2755" t="s">
        <v>118</v>
      </c>
      <c r="C2755">
        <v>2015</v>
      </c>
      <c r="D2755" s="1">
        <v>600000</v>
      </c>
      <c r="E2755">
        <v>60000</v>
      </c>
      <c r="F2755" t="s">
        <v>15</v>
      </c>
      <c r="G2755" t="s">
        <v>10</v>
      </c>
      <c r="H2755" t="s">
        <v>11</v>
      </c>
      <c r="I2755" t="s">
        <v>18</v>
      </c>
      <c r="J2755">
        <f t="shared" si="84"/>
        <v>11</v>
      </c>
      <c r="K2755" t="str">
        <f t="shared" si="85"/>
        <v>Mid Range</v>
      </c>
    </row>
    <row r="2756" spans="2:11" x14ac:dyDescent="0.25">
      <c r="B2756" t="s">
        <v>54</v>
      </c>
      <c r="C2756">
        <v>2014</v>
      </c>
      <c r="D2756" s="1">
        <v>260000</v>
      </c>
      <c r="E2756">
        <v>38000</v>
      </c>
      <c r="F2756" t="s">
        <v>9</v>
      </c>
      <c r="G2756" t="s">
        <v>10</v>
      </c>
      <c r="H2756" t="s">
        <v>11</v>
      </c>
      <c r="I2756" t="s">
        <v>18</v>
      </c>
      <c r="J2756">
        <f t="shared" si="84"/>
        <v>12</v>
      </c>
      <c r="K2756" t="str">
        <f t="shared" si="85"/>
        <v>Budget</v>
      </c>
    </row>
    <row r="2757" spans="2:11" x14ac:dyDescent="0.25">
      <c r="B2757" t="s">
        <v>1018</v>
      </c>
      <c r="C2757">
        <v>2015</v>
      </c>
      <c r="D2757" s="1">
        <v>82000</v>
      </c>
      <c r="E2757">
        <v>19000</v>
      </c>
      <c r="F2757" t="s">
        <v>9</v>
      </c>
      <c r="G2757" t="s">
        <v>10</v>
      </c>
      <c r="H2757" t="s">
        <v>11</v>
      </c>
      <c r="I2757" t="s">
        <v>12</v>
      </c>
      <c r="J2757">
        <f t="shared" si="84"/>
        <v>11</v>
      </c>
      <c r="K2757" t="str">
        <f t="shared" si="85"/>
        <v>Budget</v>
      </c>
    </row>
    <row r="2758" spans="2:11" x14ac:dyDescent="0.25">
      <c r="B2758" t="s">
        <v>1100</v>
      </c>
      <c r="C2758">
        <v>2016</v>
      </c>
      <c r="D2758" s="1">
        <v>690000</v>
      </c>
      <c r="E2758">
        <v>75000</v>
      </c>
      <c r="F2758" t="s">
        <v>15</v>
      </c>
      <c r="G2758" t="s">
        <v>10</v>
      </c>
      <c r="H2758" t="s">
        <v>11</v>
      </c>
      <c r="I2758" t="s">
        <v>12</v>
      </c>
      <c r="J2758">
        <f t="shared" ref="J2758:J2821" si="86">2026 - C2758</f>
        <v>10</v>
      </c>
      <c r="K2758" t="str">
        <f t="shared" ref="K2758:K2821" si="87">IF(D2758&lt;500000,"Budget",IF(D2758&lt;=1000000,"Mid Range","Premium"))</f>
        <v>Mid Range</v>
      </c>
    </row>
    <row r="2759" spans="2:11" x14ac:dyDescent="0.25">
      <c r="B2759" t="s">
        <v>1312</v>
      </c>
      <c r="C2759">
        <v>2015</v>
      </c>
      <c r="D2759" s="1">
        <v>300000</v>
      </c>
      <c r="E2759">
        <v>70000</v>
      </c>
      <c r="F2759" t="s">
        <v>15</v>
      </c>
      <c r="G2759" t="s">
        <v>10</v>
      </c>
      <c r="H2759" t="s">
        <v>11</v>
      </c>
      <c r="I2759" t="s">
        <v>12</v>
      </c>
      <c r="J2759">
        <f t="shared" si="86"/>
        <v>11</v>
      </c>
      <c r="K2759" t="str">
        <f t="shared" si="87"/>
        <v>Budget</v>
      </c>
    </row>
    <row r="2760" spans="2:11" x14ac:dyDescent="0.25">
      <c r="B2760" t="s">
        <v>1313</v>
      </c>
      <c r="C2760">
        <v>2017</v>
      </c>
      <c r="D2760" s="1">
        <v>1250000</v>
      </c>
      <c r="E2760">
        <v>30000</v>
      </c>
      <c r="F2760" t="s">
        <v>15</v>
      </c>
      <c r="G2760" t="s">
        <v>10</v>
      </c>
      <c r="H2760" t="s">
        <v>11</v>
      </c>
      <c r="I2760" t="s">
        <v>12</v>
      </c>
      <c r="J2760">
        <f t="shared" si="86"/>
        <v>9</v>
      </c>
      <c r="K2760" t="str">
        <f t="shared" si="87"/>
        <v>Premium</v>
      </c>
    </row>
    <row r="2761" spans="2:11" x14ac:dyDescent="0.25">
      <c r="B2761" t="s">
        <v>273</v>
      </c>
      <c r="C2761">
        <v>2017</v>
      </c>
      <c r="D2761" s="1">
        <v>799000</v>
      </c>
      <c r="E2761">
        <v>31707</v>
      </c>
      <c r="F2761" t="s">
        <v>15</v>
      </c>
      <c r="G2761" t="s">
        <v>10</v>
      </c>
      <c r="H2761" t="s">
        <v>11</v>
      </c>
      <c r="I2761" t="s">
        <v>12</v>
      </c>
      <c r="J2761">
        <f t="shared" si="86"/>
        <v>9</v>
      </c>
      <c r="K2761" t="str">
        <f t="shared" si="87"/>
        <v>Mid Range</v>
      </c>
    </row>
    <row r="2762" spans="2:11" x14ac:dyDescent="0.25">
      <c r="B2762" t="s">
        <v>1314</v>
      </c>
      <c r="C2762">
        <v>2010</v>
      </c>
      <c r="D2762" s="1">
        <v>1000000</v>
      </c>
      <c r="E2762">
        <v>180000</v>
      </c>
      <c r="F2762" t="s">
        <v>15</v>
      </c>
      <c r="G2762" t="s">
        <v>10</v>
      </c>
      <c r="H2762" t="s">
        <v>11</v>
      </c>
      <c r="I2762" t="s">
        <v>12</v>
      </c>
      <c r="J2762">
        <f t="shared" si="86"/>
        <v>16</v>
      </c>
      <c r="K2762" t="str">
        <f t="shared" si="87"/>
        <v>Mid Range</v>
      </c>
    </row>
    <row r="2763" spans="2:11" x14ac:dyDescent="0.25">
      <c r="B2763" t="s">
        <v>249</v>
      </c>
      <c r="C2763">
        <v>2014</v>
      </c>
      <c r="D2763" s="1">
        <v>190000</v>
      </c>
      <c r="E2763">
        <v>90000</v>
      </c>
      <c r="F2763" t="s">
        <v>9</v>
      </c>
      <c r="G2763" t="s">
        <v>10</v>
      </c>
      <c r="H2763" t="s">
        <v>11</v>
      </c>
      <c r="I2763" t="s">
        <v>18</v>
      </c>
      <c r="J2763">
        <f t="shared" si="86"/>
        <v>12</v>
      </c>
      <c r="K2763" t="str">
        <f t="shared" si="87"/>
        <v>Budget</v>
      </c>
    </row>
    <row r="2764" spans="2:11" x14ac:dyDescent="0.25">
      <c r="B2764" t="s">
        <v>1315</v>
      </c>
      <c r="C2764">
        <v>2014</v>
      </c>
      <c r="D2764" s="1">
        <v>250000</v>
      </c>
      <c r="E2764">
        <v>30000</v>
      </c>
      <c r="F2764" t="s">
        <v>15</v>
      </c>
      <c r="G2764" t="s">
        <v>10</v>
      </c>
      <c r="H2764" t="s">
        <v>11</v>
      </c>
      <c r="I2764" t="s">
        <v>12</v>
      </c>
      <c r="J2764">
        <f t="shared" si="86"/>
        <v>12</v>
      </c>
      <c r="K2764" t="str">
        <f t="shared" si="87"/>
        <v>Budget</v>
      </c>
    </row>
    <row r="2765" spans="2:11" x14ac:dyDescent="0.25">
      <c r="B2765" t="s">
        <v>1316</v>
      </c>
      <c r="C2765">
        <v>2009</v>
      </c>
      <c r="D2765" s="1">
        <v>200000</v>
      </c>
      <c r="E2765">
        <v>60000</v>
      </c>
      <c r="F2765" t="s">
        <v>9</v>
      </c>
      <c r="G2765" t="s">
        <v>10</v>
      </c>
      <c r="H2765" t="s">
        <v>11</v>
      </c>
      <c r="I2765" t="s">
        <v>12</v>
      </c>
      <c r="J2765">
        <f t="shared" si="86"/>
        <v>17</v>
      </c>
      <c r="K2765" t="str">
        <f t="shared" si="87"/>
        <v>Budget</v>
      </c>
    </row>
    <row r="2766" spans="2:11" x14ac:dyDescent="0.25">
      <c r="B2766" t="s">
        <v>662</v>
      </c>
      <c r="C2766">
        <v>2005</v>
      </c>
      <c r="D2766" s="1">
        <v>300000</v>
      </c>
      <c r="E2766">
        <v>90000</v>
      </c>
      <c r="F2766" t="s">
        <v>15</v>
      </c>
      <c r="G2766" t="s">
        <v>10</v>
      </c>
      <c r="H2766" t="s">
        <v>11</v>
      </c>
      <c r="I2766" t="s">
        <v>18</v>
      </c>
      <c r="J2766">
        <f t="shared" si="86"/>
        <v>21</v>
      </c>
      <c r="K2766" t="str">
        <f t="shared" si="87"/>
        <v>Budget</v>
      </c>
    </row>
    <row r="2767" spans="2:11" x14ac:dyDescent="0.25">
      <c r="B2767" t="s">
        <v>644</v>
      </c>
      <c r="C2767">
        <v>2015</v>
      </c>
      <c r="D2767" s="1">
        <v>250000</v>
      </c>
      <c r="E2767">
        <v>120000</v>
      </c>
      <c r="F2767" t="s">
        <v>9</v>
      </c>
      <c r="G2767" t="s">
        <v>10</v>
      </c>
      <c r="H2767" t="s">
        <v>11</v>
      </c>
      <c r="I2767" t="s">
        <v>18</v>
      </c>
      <c r="J2767">
        <f t="shared" si="86"/>
        <v>11</v>
      </c>
      <c r="K2767" t="str">
        <f t="shared" si="87"/>
        <v>Budget</v>
      </c>
    </row>
    <row r="2768" spans="2:11" x14ac:dyDescent="0.25">
      <c r="B2768" t="s">
        <v>8</v>
      </c>
      <c r="C2768">
        <v>2008</v>
      </c>
      <c r="D2768" s="1">
        <v>90000</v>
      </c>
      <c r="E2768">
        <v>70000</v>
      </c>
      <c r="F2768" t="s">
        <v>9</v>
      </c>
      <c r="G2768" t="s">
        <v>10</v>
      </c>
      <c r="H2768" t="s">
        <v>11</v>
      </c>
      <c r="I2768" t="s">
        <v>49</v>
      </c>
      <c r="J2768">
        <f t="shared" si="86"/>
        <v>18</v>
      </c>
      <c r="K2768" t="str">
        <f t="shared" si="87"/>
        <v>Budget</v>
      </c>
    </row>
    <row r="2769" spans="2:11" x14ac:dyDescent="0.25">
      <c r="B2769" t="s">
        <v>364</v>
      </c>
      <c r="C2769">
        <v>2016</v>
      </c>
      <c r="D2769" s="1">
        <v>700000</v>
      </c>
      <c r="E2769">
        <v>160000</v>
      </c>
      <c r="F2769" t="s">
        <v>15</v>
      </c>
      <c r="G2769" t="s">
        <v>10</v>
      </c>
      <c r="H2769" t="s">
        <v>11</v>
      </c>
      <c r="I2769" t="s">
        <v>12</v>
      </c>
      <c r="J2769">
        <f t="shared" si="86"/>
        <v>10</v>
      </c>
      <c r="K2769" t="str">
        <f t="shared" si="87"/>
        <v>Mid Range</v>
      </c>
    </row>
    <row r="2770" spans="2:11" x14ac:dyDescent="0.25">
      <c r="B2770" t="s">
        <v>1317</v>
      </c>
      <c r="C2770">
        <v>2012</v>
      </c>
      <c r="D2770" s="1">
        <v>1750000</v>
      </c>
      <c r="E2770">
        <v>115992</v>
      </c>
      <c r="F2770" t="s">
        <v>15</v>
      </c>
      <c r="G2770" t="s">
        <v>27</v>
      </c>
      <c r="H2770" t="s">
        <v>28</v>
      </c>
      <c r="I2770" t="s">
        <v>49</v>
      </c>
      <c r="J2770">
        <f t="shared" si="86"/>
        <v>14</v>
      </c>
      <c r="K2770" t="str">
        <f t="shared" si="87"/>
        <v>Premium</v>
      </c>
    </row>
    <row r="2771" spans="2:11" x14ac:dyDescent="0.25">
      <c r="B2771" t="s">
        <v>744</v>
      </c>
      <c r="C2771">
        <v>2017</v>
      </c>
      <c r="D2771" s="1">
        <v>290000</v>
      </c>
      <c r="E2771">
        <v>110000</v>
      </c>
      <c r="F2771" t="s">
        <v>9</v>
      </c>
      <c r="G2771" t="s">
        <v>10</v>
      </c>
      <c r="H2771" t="s">
        <v>11</v>
      </c>
      <c r="I2771" t="s">
        <v>18</v>
      </c>
      <c r="J2771">
        <f t="shared" si="86"/>
        <v>9</v>
      </c>
      <c r="K2771" t="str">
        <f t="shared" si="87"/>
        <v>Budget</v>
      </c>
    </row>
    <row r="2772" spans="2:11" x14ac:dyDescent="0.25">
      <c r="B2772" t="s">
        <v>852</v>
      </c>
      <c r="C2772">
        <v>2014</v>
      </c>
      <c r="D2772" s="1">
        <v>1050000</v>
      </c>
      <c r="E2772">
        <v>97000</v>
      </c>
      <c r="F2772" t="s">
        <v>15</v>
      </c>
      <c r="G2772" t="s">
        <v>10</v>
      </c>
      <c r="H2772" t="s">
        <v>11</v>
      </c>
      <c r="I2772" t="s">
        <v>18</v>
      </c>
      <c r="J2772">
        <f t="shared" si="86"/>
        <v>12</v>
      </c>
      <c r="K2772" t="str">
        <f t="shared" si="87"/>
        <v>Premium</v>
      </c>
    </row>
    <row r="2773" spans="2:11" x14ac:dyDescent="0.25">
      <c r="B2773" t="s">
        <v>1185</v>
      </c>
      <c r="C2773">
        <v>2008</v>
      </c>
      <c r="D2773" s="1">
        <v>70000</v>
      </c>
      <c r="E2773">
        <v>100000</v>
      </c>
      <c r="F2773" t="s">
        <v>15</v>
      </c>
      <c r="G2773" t="s">
        <v>10</v>
      </c>
      <c r="H2773" t="s">
        <v>11</v>
      </c>
      <c r="I2773" t="s">
        <v>49</v>
      </c>
      <c r="J2773">
        <f t="shared" si="86"/>
        <v>18</v>
      </c>
      <c r="K2773" t="str">
        <f t="shared" si="87"/>
        <v>Budget</v>
      </c>
    </row>
    <row r="2774" spans="2:11" x14ac:dyDescent="0.25">
      <c r="B2774" t="s">
        <v>63</v>
      </c>
      <c r="C2774">
        <v>2016</v>
      </c>
      <c r="D2774" s="1">
        <v>520000</v>
      </c>
      <c r="E2774">
        <v>41000</v>
      </c>
      <c r="F2774" t="s">
        <v>15</v>
      </c>
      <c r="G2774" t="s">
        <v>10</v>
      </c>
      <c r="H2774" t="s">
        <v>11</v>
      </c>
      <c r="I2774" t="s">
        <v>12</v>
      </c>
      <c r="J2774">
        <f t="shared" si="86"/>
        <v>10</v>
      </c>
      <c r="K2774" t="str">
        <f t="shared" si="87"/>
        <v>Mid Range</v>
      </c>
    </row>
    <row r="2775" spans="2:11" x14ac:dyDescent="0.25">
      <c r="B2775" t="s">
        <v>486</v>
      </c>
      <c r="C2775">
        <v>2012</v>
      </c>
      <c r="D2775" s="1">
        <v>150000</v>
      </c>
      <c r="E2775">
        <v>90000</v>
      </c>
      <c r="F2775" t="s">
        <v>15</v>
      </c>
      <c r="G2775" t="s">
        <v>10</v>
      </c>
      <c r="H2775" t="s">
        <v>11</v>
      </c>
      <c r="I2775" t="s">
        <v>12</v>
      </c>
      <c r="J2775">
        <f t="shared" si="86"/>
        <v>14</v>
      </c>
      <c r="K2775" t="str">
        <f t="shared" si="87"/>
        <v>Budget</v>
      </c>
    </row>
    <row r="2776" spans="2:11" x14ac:dyDescent="0.25">
      <c r="B2776" t="s">
        <v>563</v>
      </c>
      <c r="C2776">
        <v>2008</v>
      </c>
      <c r="D2776" s="1">
        <v>120000</v>
      </c>
      <c r="E2776">
        <v>90000</v>
      </c>
      <c r="F2776" t="s">
        <v>9</v>
      </c>
      <c r="G2776" t="s">
        <v>10</v>
      </c>
      <c r="H2776" t="s">
        <v>11</v>
      </c>
      <c r="I2776" t="s">
        <v>12</v>
      </c>
      <c r="J2776">
        <f t="shared" si="86"/>
        <v>18</v>
      </c>
      <c r="K2776" t="str">
        <f t="shared" si="87"/>
        <v>Budget</v>
      </c>
    </row>
    <row r="2777" spans="2:11" x14ac:dyDescent="0.25">
      <c r="B2777" t="s">
        <v>1318</v>
      </c>
      <c r="C2777">
        <v>2016</v>
      </c>
      <c r="D2777" s="1">
        <v>600000</v>
      </c>
      <c r="E2777">
        <v>25000</v>
      </c>
      <c r="F2777" t="s">
        <v>9</v>
      </c>
      <c r="G2777" t="s">
        <v>10</v>
      </c>
      <c r="H2777" t="s">
        <v>11</v>
      </c>
      <c r="I2777" t="s">
        <v>12</v>
      </c>
      <c r="J2777">
        <f t="shared" si="86"/>
        <v>10</v>
      </c>
      <c r="K2777" t="str">
        <f t="shared" si="87"/>
        <v>Mid Range</v>
      </c>
    </row>
    <row r="2778" spans="2:11" x14ac:dyDescent="0.25">
      <c r="B2778" t="s">
        <v>1319</v>
      </c>
      <c r="C2778">
        <v>2010</v>
      </c>
      <c r="D2778" s="1">
        <v>150000</v>
      </c>
      <c r="E2778">
        <v>70000</v>
      </c>
      <c r="F2778" t="s">
        <v>15</v>
      </c>
      <c r="G2778" t="s">
        <v>10</v>
      </c>
      <c r="H2778" t="s">
        <v>11</v>
      </c>
      <c r="I2778" t="s">
        <v>18</v>
      </c>
      <c r="J2778">
        <f t="shared" si="86"/>
        <v>16</v>
      </c>
      <c r="K2778" t="str">
        <f t="shared" si="87"/>
        <v>Budget</v>
      </c>
    </row>
    <row r="2779" spans="2:11" x14ac:dyDescent="0.25">
      <c r="B2779" t="s">
        <v>1320</v>
      </c>
      <c r="C2779">
        <v>2011</v>
      </c>
      <c r="D2779" s="1">
        <v>400000</v>
      </c>
      <c r="E2779">
        <v>60000</v>
      </c>
      <c r="F2779" t="s">
        <v>9</v>
      </c>
      <c r="G2779" t="s">
        <v>10</v>
      </c>
      <c r="H2779" t="s">
        <v>11</v>
      </c>
      <c r="I2779" t="s">
        <v>12</v>
      </c>
      <c r="J2779">
        <f t="shared" si="86"/>
        <v>15</v>
      </c>
      <c r="K2779" t="str">
        <f t="shared" si="87"/>
        <v>Budget</v>
      </c>
    </row>
    <row r="2780" spans="2:11" x14ac:dyDescent="0.25">
      <c r="B2780" t="s">
        <v>249</v>
      </c>
      <c r="C2780">
        <v>2015</v>
      </c>
      <c r="D2780" s="1">
        <v>310000</v>
      </c>
      <c r="E2780">
        <v>30000</v>
      </c>
      <c r="F2780" t="s">
        <v>9</v>
      </c>
      <c r="G2780" t="s">
        <v>10</v>
      </c>
      <c r="H2780" t="s">
        <v>11</v>
      </c>
      <c r="I2780" t="s">
        <v>18</v>
      </c>
      <c r="J2780">
        <f t="shared" si="86"/>
        <v>11</v>
      </c>
      <c r="K2780" t="str">
        <f t="shared" si="87"/>
        <v>Budget</v>
      </c>
    </row>
    <row r="2781" spans="2:11" x14ac:dyDescent="0.25">
      <c r="B2781" t="s">
        <v>225</v>
      </c>
      <c r="C2781">
        <v>2015</v>
      </c>
      <c r="D2781" s="1">
        <v>550000</v>
      </c>
      <c r="E2781">
        <v>30000</v>
      </c>
      <c r="F2781" t="s">
        <v>9</v>
      </c>
      <c r="G2781" t="s">
        <v>10</v>
      </c>
      <c r="H2781" t="s">
        <v>11</v>
      </c>
      <c r="I2781" t="s">
        <v>12</v>
      </c>
      <c r="J2781">
        <f t="shared" si="86"/>
        <v>11</v>
      </c>
      <c r="K2781" t="str">
        <f t="shared" si="87"/>
        <v>Mid Range</v>
      </c>
    </row>
    <row r="2782" spans="2:11" x14ac:dyDescent="0.25">
      <c r="B2782" t="s">
        <v>755</v>
      </c>
      <c r="C2782">
        <v>2016</v>
      </c>
      <c r="D2782" s="1">
        <v>550000</v>
      </c>
      <c r="E2782">
        <v>60000</v>
      </c>
      <c r="F2782" t="s">
        <v>15</v>
      </c>
      <c r="G2782" t="s">
        <v>10</v>
      </c>
      <c r="H2782" t="s">
        <v>11</v>
      </c>
      <c r="I2782" t="s">
        <v>12</v>
      </c>
      <c r="J2782">
        <f t="shared" si="86"/>
        <v>10</v>
      </c>
      <c r="K2782" t="str">
        <f t="shared" si="87"/>
        <v>Mid Range</v>
      </c>
    </row>
    <row r="2783" spans="2:11" x14ac:dyDescent="0.25">
      <c r="B2783" t="s">
        <v>228</v>
      </c>
      <c r="C2783">
        <v>2013</v>
      </c>
      <c r="D2783" s="1">
        <v>320000</v>
      </c>
      <c r="E2783">
        <v>73000</v>
      </c>
      <c r="F2783" t="s">
        <v>15</v>
      </c>
      <c r="G2783" t="s">
        <v>10</v>
      </c>
      <c r="H2783" t="s">
        <v>11</v>
      </c>
      <c r="I2783" t="s">
        <v>12</v>
      </c>
      <c r="J2783">
        <f t="shared" si="86"/>
        <v>13</v>
      </c>
      <c r="K2783" t="str">
        <f t="shared" si="87"/>
        <v>Budget</v>
      </c>
    </row>
    <row r="2784" spans="2:11" x14ac:dyDescent="0.25">
      <c r="B2784" t="s">
        <v>357</v>
      </c>
      <c r="C2784">
        <v>1992</v>
      </c>
      <c r="D2784" s="1">
        <v>50000</v>
      </c>
      <c r="E2784">
        <v>100000</v>
      </c>
      <c r="F2784" t="s">
        <v>9</v>
      </c>
      <c r="G2784" t="s">
        <v>10</v>
      </c>
      <c r="H2784" t="s">
        <v>11</v>
      </c>
      <c r="I2784" t="s">
        <v>46</v>
      </c>
      <c r="J2784">
        <f t="shared" si="86"/>
        <v>34</v>
      </c>
      <c r="K2784" t="str">
        <f t="shared" si="87"/>
        <v>Budget</v>
      </c>
    </row>
    <row r="2785" spans="2:11" x14ac:dyDescent="0.25">
      <c r="B2785" t="s">
        <v>606</v>
      </c>
      <c r="C2785">
        <v>2017</v>
      </c>
      <c r="D2785" s="1">
        <v>700000</v>
      </c>
      <c r="E2785">
        <v>50000</v>
      </c>
      <c r="F2785" t="s">
        <v>15</v>
      </c>
      <c r="G2785" t="s">
        <v>10</v>
      </c>
      <c r="H2785" t="s">
        <v>11</v>
      </c>
      <c r="I2785" t="s">
        <v>18</v>
      </c>
      <c r="J2785">
        <f t="shared" si="86"/>
        <v>9</v>
      </c>
      <c r="K2785" t="str">
        <f t="shared" si="87"/>
        <v>Mid Range</v>
      </c>
    </row>
    <row r="2786" spans="2:11" x14ac:dyDescent="0.25">
      <c r="B2786" t="s">
        <v>118</v>
      </c>
      <c r="C2786">
        <v>2012</v>
      </c>
      <c r="D2786" s="1">
        <v>700000</v>
      </c>
      <c r="E2786">
        <v>110000</v>
      </c>
      <c r="F2786" t="s">
        <v>15</v>
      </c>
      <c r="G2786" t="s">
        <v>10</v>
      </c>
      <c r="H2786" t="s">
        <v>11</v>
      </c>
      <c r="I2786" t="s">
        <v>18</v>
      </c>
      <c r="J2786">
        <f t="shared" si="86"/>
        <v>14</v>
      </c>
      <c r="K2786" t="str">
        <f t="shared" si="87"/>
        <v>Mid Range</v>
      </c>
    </row>
    <row r="2787" spans="2:11" x14ac:dyDescent="0.25">
      <c r="B2787" t="s">
        <v>233</v>
      </c>
      <c r="C2787">
        <v>2017</v>
      </c>
      <c r="D2787" s="1">
        <v>655000</v>
      </c>
      <c r="E2787">
        <v>84000</v>
      </c>
      <c r="F2787" t="s">
        <v>15</v>
      </c>
      <c r="G2787" t="s">
        <v>27</v>
      </c>
      <c r="H2787" t="s">
        <v>11</v>
      </c>
      <c r="I2787" t="s">
        <v>12</v>
      </c>
      <c r="J2787">
        <f t="shared" si="86"/>
        <v>9</v>
      </c>
      <c r="K2787" t="str">
        <f t="shared" si="87"/>
        <v>Mid Range</v>
      </c>
    </row>
    <row r="2788" spans="2:11" x14ac:dyDescent="0.25">
      <c r="B2788" t="s">
        <v>1321</v>
      </c>
      <c r="C2788">
        <v>2011</v>
      </c>
      <c r="D2788" s="1">
        <v>200000</v>
      </c>
      <c r="E2788">
        <v>110000</v>
      </c>
      <c r="F2788" t="s">
        <v>152</v>
      </c>
      <c r="G2788" t="s">
        <v>10</v>
      </c>
      <c r="H2788" t="s">
        <v>11</v>
      </c>
      <c r="I2788" t="s">
        <v>12</v>
      </c>
      <c r="J2788">
        <f t="shared" si="86"/>
        <v>15</v>
      </c>
      <c r="K2788" t="str">
        <f t="shared" si="87"/>
        <v>Budget</v>
      </c>
    </row>
    <row r="2789" spans="2:11" x14ac:dyDescent="0.25">
      <c r="B2789" t="s">
        <v>91</v>
      </c>
      <c r="C2789">
        <v>2012</v>
      </c>
      <c r="D2789" s="1">
        <v>375000</v>
      </c>
      <c r="E2789">
        <v>150000</v>
      </c>
      <c r="F2789" t="s">
        <v>15</v>
      </c>
      <c r="G2789" t="s">
        <v>10</v>
      </c>
      <c r="H2789" t="s">
        <v>11</v>
      </c>
      <c r="I2789" t="s">
        <v>12</v>
      </c>
      <c r="J2789">
        <f t="shared" si="86"/>
        <v>14</v>
      </c>
      <c r="K2789" t="str">
        <f t="shared" si="87"/>
        <v>Budget</v>
      </c>
    </row>
    <row r="2790" spans="2:11" x14ac:dyDescent="0.25">
      <c r="B2790" t="s">
        <v>14</v>
      </c>
      <c r="C2790">
        <v>2012</v>
      </c>
      <c r="D2790" s="1">
        <v>470000</v>
      </c>
      <c r="E2790">
        <v>109052</v>
      </c>
      <c r="F2790" t="s">
        <v>15</v>
      </c>
      <c r="G2790" t="s">
        <v>27</v>
      </c>
      <c r="H2790" t="s">
        <v>11</v>
      </c>
      <c r="I2790" t="s">
        <v>12</v>
      </c>
      <c r="J2790">
        <f t="shared" si="86"/>
        <v>14</v>
      </c>
      <c r="K2790" t="str">
        <f t="shared" si="87"/>
        <v>Budget</v>
      </c>
    </row>
    <row r="2791" spans="2:11" x14ac:dyDescent="0.25">
      <c r="B2791" t="s">
        <v>1322</v>
      </c>
      <c r="C2791">
        <v>2015</v>
      </c>
      <c r="D2791" s="1">
        <v>550000</v>
      </c>
      <c r="E2791">
        <v>90658</v>
      </c>
      <c r="F2791" t="s">
        <v>15</v>
      </c>
      <c r="G2791" t="s">
        <v>27</v>
      </c>
      <c r="H2791" t="s">
        <v>11</v>
      </c>
      <c r="I2791" t="s">
        <v>12</v>
      </c>
      <c r="J2791">
        <f t="shared" si="86"/>
        <v>11</v>
      </c>
      <c r="K2791" t="str">
        <f t="shared" si="87"/>
        <v>Mid Range</v>
      </c>
    </row>
    <row r="2792" spans="2:11" x14ac:dyDescent="0.25">
      <c r="B2792" t="s">
        <v>17</v>
      </c>
      <c r="C2792">
        <v>2014</v>
      </c>
      <c r="D2792" s="1">
        <v>500000</v>
      </c>
      <c r="E2792">
        <v>110000</v>
      </c>
      <c r="F2792" t="s">
        <v>15</v>
      </c>
      <c r="G2792" t="s">
        <v>10</v>
      </c>
      <c r="H2792" t="s">
        <v>11</v>
      </c>
      <c r="I2792" t="s">
        <v>18</v>
      </c>
      <c r="J2792">
        <f t="shared" si="86"/>
        <v>12</v>
      </c>
      <c r="K2792" t="str">
        <f t="shared" si="87"/>
        <v>Mid Range</v>
      </c>
    </row>
    <row r="2793" spans="2:11" x14ac:dyDescent="0.25">
      <c r="B2793" t="s">
        <v>1323</v>
      </c>
      <c r="C2793">
        <v>2015</v>
      </c>
      <c r="D2793" s="1">
        <v>210000</v>
      </c>
      <c r="E2793">
        <v>25000</v>
      </c>
      <c r="F2793" t="s">
        <v>9</v>
      </c>
      <c r="G2793" t="s">
        <v>10</v>
      </c>
      <c r="H2793" t="s">
        <v>11</v>
      </c>
      <c r="I2793" t="s">
        <v>12</v>
      </c>
      <c r="J2793">
        <f t="shared" si="86"/>
        <v>11</v>
      </c>
      <c r="K2793" t="str">
        <f t="shared" si="87"/>
        <v>Budget</v>
      </c>
    </row>
    <row r="2794" spans="2:11" x14ac:dyDescent="0.25">
      <c r="B2794" t="s">
        <v>1324</v>
      </c>
      <c r="C2794">
        <v>2013</v>
      </c>
      <c r="D2794" s="1">
        <v>1451000</v>
      </c>
      <c r="E2794">
        <v>81000</v>
      </c>
      <c r="F2794" t="s">
        <v>15</v>
      </c>
      <c r="G2794" t="s">
        <v>27</v>
      </c>
      <c r="H2794" t="s">
        <v>28</v>
      </c>
      <c r="I2794" t="s">
        <v>12</v>
      </c>
      <c r="J2794">
        <f t="shared" si="86"/>
        <v>13</v>
      </c>
      <c r="K2794" t="str">
        <f t="shared" si="87"/>
        <v>Premium</v>
      </c>
    </row>
    <row r="2795" spans="2:11" x14ac:dyDescent="0.25">
      <c r="B2795" t="s">
        <v>1325</v>
      </c>
      <c r="C2795">
        <v>2009</v>
      </c>
      <c r="D2795" s="1">
        <v>245000</v>
      </c>
      <c r="E2795">
        <v>75000</v>
      </c>
      <c r="F2795" t="s">
        <v>15</v>
      </c>
      <c r="G2795" t="s">
        <v>27</v>
      </c>
      <c r="H2795" t="s">
        <v>28</v>
      </c>
      <c r="I2795" t="s">
        <v>12</v>
      </c>
      <c r="J2795">
        <f t="shared" si="86"/>
        <v>17</v>
      </c>
      <c r="K2795" t="str">
        <f t="shared" si="87"/>
        <v>Budget</v>
      </c>
    </row>
    <row r="2796" spans="2:11" x14ac:dyDescent="0.25">
      <c r="B2796" t="s">
        <v>508</v>
      </c>
      <c r="C2796">
        <v>2017</v>
      </c>
      <c r="D2796" s="1">
        <v>700000</v>
      </c>
      <c r="E2796">
        <v>25552</v>
      </c>
      <c r="F2796" t="s">
        <v>9</v>
      </c>
      <c r="G2796" t="s">
        <v>27</v>
      </c>
      <c r="H2796" t="s">
        <v>11</v>
      </c>
      <c r="I2796" t="s">
        <v>18</v>
      </c>
      <c r="J2796">
        <f t="shared" si="86"/>
        <v>9</v>
      </c>
      <c r="K2796" t="str">
        <f t="shared" si="87"/>
        <v>Mid Range</v>
      </c>
    </row>
    <row r="2797" spans="2:11" x14ac:dyDescent="0.25">
      <c r="B2797" t="s">
        <v>68</v>
      </c>
      <c r="C2797">
        <v>2018</v>
      </c>
      <c r="D2797" s="1">
        <v>300000</v>
      </c>
      <c r="E2797">
        <v>20000</v>
      </c>
      <c r="F2797" t="s">
        <v>9</v>
      </c>
      <c r="G2797" t="s">
        <v>10</v>
      </c>
      <c r="H2797" t="s">
        <v>11</v>
      </c>
      <c r="I2797" t="s">
        <v>12</v>
      </c>
      <c r="J2797">
        <f t="shared" si="86"/>
        <v>8</v>
      </c>
      <c r="K2797" t="str">
        <f t="shared" si="87"/>
        <v>Budget</v>
      </c>
    </row>
    <row r="2798" spans="2:11" x14ac:dyDescent="0.25">
      <c r="B2798" t="s">
        <v>1119</v>
      </c>
      <c r="C2798">
        <v>2017</v>
      </c>
      <c r="D2798" s="1">
        <v>350000</v>
      </c>
      <c r="E2798">
        <v>80000</v>
      </c>
      <c r="F2798" t="s">
        <v>15</v>
      </c>
      <c r="G2798" t="s">
        <v>10</v>
      </c>
      <c r="H2798" t="s">
        <v>11</v>
      </c>
      <c r="I2798" t="s">
        <v>12</v>
      </c>
      <c r="J2798">
        <f t="shared" si="86"/>
        <v>9</v>
      </c>
      <c r="K2798" t="str">
        <f t="shared" si="87"/>
        <v>Budget</v>
      </c>
    </row>
    <row r="2799" spans="2:11" x14ac:dyDescent="0.25">
      <c r="B2799" t="s">
        <v>778</v>
      </c>
      <c r="C2799">
        <v>2017</v>
      </c>
      <c r="D2799" s="1">
        <v>635000</v>
      </c>
      <c r="E2799">
        <v>25000</v>
      </c>
      <c r="F2799" t="s">
        <v>9</v>
      </c>
      <c r="G2799" t="s">
        <v>27</v>
      </c>
      <c r="H2799" t="s">
        <v>28</v>
      </c>
      <c r="I2799" t="s">
        <v>12</v>
      </c>
      <c r="J2799">
        <f t="shared" si="86"/>
        <v>9</v>
      </c>
      <c r="K2799" t="str">
        <f t="shared" si="87"/>
        <v>Mid Range</v>
      </c>
    </row>
    <row r="2800" spans="2:11" x14ac:dyDescent="0.25">
      <c r="B2800" t="s">
        <v>654</v>
      </c>
      <c r="C2800">
        <v>2012</v>
      </c>
      <c r="D2800" s="1">
        <v>325000</v>
      </c>
      <c r="E2800">
        <v>40700</v>
      </c>
      <c r="F2800" t="s">
        <v>9</v>
      </c>
      <c r="G2800" t="s">
        <v>10</v>
      </c>
      <c r="H2800" t="s">
        <v>11</v>
      </c>
      <c r="I2800" t="s">
        <v>12</v>
      </c>
      <c r="J2800">
        <f t="shared" si="86"/>
        <v>14</v>
      </c>
      <c r="K2800" t="str">
        <f t="shared" si="87"/>
        <v>Budget</v>
      </c>
    </row>
    <row r="2801" spans="2:11" x14ac:dyDescent="0.25">
      <c r="B2801" t="s">
        <v>1326</v>
      </c>
      <c r="C2801">
        <v>2017</v>
      </c>
      <c r="D2801" s="1">
        <v>1150000</v>
      </c>
      <c r="E2801">
        <v>65500</v>
      </c>
      <c r="F2801" t="s">
        <v>15</v>
      </c>
      <c r="G2801" t="s">
        <v>27</v>
      </c>
      <c r="H2801" t="s">
        <v>28</v>
      </c>
      <c r="I2801" t="s">
        <v>12</v>
      </c>
      <c r="J2801">
        <f t="shared" si="86"/>
        <v>9</v>
      </c>
      <c r="K2801" t="str">
        <f t="shared" si="87"/>
        <v>Premium</v>
      </c>
    </row>
    <row r="2802" spans="2:11" x14ac:dyDescent="0.25">
      <c r="B2802" t="s">
        <v>1327</v>
      </c>
      <c r="C2802">
        <v>2008</v>
      </c>
      <c r="D2802" s="1">
        <v>110000</v>
      </c>
      <c r="E2802">
        <v>42000</v>
      </c>
      <c r="F2802" t="s">
        <v>9</v>
      </c>
      <c r="G2802" t="s">
        <v>27</v>
      </c>
      <c r="H2802" t="s">
        <v>11</v>
      </c>
      <c r="I2802" t="s">
        <v>12</v>
      </c>
      <c r="J2802">
        <f t="shared" si="86"/>
        <v>18</v>
      </c>
      <c r="K2802" t="str">
        <f t="shared" si="87"/>
        <v>Budget</v>
      </c>
    </row>
    <row r="2803" spans="2:11" x14ac:dyDescent="0.25">
      <c r="B2803" t="s">
        <v>768</v>
      </c>
      <c r="C2803">
        <v>2018</v>
      </c>
      <c r="D2803" s="1">
        <v>890000</v>
      </c>
      <c r="E2803">
        <v>8000</v>
      </c>
      <c r="F2803" t="s">
        <v>9</v>
      </c>
      <c r="G2803" t="s">
        <v>27</v>
      </c>
      <c r="H2803" t="s">
        <v>11</v>
      </c>
      <c r="I2803" t="s">
        <v>12</v>
      </c>
      <c r="J2803">
        <f t="shared" si="86"/>
        <v>8</v>
      </c>
      <c r="K2803" t="str">
        <f t="shared" si="87"/>
        <v>Mid Range</v>
      </c>
    </row>
    <row r="2804" spans="2:11" x14ac:dyDescent="0.25">
      <c r="B2804" t="s">
        <v>1328</v>
      </c>
      <c r="C2804">
        <v>2007</v>
      </c>
      <c r="D2804" s="1">
        <v>73000</v>
      </c>
      <c r="E2804">
        <v>80000</v>
      </c>
      <c r="F2804" t="s">
        <v>9</v>
      </c>
      <c r="G2804" t="s">
        <v>10</v>
      </c>
      <c r="H2804" t="s">
        <v>11</v>
      </c>
      <c r="I2804" t="s">
        <v>18</v>
      </c>
      <c r="J2804">
        <f t="shared" si="86"/>
        <v>19</v>
      </c>
      <c r="K2804" t="str">
        <f t="shared" si="87"/>
        <v>Budget</v>
      </c>
    </row>
    <row r="2805" spans="2:11" x14ac:dyDescent="0.25">
      <c r="B2805" t="s">
        <v>601</v>
      </c>
      <c r="C2805">
        <v>2016</v>
      </c>
      <c r="D2805" s="1">
        <v>750000</v>
      </c>
      <c r="E2805">
        <v>6000</v>
      </c>
      <c r="F2805" t="s">
        <v>9</v>
      </c>
      <c r="G2805" t="s">
        <v>27</v>
      </c>
      <c r="H2805" t="s">
        <v>11</v>
      </c>
      <c r="I2805" t="s">
        <v>12</v>
      </c>
      <c r="J2805">
        <f t="shared" si="86"/>
        <v>10</v>
      </c>
      <c r="K2805" t="str">
        <f t="shared" si="87"/>
        <v>Mid Range</v>
      </c>
    </row>
    <row r="2806" spans="2:11" x14ac:dyDescent="0.25">
      <c r="B2806" t="s">
        <v>225</v>
      </c>
      <c r="C2806">
        <v>2018</v>
      </c>
      <c r="D2806" s="1">
        <v>690000</v>
      </c>
      <c r="E2806">
        <v>11174</v>
      </c>
      <c r="F2806" t="s">
        <v>9</v>
      </c>
      <c r="G2806" t="s">
        <v>27</v>
      </c>
      <c r="H2806" t="s">
        <v>11</v>
      </c>
      <c r="I2806" t="s">
        <v>12</v>
      </c>
      <c r="J2806">
        <f t="shared" si="86"/>
        <v>8</v>
      </c>
      <c r="K2806" t="str">
        <f t="shared" si="87"/>
        <v>Mid Range</v>
      </c>
    </row>
    <row r="2807" spans="2:11" x14ac:dyDescent="0.25">
      <c r="B2807" t="s">
        <v>1206</v>
      </c>
      <c r="C2807">
        <v>2008</v>
      </c>
      <c r="D2807" s="1">
        <v>130000</v>
      </c>
      <c r="E2807">
        <v>120000</v>
      </c>
      <c r="F2807" t="s">
        <v>9</v>
      </c>
      <c r="G2807" t="s">
        <v>10</v>
      </c>
      <c r="H2807" t="s">
        <v>11</v>
      </c>
      <c r="I2807" t="s">
        <v>12</v>
      </c>
      <c r="J2807">
        <f t="shared" si="86"/>
        <v>18</v>
      </c>
      <c r="K2807" t="str">
        <f t="shared" si="87"/>
        <v>Budget</v>
      </c>
    </row>
    <row r="2808" spans="2:11" x14ac:dyDescent="0.25">
      <c r="B2808" t="s">
        <v>56</v>
      </c>
      <c r="C2808">
        <v>2007</v>
      </c>
      <c r="D2808" s="1">
        <v>85000</v>
      </c>
      <c r="E2808">
        <v>85000</v>
      </c>
      <c r="F2808" t="s">
        <v>9</v>
      </c>
      <c r="G2808" t="s">
        <v>10</v>
      </c>
      <c r="H2808" t="s">
        <v>11</v>
      </c>
      <c r="I2808" t="s">
        <v>18</v>
      </c>
      <c r="J2808">
        <f t="shared" si="86"/>
        <v>19</v>
      </c>
      <c r="K2808" t="str">
        <f t="shared" si="87"/>
        <v>Budget</v>
      </c>
    </row>
    <row r="2809" spans="2:11" x14ac:dyDescent="0.25">
      <c r="B2809" t="s">
        <v>1329</v>
      </c>
      <c r="C2809">
        <v>2018</v>
      </c>
      <c r="D2809" s="1">
        <v>1575000</v>
      </c>
      <c r="E2809">
        <v>10000</v>
      </c>
      <c r="F2809" t="s">
        <v>9</v>
      </c>
      <c r="G2809" t="s">
        <v>10</v>
      </c>
      <c r="H2809" t="s">
        <v>28</v>
      </c>
      <c r="I2809" t="s">
        <v>12</v>
      </c>
      <c r="J2809">
        <f t="shared" si="86"/>
        <v>8</v>
      </c>
      <c r="K2809" t="str">
        <f t="shared" si="87"/>
        <v>Premium</v>
      </c>
    </row>
    <row r="2810" spans="2:11" x14ac:dyDescent="0.25">
      <c r="B2810" t="s">
        <v>564</v>
      </c>
      <c r="C2810">
        <v>2013</v>
      </c>
      <c r="D2810" s="1">
        <v>325000</v>
      </c>
      <c r="E2810">
        <v>105000</v>
      </c>
      <c r="F2810" t="s">
        <v>15</v>
      </c>
      <c r="G2810" t="s">
        <v>10</v>
      </c>
      <c r="H2810" t="s">
        <v>11</v>
      </c>
      <c r="I2810" t="s">
        <v>12</v>
      </c>
      <c r="J2810">
        <f t="shared" si="86"/>
        <v>13</v>
      </c>
      <c r="K2810" t="str">
        <f t="shared" si="87"/>
        <v>Budget</v>
      </c>
    </row>
    <row r="2811" spans="2:11" x14ac:dyDescent="0.25">
      <c r="B2811" t="s">
        <v>1052</v>
      </c>
      <c r="C2811">
        <v>1998</v>
      </c>
      <c r="D2811" s="1">
        <v>85000</v>
      </c>
      <c r="E2811">
        <v>120000</v>
      </c>
      <c r="F2811" t="s">
        <v>9</v>
      </c>
      <c r="G2811" t="s">
        <v>10</v>
      </c>
      <c r="H2811" t="s">
        <v>11</v>
      </c>
      <c r="I2811" t="s">
        <v>18</v>
      </c>
      <c r="J2811">
        <f t="shared" si="86"/>
        <v>28</v>
      </c>
      <c r="K2811" t="str">
        <f t="shared" si="87"/>
        <v>Budget</v>
      </c>
    </row>
    <row r="2812" spans="2:11" x14ac:dyDescent="0.25">
      <c r="B2812" t="s">
        <v>729</v>
      </c>
      <c r="C2812">
        <v>2018</v>
      </c>
      <c r="D2812" s="1">
        <v>860000</v>
      </c>
      <c r="E2812">
        <v>30000</v>
      </c>
      <c r="F2812" t="s">
        <v>15</v>
      </c>
      <c r="G2812" t="s">
        <v>27</v>
      </c>
      <c r="H2812" t="s">
        <v>11</v>
      </c>
      <c r="I2812" t="s">
        <v>18</v>
      </c>
      <c r="J2812">
        <f t="shared" si="86"/>
        <v>8</v>
      </c>
      <c r="K2812" t="str">
        <f t="shared" si="87"/>
        <v>Mid Range</v>
      </c>
    </row>
    <row r="2813" spans="2:11" x14ac:dyDescent="0.25">
      <c r="B2813" t="s">
        <v>1330</v>
      </c>
      <c r="C2813">
        <v>2017</v>
      </c>
      <c r="D2813" s="1">
        <v>690000</v>
      </c>
      <c r="E2813">
        <v>41000</v>
      </c>
      <c r="F2813" t="s">
        <v>15</v>
      </c>
      <c r="G2813" t="s">
        <v>10</v>
      </c>
      <c r="H2813" t="s">
        <v>11</v>
      </c>
      <c r="I2813" t="s">
        <v>12</v>
      </c>
      <c r="J2813">
        <f t="shared" si="86"/>
        <v>9</v>
      </c>
      <c r="K2813" t="str">
        <f t="shared" si="87"/>
        <v>Mid Range</v>
      </c>
    </row>
    <row r="2814" spans="2:11" x14ac:dyDescent="0.25">
      <c r="B2814" t="s">
        <v>50</v>
      </c>
      <c r="C2814">
        <v>2013</v>
      </c>
      <c r="D2814" s="1">
        <v>650000</v>
      </c>
      <c r="E2814">
        <v>54000</v>
      </c>
      <c r="F2814" t="s">
        <v>15</v>
      </c>
      <c r="G2814" t="s">
        <v>27</v>
      </c>
      <c r="H2814" t="s">
        <v>11</v>
      </c>
      <c r="I2814" t="s">
        <v>12</v>
      </c>
      <c r="J2814">
        <f t="shared" si="86"/>
        <v>13</v>
      </c>
      <c r="K2814" t="str">
        <f t="shared" si="87"/>
        <v>Mid Range</v>
      </c>
    </row>
    <row r="2815" spans="2:11" x14ac:dyDescent="0.25">
      <c r="B2815" t="s">
        <v>1331</v>
      </c>
      <c r="C2815">
        <v>2014</v>
      </c>
      <c r="D2815" s="1">
        <v>375000</v>
      </c>
      <c r="E2815">
        <v>40000</v>
      </c>
      <c r="F2815" t="s">
        <v>15</v>
      </c>
      <c r="G2815" t="s">
        <v>10</v>
      </c>
      <c r="H2815" t="s">
        <v>11</v>
      </c>
      <c r="I2815" t="s">
        <v>12</v>
      </c>
      <c r="J2815">
        <f t="shared" si="86"/>
        <v>12</v>
      </c>
      <c r="K2815" t="str">
        <f t="shared" si="87"/>
        <v>Budget</v>
      </c>
    </row>
    <row r="2816" spans="2:11" x14ac:dyDescent="0.25">
      <c r="B2816" t="s">
        <v>243</v>
      </c>
      <c r="C2816">
        <v>2013</v>
      </c>
      <c r="D2816" s="1">
        <v>525000</v>
      </c>
      <c r="E2816">
        <v>71000</v>
      </c>
      <c r="F2816" t="s">
        <v>15</v>
      </c>
      <c r="G2816" t="s">
        <v>27</v>
      </c>
      <c r="H2816" t="s">
        <v>11</v>
      </c>
      <c r="I2816" t="s">
        <v>12</v>
      </c>
      <c r="J2816">
        <f t="shared" si="86"/>
        <v>13</v>
      </c>
      <c r="K2816" t="str">
        <f t="shared" si="87"/>
        <v>Mid Range</v>
      </c>
    </row>
    <row r="2817" spans="2:11" x14ac:dyDescent="0.25">
      <c r="B2817" t="s">
        <v>1092</v>
      </c>
      <c r="C2817">
        <v>2016</v>
      </c>
      <c r="D2817" s="1">
        <v>330000</v>
      </c>
      <c r="E2817">
        <v>72500</v>
      </c>
      <c r="F2817" t="s">
        <v>9</v>
      </c>
      <c r="G2817" t="s">
        <v>27</v>
      </c>
      <c r="H2817" t="s">
        <v>11</v>
      </c>
      <c r="I2817" t="s">
        <v>12</v>
      </c>
      <c r="J2817">
        <f t="shared" si="86"/>
        <v>10</v>
      </c>
      <c r="K2817" t="str">
        <f t="shared" si="87"/>
        <v>Budget</v>
      </c>
    </row>
    <row r="2818" spans="2:11" x14ac:dyDescent="0.25">
      <c r="B2818" t="s">
        <v>1092</v>
      </c>
      <c r="C2818">
        <v>2013</v>
      </c>
      <c r="D2818" s="1">
        <v>280000</v>
      </c>
      <c r="E2818">
        <v>76600</v>
      </c>
      <c r="F2818" t="s">
        <v>9</v>
      </c>
      <c r="G2818" t="s">
        <v>27</v>
      </c>
      <c r="H2818" t="s">
        <v>11</v>
      </c>
      <c r="I2818" t="s">
        <v>12</v>
      </c>
      <c r="J2818">
        <f t="shared" si="86"/>
        <v>13</v>
      </c>
      <c r="K2818" t="str">
        <f t="shared" si="87"/>
        <v>Budget</v>
      </c>
    </row>
    <row r="2819" spans="2:11" x14ac:dyDescent="0.25">
      <c r="B2819" t="s">
        <v>1151</v>
      </c>
      <c r="C2819">
        <v>2014</v>
      </c>
      <c r="D2819" s="1">
        <v>470000</v>
      </c>
      <c r="E2819">
        <v>40000</v>
      </c>
      <c r="F2819" t="s">
        <v>9</v>
      </c>
      <c r="G2819" t="s">
        <v>10</v>
      </c>
      <c r="H2819" t="s">
        <v>11</v>
      </c>
      <c r="I2819" t="s">
        <v>12</v>
      </c>
      <c r="J2819">
        <f t="shared" si="86"/>
        <v>12</v>
      </c>
      <c r="K2819" t="str">
        <f t="shared" si="87"/>
        <v>Budget</v>
      </c>
    </row>
    <row r="2820" spans="2:11" x14ac:dyDescent="0.25">
      <c r="B2820" t="s">
        <v>361</v>
      </c>
      <c r="C2820">
        <v>2011</v>
      </c>
      <c r="D2820" s="1">
        <v>350000</v>
      </c>
      <c r="E2820">
        <v>110000</v>
      </c>
      <c r="F2820" t="s">
        <v>15</v>
      </c>
      <c r="G2820" t="s">
        <v>10</v>
      </c>
      <c r="H2820" t="s">
        <v>11</v>
      </c>
      <c r="I2820" t="s">
        <v>12</v>
      </c>
      <c r="J2820">
        <f t="shared" si="86"/>
        <v>15</v>
      </c>
      <c r="K2820" t="str">
        <f t="shared" si="87"/>
        <v>Budget</v>
      </c>
    </row>
    <row r="2821" spans="2:11" x14ac:dyDescent="0.25">
      <c r="B2821" t="s">
        <v>1332</v>
      </c>
      <c r="C2821">
        <v>2012</v>
      </c>
      <c r="D2821" s="1">
        <v>480000</v>
      </c>
      <c r="E2821">
        <v>63000</v>
      </c>
      <c r="F2821" t="s">
        <v>9</v>
      </c>
      <c r="G2821" t="s">
        <v>27</v>
      </c>
      <c r="H2821" t="s">
        <v>11</v>
      </c>
      <c r="I2821" t="s">
        <v>12</v>
      </c>
      <c r="J2821">
        <f t="shared" si="86"/>
        <v>14</v>
      </c>
      <c r="K2821" t="str">
        <f t="shared" si="87"/>
        <v>Budget</v>
      </c>
    </row>
    <row r="2822" spans="2:11" x14ac:dyDescent="0.25">
      <c r="B2822" t="s">
        <v>1227</v>
      </c>
      <c r="C2822">
        <v>2016</v>
      </c>
      <c r="D2822" s="1">
        <v>620000</v>
      </c>
      <c r="E2822">
        <v>60000</v>
      </c>
      <c r="F2822" t="s">
        <v>15</v>
      </c>
      <c r="G2822" t="s">
        <v>10</v>
      </c>
      <c r="H2822" t="s">
        <v>11</v>
      </c>
      <c r="I2822" t="s">
        <v>12</v>
      </c>
      <c r="J2822">
        <f t="shared" ref="J2822:J2885" si="88">2026 - C2822</f>
        <v>10</v>
      </c>
      <c r="K2822" t="str">
        <f t="shared" ref="K2822:K2885" si="89">IF(D2822&lt;500000,"Budget",IF(D2822&lt;=1000000,"Mid Range","Premium"))</f>
        <v>Mid Range</v>
      </c>
    </row>
    <row r="2823" spans="2:11" x14ac:dyDescent="0.25">
      <c r="B2823" t="s">
        <v>1309</v>
      </c>
      <c r="C2823">
        <v>2014</v>
      </c>
      <c r="D2823" s="1">
        <v>250000</v>
      </c>
      <c r="E2823">
        <v>58000</v>
      </c>
      <c r="F2823" t="s">
        <v>9</v>
      </c>
      <c r="G2823" t="s">
        <v>10</v>
      </c>
      <c r="H2823" t="s">
        <v>11</v>
      </c>
      <c r="I2823" t="s">
        <v>12</v>
      </c>
      <c r="J2823">
        <f t="shared" si="88"/>
        <v>12</v>
      </c>
      <c r="K2823" t="str">
        <f t="shared" si="89"/>
        <v>Budget</v>
      </c>
    </row>
    <row r="2824" spans="2:11" x14ac:dyDescent="0.25">
      <c r="B2824" t="s">
        <v>308</v>
      </c>
      <c r="C2824">
        <v>2010</v>
      </c>
      <c r="D2824" s="1">
        <v>78692</v>
      </c>
      <c r="E2824">
        <v>80000</v>
      </c>
      <c r="F2824" t="s">
        <v>9</v>
      </c>
      <c r="G2824" t="s">
        <v>10</v>
      </c>
      <c r="H2824" t="s">
        <v>11</v>
      </c>
      <c r="I2824" t="s">
        <v>18</v>
      </c>
      <c r="J2824">
        <f t="shared" si="88"/>
        <v>16</v>
      </c>
      <c r="K2824" t="str">
        <f t="shared" si="89"/>
        <v>Budget</v>
      </c>
    </row>
    <row r="2825" spans="2:11" x14ac:dyDescent="0.25">
      <c r="B2825" t="s">
        <v>1129</v>
      </c>
      <c r="C2825">
        <v>2012</v>
      </c>
      <c r="D2825" s="1">
        <v>350000</v>
      </c>
      <c r="E2825">
        <v>80000</v>
      </c>
      <c r="F2825" t="s">
        <v>15</v>
      </c>
      <c r="G2825" t="s">
        <v>10</v>
      </c>
      <c r="H2825" t="s">
        <v>11</v>
      </c>
      <c r="I2825" t="s">
        <v>12</v>
      </c>
      <c r="J2825">
        <f t="shared" si="88"/>
        <v>14</v>
      </c>
      <c r="K2825" t="str">
        <f t="shared" si="89"/>
        <v>Budget</v>
      </c>
    </row>
    <row r="2826" spans="2:11" x14ac:dyDescent="0.25">
      <c r="B2826" t="s">
        <v>462</v>
      </c>
      <c r="C2826">
        <v>2013</v>
      </c>
      <c r="D2826" s="1">
        <v>250000</v>
      </c>
      <c r="E2826">
        <v>70000</v>
      </c>
      <c r="F2826" t="s">
        <v>9</v>
      </c>
      <c r="G2826" t="s">
        <v>10</v>
      </c>
      <c r="H2826" t="s">
        <v>11</v>
      </c>
      <c r="I2826" t="s">
        <v>18</v>
      </c>
      <c r="J2826">
        <f t="shared" si="88"/>
        <v>13</v>
      </c>
      <c r="K2826" t="str">
        <f t="shared" si="89"/>
        <v>Budget</v>
      </c>
    </row>
    <row r="2827" spans="2:11" x14ac:dyDescent="0.25">
      <c r="B2827" t="s">
        <v>184</v>
      </c>
      <c r="C2827">
        <v>2011</v>
      </c>
      <c r="D2827" s="1">
        <v>260000</v>
      </c>
      <c r="E2827">
        <v>97700</v>
      </c>
      <c r="F2827" t="s">
        <v>9</v>
      </c>
      <c r="G2827" t="s">
        <v>10</v>
      </c>
      <c r="H2827" t="s">
        <v>11</v>
      </c>
      <c r="I2827" t="s">
        <v>46</v>
      </c>
      <c r="J2827">
        <f t="shared" si="88"/>
        <v>15</v>
      </c>
      <c r="K2827" t="str">
        <f t="shared" si="89"/>
        <v>Budget</v>
      </c>
    </row>
    <row r="2828" spans="2:11" x14ac:dyDescent="0.25">
      <c r="B2828" t="s">
        <v>840</v>
      </c>
      <c r="C2828">
        <v>2016</v>
      </c>
      <c r="D2828" s="1">
        <v>640000</v>
      </c>
      <c r="E2828">
        <v>36000</v>
      </c>
      <c r="F2828" t="s">
        <v>15</v>
      </c>
      <c r="G2828" t="s">
        <v>10</v>
      </c>
      <c r="H2828" t="s">
        <v>11</v>
      </c>
      <c r="I2828" t="s">
        <v>18</v>
      </c>
      <c r="J2828">
        <f t="shared" si="88"/>
        <v>10</v>
      </c>
      <c r="K2828" t="str">
        <f t="shared" si="89"/>
        <v>Mid Range</v>
      </c>
    </row>
    <row r="2829" spans="2:11" x14ac:dyDescent="0.25">
      <c r="B2829" t="s">
        <v>331</v>
      </c>
      <c r="C2829">
        <v>2008</v>
      </c>
      <c r="D2829" s="1">
        <v>220000</v>
      </c>
      <c r="E2829">
        <v>90000</v>
      </c>
      <c r="F2829" t="s">
        <v>15</v>
      </c>
      <c r="G2829" t="s">
        <v>10</v>
      </c>
      <c r="H2829" t="s">
        <v>11</v>
      </c>
      <c r="I2829" t="s">
        <v>18</v>
      </c>
      <c r="J2829">
        <f t="shared" si="88"/>
        <v>18</v>
      </c>
      <c r="K2829" t="str">
        <f t="shared" si="89"/>
        <v>Budget</v>
      </c>
    </row>
    <row r="2830" spans="2:11" x14ac:dyDescent="0.25">
      <c r="B2830" t="s">
        <v>733</v>
      </c>
      <c r="C2830">
        <v>2015</v>
      </c>
      <c r="D2830" s="1">
        <v>465000</v>
      </c>
      <c r="E2830">
        <v>130000</v>
      </c>
      <c r="F2830" t="s">
        <v>15</v>
      </c>
      <c r="G2830" t="s">
        <v>10</v>
      </c>
      <c r="H2830" t="s">
        <v>11</v>
      </c>
      <c r="I2830" t="s">
        <v>12</v>
      </c>
      <c r="J2830">
        <f t="shared" si="88"/>
        <v>11</v>
      </c>
      <c r="K2830" t="str">
        <f t="shared" si="89"/>
        <v>Budget</v>
      </c>
    </row>
    <row r="2831" spans="2:11" x14ac:dyDescent="0.25">
      <c r="B2831" t="s">
        <v>122</v>
      </c>
      <c r="C2831">
        <v>2010</v>
      </c>
      <c r="D2831" s="1">
        <v>229999</v>
      </c>
      <c r="E2831">
        <v>120000</v>
      </c>
      <c r="F2831" t="s">
        <v>15</v>
      </c>
      <c r="G2831" t="s">
        <v>10</v>
      </c>
      <c r="H2831" t="s">
        <v>11</v>
      </c>
      <c r="I2831" t="s">
        <v>18</v>
      </c>
      <c r="J2831">
        <f t="shared" si="88"/>
        <v>16</v>
      </c>
      <c r="K2831" t="str">
        <f t="shared" si="89"/>
        <v>Budget</v>
      </c>
    </row>
    <row r="2832" spans="2:11" x14ac:dyDescent="0.25">
      <c r="B2832" t="s">
        <v>54</v>
      </c>
      <c r="C2832">
        <v>2018</v>
      </c>
      <c r="D2832" s="1">
        <v>425000</v>
      </c>
      <c r="E2832">
        <v>15000</v>
      </c>
      <c r="F2832" t="s">
        <v>9</v>
      </c>
      <c r="G2832" t="s">
        <v>10</v>
      </c>
      <c r="H2832" t="s">
        <v>11</v>
      </c>
      <c r="I2832" t="s">
        <v>12</v>
      </c>
      <c r="J2832">
        <f t="shared" si="88"/>
        <v>8</v>
      </c>
      <c r="K2832" t="str">
        <f t="shared" si="89"/>
        <v>Budget</v>
      </c>
    </row>
    <row r="2833" spans="2:11" x14ac:dyDescent="0.25">
      <c r="B2833" t="s">
        <v>504</v>
      </c>
      <c r="C2833">
        <v>2008</v>
      </c>
      <c r="D2833" s="1">
        <v>95000</v>
      </c>
      <c r="E2833">
        <v>120000</v>
      </c>
      <c r="F2833" t="s">
        <v>9</v>
      </c>
      <c r="G2833" t="s">
        <v>10</v>
      </c>
      <c r="H2833" t="s">
        <v>11</v>
      </c>
      <c r="I2833" t="s">
        <v>49</v>
      </c>
      <c r="J2833">
        <f t="shared" si="88"/>
        <v>18</v>
      </c>
      <c r="K2833" t="str">
        <f t="shared" si="89"/>
        <v>Budget</v>
      </c>
    </row>
    <row r="2834" spans="2:11" x14ac:dyDescent="0.25">
      <c r="B2834" t="s">
        <v>373</v>
      </c>
      <c r="C2834">
        <v>2012</v>
      </c>
      <c r="D2834" s="1">
        <v>170000</v>
      </c>
      <c r="E2834">
        <v>170000</v>
      </c>
      <c r="F2834" t="s">
        <v>152</v>
      </c>
      <c r="G2834" t="s">
        <v>10</v>
      </c>
      <c r="H2834" t="s">
        <v>11</v>
      </c>
      <c r="I2834" t="s">
        <v>49</v>
      </c>
      <c r="J2834">
        <f t="shared" si="88"/>
        <v>14</v>
      </c>
      <c r="K2834" t="str">
        <f t="shared" si="89"/>
        <v>Budget</v>
      </c>
    </row>
    <row r="2835" spans="2:11" x14ac:dyDescent="0.25">
      <c r="B2835" t="s">
        <v>16</v>
      </c>
      <c r="C2835">
        <v>2016</v>
      </c>
      <c r="D2835" s="1">
        <v>229999</v>
      </c>
      <c r="E2835">
        <v>37500</v>
      </c>
      <c r="F2835" t="s">
        <v>9</v>
      </c>
      <c r="G2835" t="s">
        <v>10</v>
      </c>
      <c r="H2835" t="s">
        <v>11</v>
      </c>
      <c r="I2835" t="s">
        <v>18</v>
      </c>
      <c r="J2835">
        <f t="shared" si="88"/>
        <v>10</v>
      </c>
      <c r="K2835" t="str">
        <f t="shared" si="89"/>
        <v>Budget</v>
      </c>
    </row>
    <row r="2836" spans="2:11" x14ac:dyDescent="0.25">
      <c r="B2836" t="s">
        <v>134</v>
      </c>
      <c r="C2836">
        <v>1999</v>
      </c>
      <c r="D2836" s="1">
        <v>45000</v>
      </c>
      <c r="E2836">
        <v>50000</v>
      </c>
      <c r="F2836" t="s">
        <v>9</v>
      </c>
      <c r="G2836" t="s">
        <v>10</v>
      </c>
      <c r="H2836" t="s">
        <v>11</v>
      </c>
      <c r="I2836" t="s">
        <v>49</v>
      </c>
      <c r="J2836">
        <f t="shared" si="88"/>
        <v>27</v>
      </c>
      <c r="K2836" t="str">
        <f t="shared" si="89"/>
        <v>Budget</v>
      </c>
    </row>
    <row r="2837" spans="2:11" x14ac:dyDescent="0.25">
      <c r="B2837" t="s">
        <v>1333</v>
      </c>
      <c r="C2837">
        <v>2007</v>
      </c>
      <c r="D2837" s="1">
        <v>479000</v>
      </c>
      <c r="E2837">
        <v>145000</v>
      </c>
      <c r="F2837" t="s">
        <v>9</v>
      </c>
      <c r="G2837" t="s">
        <v>10</v>
      </c>
      <c r="H2837" t="s">
        <v>11</v>
      </c>
      <c r="I2837" t="s">
        <v>49</v>
      </c>
      <c r="J2837">
        <f t="shared" si="88"/>
        <v>19</v>
      </c>
      <c r="K2837" t="str">
        <f t="shared" si="89"/>
        <v>Budget</v>
      </c>
    </row>
    <row r="2838" spans="2:11" x14ac:dyDescent="0.25">
      <c r="B2838" t="s">
        <v>1131</v>
      </c>
      <c r="C2838">
        <v>2016</v>
      </c>
      <c r="D2838" s="1">
        <v>340000</v>
      </c>
      <c r="E2838">
        <v>30000</v>
      </c>
      <c r="F2838" t="s">
        <v>9</v>
      </c>
      <c r="G2838" t="s">
        <v>10</v>
      </c>
      <c r="H2838" t="s">
        <v>11</v>
      </c>
      <c r="I2838" t="s">
        <v>12</v>
      </c>
      <c r="J2838">
        <f t="shared" si="88"/>
        <v>10</v>
      </c>
      <c r="K2838" t="str">
        <f t="shared" si="89"/>
        <v>Budget</v>
      </c>
    </row>
    <row r="2839" spans="2:11" x14ac:dyDescent="0.25">
      <c r="B2839" t="s">
        <v>976</v>
      </c>
      <c r="C2839">
        <v>2016</v>
      </c>
      <c r="D2839" s="1">
        <v>620000</v>
      </c>
      <c r="E2839">
        <v>35000</v>
      </c>
      <c r="F2839" t="s">
        <v>9</v>
      </c>
      <c r="G2839" t="s">
        <v>10</v>
      </c>
      <c r="H2839" t="s">
        <v>11</v>
      </c>
      <c r="I2839" t="s">
        <v>12</v>
      </c>
      <c r="J2839">
        <f t="shared" si="88"/>
        <v>10</v>
      </c>
      <c r="K2839" t="str">
        <f t="shared" si="89"/>
        <v>Mid Range</v>
      </c>
    </row>
    <row r="2840" spans="2:11" x14ac:dyDescent="0.25">
      <c r="B2840" t="s">
        <v>1334</v>
      </c>
      <c r="C2840">
        <v>2012</v>
      </c>
      <c r="D2840" s="1">
        <v>270000</v>
      </c>
      <c r="E2840">
        <v>60000</v>
      </c>
      <c r="F2840" t="s">
        <v>15</v>
      </c>
      <c r="G2840" t="s">
        <v>10</v>
      </c>
      <c r="H2840" t="s">
        <v>11</v>
      </c>
      <c r="I2840" t="s">
        <v>12</v>
      </c>
      <c r="J2840">
        <f t="shared" si="88"/>
        <v>14</v>
      </c>
      <c r="K2840" t="str">
        <f t="shared" si="89"/>
        <v>Budget</v>
      </c>
    </row>
    <row r="2841" spans="2:11" x14ac:dyDescent="0.25">
      <c r="B2841" t="s">
        <v>1335</v>
      </c>
      <c r="C2841">
        <v>2018</v>
      </c>
      <c r="D2841" s="1">
        <v>400000</v>
      </c>
      <c r="E2841">
        <v>35000</v>
      </c>
      <c r="F2841" t="s">
        <v>15</v>
      </c>
      <c r="G2841" t="s">
        <v>10</v>
      </c>
      <c r="H2841" t="s">
        <v>11</v>
      </c>
      <c r="I2841" t="s">
        <v>12</v>
      </c>
      <c r="J2841">
        <f t="shared" si="88"/>
        <v>8</v>
      </c>
      <c r="K2841" t="str">
        <f t="shared" si="89"/>
        <v>Budget</v>
      </c>
    </row>
    <row r="2842" spans="2:11" x14ac:dyDescent="0.25">
      <c r="B2842" t="s">
        <v>744</v>
      </c>
      <c r="C2842">
        <v>2015</v>
      </c>
      <c r="D2842" s="1">
        <v>260000</v>
      </c>
      <c r="E2842">
        <v>40000</v>
      </c>
      <c r="F2842" t="s">
        <v>9</v>
      </c>
      <c r="G2842" t="s">
        <v>10</v>
      </c>
      <c r="H2842" t="s">
        <v>11</v>
      </c>
      <c r="I2842" t="s">
        <v>12</v>
      </c>
      <c r="J2842">
        <f t="shared" si="88"/>
        <v>11</v>
      </c>
      <c r="K2842" t="str">
        <f t="shared" si="89"/>
        <v>Budget</v>
      </c>
    </row>
    <row r="2843" spans="2:11" x14ac:dyDescent="0.25">
      <c r="B2843" t="s">
        <v>609</v>
      </c>
      <c r="C2843">
        <v>2003</v>
      </c>
      <c r="D2843" s="1">
        <v>48000</v>
      </c>
      <c r="E2843">
        <v>50000</v>
      </c>
      <c r="F2843" t="s">
        <v>9</v>
      </c>
      <c r="G2843" t="s">
        <v>10</v>
      </c>
      <c r="H2843" t="s">
        <v>11</v>
      </c>
      <c r="I2843" t="s">
        <v>46</v>
      </c>
      <c r="J2843">
        <f t="shared" si="88"/>
        <v>23</v>
      </c>
      <c r="K2843" t="str">
        <f t="shared" si="89"/>
        <v>Budget</v>
      </c>
    </row>
    <row r="2844" spans="2:11" x14ac:dyDescent="0.25">
      <c r="B2844" t="s">
        <v>1290</v>
      </c>
      <c r="C2844">
        <v>2015</v>
      </c>
      <c r="D2844" s="1">
        <v>100000</v>
      </c>
      <c r="E2844">
        <v>23800</v>
      </c>
      <c r="F2844" t="s">
        <v>9</v>
      </c>
      <c r="G2844" t="s">
        <v>10</v>
      </c>
      <c r="H2844" t="s">
        <v>11</v>
      </c>
      <c r="I2844" t="s">
        <v>18</v>
      </c>
      <c r="J2844">
        <f t="shared" si="88"/>
        <v>11</v>
      </c>
      <c r="K2844" t="str">
        <f t="shared" si="89"/>
        <v>Budget</v>
      </c>
    </row>
    <row r="2845" spans="2:11" x14ac:dyDescent="0.25">
      <c r="B2845" t="s">
        <v>623</v>
      </c>
      <c r="C2845">
        <v>2015</v>
      </c>
      <c r="D2845" s="1">
        <v>490000</v>
      </c>
      <c r="E2845">
        <v>70000</v>
      </c>
      <c r="F2845" t="s">
        <v>15</v>
      </c>
      <c r="G2845" t="s">
        <v>10</v>
      </c>
      <c r="H2845" t="s">
        <v>11</v>
      </c>
      <c r="I2845" t="s">
        <v>12</v>
      </c>
      <c r="J2845">
        <f t="shared" si="88"/>
        <v>11</v>
      </c>
      <c r="K2845" t="str">
        <f t="shared" si="89"/>
        <v>Budget</v>
      </c>
    </row>
    <row r="2846" spans="2:11" x14ac:dyDescent="0.25">
      <c r="B2846" t="s">
        <v>1088</v>
      </c>
      <c r="C2846">
        <v>2010</v>
      </c>
      <c r="D2846" s="1">
        <v>120000</v>
      </c>
      <c r="E2846">
        <v>90000</v>
      </c>
      <c r="F2846" t="s">
        <v>152</v>
      </c>
      <c r="G2846" t="s">
        <v>10</v>
      </c>
      <c r="H2846" t="s">
        <v>11</v>
      </c>
      <c r="I2846" t="s">
        <v>18</v>
      </c>
      <c r="J2846">
        <f t="shared" si="88"/>
        <v>16</v>
      </c>
      <c r="K2846" t="str">
        <f t="shared" si="89"/>
        <v>Budget</v>
      </c>
    </row>
    <row r="2847" spans="2:11" x14ac:dyDescent="0.25">
      <c r="B2847" t="s">
        <v>212</v>
      </c>
      <c r="C2847">
        <v>2008</v>
      </c>
      <c r="D2847" s="1">
        <v>125000</v>
      </c>
      <c r="E2847">
        <v>102000</v>
      </c>
      <c r="F2847" t="s">
        <v>9</v>
      </c>
      <c r="G2847" t="s">
        <v>10</v>
      </c>
      <c r="H2847" t="s">
        <v>11</v>
      </c>
      <c r="I2847" t="s">
        <v>18</v>
      </c>
      <c r="J2847">
        <f t="shared" si="88"/>
        <v>18</v>
      </c>
      <c r="K2847" t="str">
        <f t="shared" si="89"/>
        <v>Budget</v>
      </c>
    </row>
    <row r="2848" spans="2:11" x14ac:dyDescent="0.25">
      <c r="B2848" t="s">
        <v>249</v>
      </c>
      <c r="C2848">
        <v>2019</v>
      </c>
      <c r="D2848" s="1">
        <v>190000</v>
      </c>
      <c r="E2848">
        <v>5000</v>
      </c>
      <c r="F2848" t="s">
        <v>9</v>
      </c>
      <c r="G2848" t="s">
        <v>10</v>
      </c>
      <c r="H2848" t="s">
        <v>11</v>
      </c>
      <c r="I2848" t="s">
        <v>12</v>
      </c>
      <c r="J2848">
        <f t="shared" si="88"/>
        <v>7</v>
      </c>
      <c r="K2848" t="str">
        <f t="shared" si="89"/>
        <v>Budget</v>
      </c>
    </row>
    <row r="2849" spans="2:11" x14ac:dyDescent="0.25">
      <c r="B2849" t="s">
        <v>1336</v>
      </c>
      <c r="C2849">
        <v>2011</v>
      </c>
      <c r="D2849" s="1">
        <v>500000</v>
      </c>
      <c r="E2849">
        <v>20000</v>
      </c>
      <c r="F2849" t="s">
        <v>9</v>
      </c>
      <c r="G2849" t="s">
        <v>10</v>
      </c>
      <c r="H2849" t="s">
        <v>11</v>
      </c>
      <c r="I2849" t="s">
        <v>12</v>
      </c>
      <c r="J2849">
        <f t="shared" si="88"/>
        <v>15</v>
      </c>
      <c r="K2849" t="str">
        <f t="shared" si="89"/>
        <v>Mid Range</v>
      </c>
    </row>
    <row r="2850" spans="2:11" x14ac:dyDescent="0.25">
      <c r="B2850" t="s">
        <v>425</v>
      </c>
      <c r="C2850">
        <v>2014</v>
      </c>
      <c r="D2850" s="1">
        <v>1800000</v>
      </c>
      <c r="E2850">
        <v>99000</v>
      </c>
      <c r="F2850" t="s">
        <v>15</v>
      </c>
      <c r="G2850" t="s">
        <v>10</v>
      </c>
      <c r="H2850" t="s">
        <v>28</v>
      </c>
      <c r="I2850" t="s">
        <v>12</v>
      </c>
      <c r="J2850">
        <f t="shared" si="88"/>
        <v>12</v>
      </c>
      <c r="K2850" t="str">
        <f t="shared" si="89"/>
        <v>Premium</v>
      </c>
    </row>
    <row r="2851" spans="2:11" x14ac:dyDescent="0.25">
      <c r="B2851" t="s">
        <v>1337</v>
      </c>
      <c r="C2851">
        <v>2008</v>
      </c>
      <c r="D2851" s="1">
        <v>320000</v>
      </c>
      <c r="E2851">
        <v>90000</v>
      </c>
      <c r="F2851" t="s">
        <v>9</v>
      </c>
      <c r="G2851" t="s">
        <v>10</v>
      </c>
      <c r="H2851" t="s">
        <v>11</v>
      </c>
      <c r="I2851" t="s">
        <v>12</v>
      </c>
      <c r="J2851">
        <f t="shared" si="88"/>
        <v>18</v>
      </c>
      <c r="K2851" t="str">
        <f t="shared" si="89"/>
        <v>Budget</v>
      </c>
    </row>
    <row r="2852" spans="2:11" x14ac:dyDescent="0.25">
      <c r="B2852" t="s">
        <v>867</v>
      </c>
      <c r="C2852">
        <v>2007</v>
      </c>
      <c r="D2852" s="1">
        <v>250000</v>
      </c>
      <c r="E2852">
        <v>47000</v>
      </c>
      <c r="F2852" t="s">
        <v>9</v>
      </c>
      <c r="G2852" t="s">
        <v>27</v>
      </c>
      <c r="H2852" t="s">
        <v>28</v>
      </c>
      <c r="I2852" t="s">
        <v>12</v>
      </c>
      <c r="J2852">
        <f t="shared" si="88"/>
        <v>19</v>
      </c>
      <c r="K2852" t="str">
        <f t="shared" si="89"/>
        <v>Budget</v>
      </c>
    </row>
    <row r="2853" spans="2:11" x14ac:dyDescent="0.25">
      <c r="B2853" t="s">
        <v>180</v>
      </c>
      <c r="C2853">
        <v>2010</v>
      </c>
      <c r="D2853" s="1">
        <v>105000</v>
      </c>
      <c r="E2853">
        <v>90000</v>
      </c>
      <c r="F2853" t="s">
        <v>15</v>
      </c>
      <c r="G2853" t="s">
        <v>10</v>
      </c>
      <c r="H2853" t="s">
        <v>11</v>
      </c>
      <c r="I2853" t="s">
        <v>49</v>
      </c>
      <c r="J2853">
        <f t="shared" si="88"/>
        <v>16</v>
      </c>
      <c r="K2853" t="str">
        <f t="shared" si="89"/>
        <v>Budget</v>
      </c>
    </row>
    <row r="2854" spans="2:11" x14ac:dyDescent="0.25">
      <c r="B2854" t="s">
        <v>208</v>
      </c>
      <c r="C2854">
        <v>2018</v>
      </c>
      <c r="D2854" s="1">
        <v>550000</v>
      </c>
      <c r="E2854">
        <v>20000</v>
      </c>
      <c r="F2854" t="s">
        <v>9</v>
      </c>
      <c r="G2854" t="s">
        <v>10</v>
      </c>
      <c r="H2854" t="s">
        <v>11</v>
      </c>
      <c r="I2854" t="s">
        <v>12</v>
      </c>
      <c r="J2854">
        <f t="shared" si="88"/>
        <v>8</v>
      </c>
      <c r="K2854" t="str">
        <f t="shared" si="89"/>
        <v>Mid Range</v>
      </c>
    </row>
    <row r="2855" spans="2:11" x14ac:dyDescent="0.25">
      <c r="B2855" t="s">
        <v>1338</v>
      </c>
      <c r="C2855">
        <v>2019</v>
      </c>
      <c r="D2855" s="1">
        <v>600000</v>
      </c>
      <c r="E2855">
        <v>1100</v>
      </c>
      <c r="F2855" t="s">
        <v>9</v>
      </c>
      <c r="G2855" t="s">
        <v>10</v>
      </c>
      <c r="H2855" t="s">
        <v>28</v>
      </c>
      <c r="I2855" t="s">
        <v>12</v>
      </c>
      <c r="J2855">
        <f t="shared" si="88"/>
        <v>7</v>
      </c>
      <c r="K2855" t="str">
        <f t="shared" si="89"/>
        <v>Mid Range</v>
      </c>
    </row>
    <row r="2856" spans="2:11" x14ac:dyDescent="0.25">
      <c r="B2856" t="s">
        <v>241</v>
      </c>
      <c r="C2856">
        <v>2020</v>
      </c>
      <c r="D2856" s="1">
        <v>210000</v>
      </c>
      <c r="E2856">
        <v>40000</v>
      </c>
      <c r="F2856" t="s">
        <v>9</v>
      </c>
      <c r="G2856" t="s">
        <v>10</v>
      </c>
      <c r="H2856" t="s">
        <v>11</v>
      </c>
      <c r="I2856" t="s">
        <v>12</v>
      </c>
      <c r="J2856">
        <f t="shared" si="88"/>
        <v>6</v>
      </c>
      <c r="K2856" t="str">
        <f t="shared" si="89"/>
        <v>Budget</v>
      </c>
    </row>
    <row r="2857" spans="2:11" x14ac:dyDescent="0.25">
      <c r="B2857" t="s">
        <v>626</v>
      </c>
      <c r="C2857">
        <v>2012</v>
      </c>
      <c r="D2857" s="1">
        <v>210000</v>
      </c>
      <c r="E2857">
        <v>15000</v>
      </c>
      <c r="F2857" t="s">
        <v>9</v>
      </c>
      <c r="G2857" t="s">
        <v>10</v>
      </c>
      <c r="H2857" t="s">
        <v>11</v>
      </c>
      <c r="I2857" t="s">
        <v>12</v>
      </c>
      <c r="J2857">
        <f t="shared" si="88"/>
        <v>14</v>
      </c>
      <c r="K2857" t="str">
        <f t="shared" si="89"/>
        <v>Budget</v>
      </c>
    </row>
    <row r="2858" spans="2:11" x14ac:dyDescent="0.25">
      <c r="B2858" t="s">
        <v>58</v>
      </c>
      <c r="C2858">
        <v>2009</v>
      </c>
      <c r="D2858" s="1">
        <v>150000</v>
      </c>
      <c r="E2858">
        <v>40000</v>
      </c>
      <c r="F2858" t="s">
        <v>9</v>
      </c>
      <c r="G2858" t="s">
        <v>10</v>
      </c>
      <c r="H2858" t="s">
        <v>11</v>
      </c>
      <c r="I2858" t="s">
        <v>12</v>
      </c>
      <c r="J2858">
        <f t="shared" si="88"/>
        <v>17</v>
      </c>
      <c r="K2858" t="str">
        <f t="shared" si="89"/>
        <v>Budget</v>
      </c>
    </row>
    <row r="2859" spans="2:11" x14ac:dyDescent="0.25">
      <c r="B2859" t="s">
        <v>365</v>
      </c>
      <c r="C2859">
        <v>2008</v>
      </c>
      <c r="D2859" s="1">
        <v>125000</v>
      </c>
      <c r="E2859">
        <v>60000</v>
      </c>
      <c r="F2859" t="s">
        <v>9</v>
      </c>
      <c r="G2859" t="s">
        <v>10</v>
      </c>
      <c r="H2859" t="s">
        <v>11</v>
      </c>
      <c r="I2859" t="s">
        <v>12</v>
      </c>
      <c r="J2859">
        <f t="shared" si="88"/>
        <v>18</v>
      </c>
      <c r="K2859" t="str">
        <f t="shared" si="89"/>
        <v>Budget</v>
      </c>
    </row>
    <row r="2860" spans="2:11" x14ac:dyDescent="0.25">
      <c r="B2860" t="s">
        <v>1090</v>
      </c>
      <c r="C2860">
        <v>2016</v>
      </c>
      <c r="D2860" s="1">
        <v>380000</v>
      </c>
      <c r="E2860">
        <v>20000</v>
      </c>
      <c r="F2860" t="s">
        <v>9</v>
      </c>
      <c r="G2860" t="s">
        <v>10</v>
      </c>
      <c r="H2860" t="s">
        <v>11</v>
      </c>
      <c r="I2860" t="s">
        <v>12</v>
      </c>
      <c r="J2860">
        <f t="shared" si="88"/>
        <v>10</v>
      </c>
      <c r="K2860" t="str">
        <f t="shared" si="89"/>
        <v>Budget</v>
      </c>
    </row>
    <row r="2861" spans="2:11" x14ac:dyDescent="0.25">
      <c r="B2861" t="s">
        <v>121</v>
      </c>
      <c r="C2861">
        <v>2019</v>
      </c>
      <c r="D2861" s="1">
        <v>600000</v>
      </c>
      <c r="E2861">
        <v>5000</v>
      </c>
      <c r="F2861" t="s">
        <v>9</v>
      </c>
      <c r="G2861" t="s">
        <v>10</v>
      </c>
      <c r="H2861" t="s">
        <v>11</v>
      </c>
      <c r="I2861" t="s">
        <v>12</v>
      </c>
      <c r="J2861">
        <f t="shared" si="88"/>
        <v>7</v>
      </c>
      <c r="K2861" t="str">
        <f t="shared" si="89"/>
        <v>Mid Range</v>
      </c>
    </row>
    <row r="2862" spans="2:11" x14ac:dyDescent="0.25">
      <c r="B2862" t="s">
        <v>688</v>
      </c>
      <c r="C2862">
        <v>2016</v>
      </c>
      <c r="D2862" s="1">
        <v>490000</v>
      </c>
      <c r="E2862">
        <v>27000</v>
      </c>
      <c r="F2862" t="s">
        <v>9</v>
      </c>
      <c r="G2862" t="s">
        <v>10</v>
      </c>
      <c r="H2862" t="s">
        <v>11</v>
      </c>
      <c r="I2862" t="s">
        <v>12</v>
      </c>
      <c r="J2862">
        <f t="shared" si="88"/>
        <v>10</v>
      </c>
      <c r="K2862" t="str">
        <f t="shared" si="89"/>
        <v>Budget</v>
      </c>
    </row>
    <row r="2863" spans="2:11" x14ac:dyDescent="0.25">
      <c r="B2863" t="s">
        <v>514</v>
      </c>
      <c r="C2863">
        <v>2018</v>
      </c>
      <c r="D2863" s="1">
        <v>545000</v>
      </c>
      <c r="E2863">
        <v>38000</v>
      </c>
      <c r="F2863" t="s">
        <v>15</v>
      </c>
      <c r="G2863" t="s">
        <v>10</v>
      </c>
      <c r="H2863" t="s">
        <v>11</v>
      </c>
      <c r="I2863" t="s">
        <v>18</v>
      </c>
      <c r="J2863">
        <f t="shared" si="88"/>
        <v>8</v>
      </c>
      <c r="K2863" t="str">
        <f t="shared" si="89"/>
        <v>Mid Range</v>
      </c>
    </row>
    <row r="2864" spans="2:11" x14ac:dyDescent="0.25">
      <c r="B2864" t="s">
        <v>54</v>
      </c>
      <c r="C2864">
        <v>2015</v>
      </c>
      <c r="D2864" s="1">
        <v>250000</v>
      </c>
      <c r="E2864">
        <v>25000</v>
      </c>
      <c r="F2864" t="s">
        <v>9</v>
      </c>
      <c r="G2864" t="s">
        <v>10</v>
      </c>
      <c r="H2864" t="s">
        <v>11</v>
      </c>
      <c r="I2864" t="s">
        <v>12</v>
      </c>
      <c r="J2864">
        <f t="shared" si="88"/>
        <v>11</v>
      </c>
      <c r="K2864" t="str">
        <f t="shared" si="89"/>
        <v>Budget</v>
      </c>
    </row>
    <row r="2865" spans="2:11" x14ac:dyDescent="0.25">
      <c r="B2865" t="s">
        <v>1339</v>
      </c>
      <c r="C2865">
        <v>2020</v>
      </c>
      <c r="D2865" s="1">
        <v>1050000</v>
      </c>
      <c r="E2865">
        <v>1100</v>
      </c>
      <c r="F2865" t="s">
        <v>9</v>
      </c>
      <c r="G2865" t="s">
        <v>10</v>
      </c>
      <c r="H2865" t="s">
        <v>11</v>
      </c>
      <c r="I2865" t="s">
        <v>12</v>
      </c>
      <c r="J2865">
        <f t="shared" si="88"/>
        <v>6</v>
      </c>
      <c r="K2865" t="str">
        <f t="shared" si="89"/>
        <v>Premium</v>
      </c>
    </row>
    <row r="2866" spans="2:11" x14ac:dyDescent="0.25">
      <c r="B2866" t="s">
        <v>462</v>
      </c>
      <c r="C2866">
        <v>2007</v>
      </c>
      <c r="D2866" s="1">
        <v>100000</v>
      </c>
      <c r="E2866">
        <v>100000</v>
      </c>
      <c r="F2866" t="s">
        <v>9</v>
      </c>
      <c r="G2866" t="s">
        <v>10</v>
      </c>
      <c r="H2866" t="s">
        <v>11</v>
      </c>
      <c r="I2866" t="s">
        <v>12</v>
      </c>
      <c r="J2866">
        <f t="shared" si="88"/>
        <v>19</v>
      </c>
      <c r="K2866" t="str">
        <f t="shared" si="89"/>
        <v>Budget</v>
      </c>
    </row>
    <row r="2867" spans="2:11" x14ac:dyDescent="0.25">
      <c r="B2867" t="s">
        <v>367</v>
      </c>
      <c r="C2867">
        <v>2014</v>
      </c>
      <c r="D2867" s="1">
        <v>250000</v>
      </c>
      <c r="E2867">
        <v>100000</v>
      </c>
      <c r="F2867" t="s">
        <v>15</v>
      </c>
      <c r="G2867" t="s">
        <v>10</v>
      </c>
      <c r="H2867" t="s">
        <v>11</v>
      </c>
      <c r="I2867" t="s">
        <v>18</v>
      </c>
      <c r="J2867">
        <f t="shared" si="88"/>
        <v>12</v>
      </c>
      <c r="K2867" t="str">
        <f t="shared" si="89"/>
        <v>Budget</v>
      </c>
    </row>
    <row r="2868" spans="2:11" x14ac:dyDescent="0.25">
      <c r="B2868" t="s">
        <v>807</v>
      </c>
      <c r="C2868">
        <v>2007</v>
      </c>
      <c r="D2868" s="1">
        <v>100000</v>
      </c>
      <c r="E2868">
        <v>110000</v>
      </c>
      <c r="F2868" t="s">
        <v>9</v>
      </c>
      <c r="G2868" t="s">
        <v>10</v>
      </c>
      <c r="H2868" t="s">
        <v>11</v>
      </c>
      <c r="I2868" t="s">
        <v>12</v>
      </c>
      <c r="J2868">
        <f t="shared" si="88"/>
        <v>19</v>
      </c>
      <c r="K2868" t="str">
        <f t="shared" si="89"/>
        <v>Budget</v>
      </c>
    </row>
    <row r="2869" spans="2:11" x14ac:dyDescent="0.25">
      <c r="B2869" t="s">
        <v>1340</v>
      </c>
      <c r="C2869">
        <v>2016</v>
      </c>
      <c r="D2869" s="1">
        <v>350000</v>
      </c>
      <c r="E2869">
        <v>60000</v>
      </c>
      <c r="F2869" t="s">
        <v>15</v>
      </c>
      <c r="G2869" t="s">
        <v>10</v>
      </c>
      <c r="H2869" t="s">
        <v>11</v>
      </c>
      <c r="I2869" t="s">
        <v>18</v>
      </c>
      <c r="J2869">
        <f t="shared" si="88"/>
        <v>10</v>
      </c>
      <c r="K2869" t="str">
        <f t="shared" si="89"/>
        <v>Budget</v>
      </c>
    </row>
    <row r="2870" spans="2:11" x14ac:dyDescent="0.25">
      <c r="B2870" t="s">
        <v>1341</v>
      </c>
      <c r="C2870">
        <v>2012</v>
      </c>
      <c r="D2870" s="1">
        <v>370000</v>
      </c>
      <c r="E2870">
        <v>70000</v>
      </c>
      <c r="F2870" t="s">
        <v>15</v>
      </c>
      <c r="G2870" t="s">
        <v>10</v>
      </c>
      <c r="H2870" t="s">
        <v>11</v>
      </c>
      <c r="I2870" t="s">
        <v>18</v>
      </c>
      <c r="J2870">
        <f t="shared" si="88"/>
        <v>14</v>
      </c>
      <c r="K2870" t="str">
        <f t="shared" si="89"/>
        <v>Budget</v>
      </c>
    </row>
    <row r="2871" spans="2:11" x14ac:dyDescent="0.25">
      <c r="B2871" t="s">
        <v>1123</v>
      </c>
      <c r="C2871">
        <v>2004</v>
      </c>
      <c r="D2871" s="1">
        <v>121000</v>
      </c>
      <c r="E2871">
        <v>110000</v>
      </c>
      <c r="F2871" t="s">
        <v>9</v>
      </c>
      <c r="G2871" t="s">
        <v>10</v>
      </c>
      <c r="H2871" t="s">
        <v>11</v>
      </c>
      <c r="I2871" t="s">
        <v>18</v>
      </c>
      <c r="J2871">
        <f t="shared" si="88"/>
        <v>22</v>
      </c>
      <c r="K2871" t="str">
        <f t="shared" si="89"/>
        <v>Budget</v>
      </c>
    </row>
    <row r="2872" spans="2:11" x14ac:dyDescent="0.25">
      <c r="B2872" t="s">
        <v>1342</v>
      </c>
      <c r="C2872">
        <v>2017</v>
      </c>
      <c r="D2872" s="1">
        <v>570000</v>
      </c>
      <c r="E2872">
        <v>44077</v>
      </c>
      <c r="F2872" t="s">
        <v>9</v>
      </c>
      <c r="G2872" t="s">
        <v>27</v>
      </c>
      <c r="H2872" t="s">
        <v>28</v>
      </c>
      <c r="I2872" t="s">
        <v>12</v>
      </c>
      <c r="J2872">
        <f t="shared" si="88"/>
        <v>9</v>
      </c>
      <c r="K2872" t="str">
        <f t="shared" si="89"/>
        <v>Mid Range</v>
      </c>
    </row>
    <row r="2873" spans="2:11" x14ac:dyDescent="0.25">
      <c r="B2873" t="s">
        <v>125</v>
      </c>
      <c r="C2873">
        <v>2017</v>
      </c>
      <c r="D2873" s="1">
        <v>785000</v>
      </c>
      <c r="E2873">
        <v>24000</v>
      </c>
      <c r="F2873" t="s">
        <v>15</v>
      </c>
      <c r="G2873" t="s">
        <v>10</v>
      </c>
      <c r="H2873" t="s">
        <v>11</v>
      </c>
      <c r="I2873" t="s">
        <v>12</v>
      </c>
      <c r="J2873">
        <f t="shared" si="88"/>
        <v>9</v>
      </c>
      <c r="K2873" t="str">
        <f t="shared" si="89"/>
        <v>Mid Range</v>
      </c>
    </row>
    <row r="2874" spans="2:11" x14ac:dyDescent="0.25">
      <c r="B2874" t="s">
        <v>1343</v>
      </c>
      <c r="C2874">
        <v>2018</v>
      </c>
      <c r="D2874" s="1">
        <v>850000</v>
      </c>
      <c r="E2874">
        <v>30000</v>
      </c>
      <c r="F2874" t="s">
        <v>15</v>
      </c>
      <c r="G2874" t="s">
        <v>10</v>
      </c>
      <c r="H2874" t="s">
        <v>11</v>
      </c>
      <c r="I2874" t="s">
        <v>12</v>
      </c>
      <c r="J2874">
        <f t="shared" si="88"/>
        <v>8</v>
      </c>
      <c r="K2874" t="str">
        <f t="shared" si="89"/>
        <v>Mid Range</v>
      </c>
    </row>
    <row r="2875" spans="2:11" x14ac:dyDescent="0.25">
      <c r="B2875" t="s">
        <v>54</v>
      </c>
      <c r="C2875">
        <v>2016</v>
      </c>
      <c r="D2875" s="1">
        <v>375000</v>
      </c>
      <c r="E2875">
        <v>30000</v>
      </c>
      <c r="F2875" t="s">
        <v>9</v>
      </c>
      <c r="G2875" t="s">
        <v>10</v>
      </c>
      <c r="H2875" t="s">
        <v>11</v>
      </c>
      <c r="I2875" t="s">
        <v>18</v>
      </c>
      <c r="J2875">
        <f t="shared" si="88"/>
        <v>10</v>
      </c>
      <c r="K2875" t="str">
        <f t="shared" si="89"/>
        <v>Budget</v>
      </c>
    </row>
    <row r="2876" spans="2:11" x14ac:dyDescent="0.25">
      <c r="B2876" t="s">
        <v>225</v>
      </c>
      <c r="C2876">
        <v>2017</v>
      </c>
      <c r="D2876" s="1">
        <v>619000</v>
      </c>
      <c r="E2876">
        <v>40000</v>
      </c>
      <c r="F2876" t="s">
        <v>9</v>
      </c>
      <c r="G2876" t="s">
        <v>10</v>
      </c>
      <c r="H2876" t="s">
        <v>11</v>
      </c>
      <c r="I2876" t="s">
        <v>12</v>
      </c>
      <c r="J2876">
        <f t="shared" si="88"/>
        <v>9</v>
      </c>
      <c r="K2876" t="str">
        <f t="shared" si="89"/>
        <v>Mid Range</v>
      </c>
    </row>
    <row r="2877" spans="2:11" x14ac:dyDescent="0.25">
      <c r="B2877" t="s">
        <v>130</v>
      </c>
      <c r="C2877">
        <v>2011</v>
      </c>
      <c r="D2877" s="1">
        <v>335000</v>
      </c>
      <c r="E2877">
        <v>90000</v>
      </c>
      <c r="F2877" t="s">
        <v>15</v>
      </c>
      <c r="G2877" t="s">
        <v>10</v>
      </c>
      <c r="H2877" t="s">
        <v>11</v>
      </c>
      <c r="I2877" t="s">
        <v>18</v>
      </c>
      <c r="J2877">
        <f t="shared" si="88"/>
        <v>15</v>
      </c>
      <c r="K2877" t="str">
        <f t="shared" si="89"/>
        <v>Budget</v>
      </c>
    </row>
    <row r="2878" spans="2:11" x14ac:dyDescent="0.25">
      <c r="B2878" t="s">
        <v>314</v>
      </c>
      <c r="C2878">
        <v>2006</v>
      </c>
      <c r="D2878" s="1">
        <v>500000</v>
      </c>
      <c r="E2878">
        <v>50000</v>
      </c>
      <c r="F2878" t="s">
        <v>15</v>
      </c>
      <c r="G2878" t="s">
        <v>10</v>
      </c>
      <c r="H2878" t="s">
        <v>11</v>
      </c>
      <c r="I2878" t="s">
        <v>12</v>
      </c>
      <c r="J2878">
        <f t="shared" si="88"/>
        <v>20</v>
      </c>
      <c r="K2878" t="str">
        <f t="shared" si="89"/>
        <v>Mid Range</v>
      </c>
    </row>
    <row r="2879" spans="2:11" x14ac:dyDescent="0.25">
      <c r="B2879" t="s">
        <v>713</v>
      </c>
      <c r="C2879">
        <v>2003</v>
      </c>
      <c r="D2879" s="1">
        <v>60000</v>
      </c>
      <c r="E2879">
        <v>100000</v>
      </c>
      <c r="F2879" t="s">
        <v>9</v>
      </c>
      <c r="G2879" t="s">
        <v>10</v>
      </c>
      <c r="H2879" t="s">
        <v>11</v>
      </c>
      <c r="I2879" t="s">
        <v>18</v>
      </c>
      <c r="J2879">
        <f t="shared" si="88"/>
        <v>23</v>
      </c>
      <c r="K2879" t="str">
        <f t="shared" si="89"/>
        <v>Budget</v>
      </c>
    </row>
    <row r="2880" spans="2:11" x14ac:dyDescent="0.25">
      <c r="B2880" t="s">
        <v>1344</v>
      </c>
      <c r="C2880">
        <v>2015</v>
      </c>
      <c r="D2880" s="1">
        <v>210000</v>
      </c>
      <c r="E2880">
        <v>210000</v>
      </c>
      <c r="F2880" t="s">
        <v>15</v>
      </c>
      <c r="G2880" t="s">
        <v>10</v>
      </c>
      <c r="H2880" t="s">
        <v>11</v>
      </c>
      <c r="I2880" t="s">
        <v>12</v>
      </c>
      <c r="J2880">
        <f t="shared" si="88"/>
        <v>11</v>
      </c>
      <c r="K2880" t="str">
        <f t="shared" si="89"/>
        <v>Budget</v>
      </c>
    </row>
    <row r="2881" spans="2:11" x14ac:dyDescent="0.25">
      <c r="B2881" t="s">
        <v>690</v>
      </c>
      <c r="C2881">
        <v>2019</v>
      </c>
      <c r="D2881" s="1">
        <v>1900000</v>
      </c>
      <c r="E2881">
        <v>20000</v>
      </c>
      <c r="F2881" t="s">
        <v>15</v>
      </c>
      <c r="G2881" t="s">
        <v>10</v>
      </c>
      <c r="H2881" t="s">
        <v>11</v>
      </c>
      <c r="I2881" t="s">
        <v>12</v>
      </c>
      <c r="J2881">
        <f t="shared" si="88"/>
        <v>7</v>
      </c>
      <c r="K2881" t="str">
        <f t="shared" si="89"/>
        <v>Premium</v>
      </c>
    </row>
    <row r="2882" spans="2:11" x14ac:dyDescent="0.25">
      <c r="B2882" t="s">
        <v>1040</v>
      </c>
      <c r="C2882">
        <v>2013</v>
      </c>
      <c r="D2882" s="1">
        <v>270000</v>
      </c>
      <c r="E2882">
        <v>70000</v>
      </c>
      <c r="F2882" t="s">
        <v>15</v>
      </c>
      <c r="G2882" t="s">
        <v>10</v>
      </c>
      <c r="H2882" t="s">
        <v>11</v>
      </c>
      <c r="I2882" t="s">
        <v>18</v>
      </c>
      <c r="J2882">
        <f t="shared" si="88"/>
        <v>13</v>
      </c>
      <c r="K2882" t="str">
        <f t="shared" si="89"/>
        <v>Budget</v>
      </c>
    </row>
    <row r="2883" spans="2:11" x14ac:dyDescent="0.25">
      <c r="B2883" t="s">
        <v>13</v>
      </c>
      <c r="C2883">
        <v>2010</v>
      </c>
      <c r="D2883" s="1">
        <v>225000</v>
      </c>
      <c r="E2883">
        <v>100000</v>
      </c>
      <c r="F2883" t="s">
        <v>9</v>
      </c>
      <c r="G2883" t="s">
        <v>10</v>
      </c>
      <c r="H2883" t="s">
        <v>11</v>
      </c>
      <c r="I2883" t="s">
        <v>18</v>
      </c>
      <c r="J2883">
        <f t="shared" si="88"/>
        <v>16</v>
      </c>
      <c r="K2883" t="str">
        <f t="shared" si="89"/>
        <v>Budget</v>
      </c>
    </row>
    <row r="2884" spans="2:11" x14ac:dyDescent="0.25">
      <c r="B2884" t="s">
        <v>112</v>
      </c>
      <c r="C2884">
        <v>2011</v>
      </c>
      <c r="D2884" s="1">
        <v>150000</v>
      </c>
      <c r="E2884">
        <v>160000</v>
      </c>
      <c r="F2884" t="s">
        <v>9</v>
      </c>
      <c r="G2884" t="s">
        <v>10</v>
      </c>
      <c r="H2884" t="s">
        <v>11</v>
      </c>
      <c r="I2884" t="s">
        <v>18</v>
      </c>
      <c r="J2884">
        <f t="shared" si="88"/>
        <v>15</v>
      </c>
      <c r="K2884" t="str">
        <f t="shared" si="89"/>
        <v>Budget</v>
      </c>
    </row>
    <row r="2885" spans="2:11" x14ac:dyDescent="0.25">
      <c r="B2885" t="s">
        <v>185</v>
      </c>
      <c r="C2885">
        <v>2013</v>
      </c>
      <c r="D2885" s="1">
        <v>173000</v>
      </c>
      <c r="E2885">
        <v>70000</v>
      </c>
      <c r="F2885" t="s">
        <v>15</v>
      </c>
      <c r="G2885" t="s">
        <v>10</v>
      </c>
      <c r="H2885" t="s">
        <v>11</v>
      </c>
      <c r="I2885" t="s">
        <v>12</v>
      </c>
      <c r="J2885">
        <f t="shared" si="88"/>
        <v>13</v>
      </c>
      <c r="K2885" t="str">
        <f t="shared" si="89"/>
        <v>Budget</v>
      </c>
    </row>
    <row r="2886" spans="2:11" x14ac:dyDescent="0.25">
      <c r="B2886" t="s">
        <v>188</v>
      </c>
      <c r="C2886">
        <v>2018</v>
      </c>
      <c r="D2886" s="1">
        <v>4800000</v>
      </c>
      <c r="E2886">
        <v>9422</v>
      </c>
      <c r="F2886" t="s">
        <v>15</v>
      </c>
      <c r="G2886" t="s">
        <v>10</v>
      </c>
      <c r="H2886" t="s">
        <v>28</v>
      </c>
      <c r="I2886" t="s">
        <v>12</v>
      </c>
      <c r="J2886">
        <f t="shared" ref="J2886:J2949" si="90">2026 - C2886</f>
        <v>8</v>
      </c>
      <c r="K2886" t="str">
        <f t="shared" ref="K2886:K2949" si="91">IF(D2886&lt;500000,"Budget",IF(D2886&lt;=1000000,"Mid Range","Premium"))</f>
        <v>Premium</v>
      </c>
    </row>
    <row r="2887" spans="2:11" x14ac:dyDescent="0.25">
      <c r="B2887" t="s">
        <v>1345</v>
      </c>
      <c r="C2887">
        <v>2017</v>
      </c>
      <c r="D2887" s="1">
        <v>710000</v>
      </c>
      <c r="E2887">
        <v>110000</v>
      </c>
      <c r="F2887" t="s">
        <v>15</v>
      </c>
      <c r="G2887" t="s">
        <v>10</v>
      </c>
      <c r="H2887" t="s">
        <v>28</v>
      </c>
      <c r="I2887" t="s">
        <v>12</v>
      </c>
      <c r="J2887">
        <f t="shared" si="90"/>
        <v>9</v>
      </c>
      <c r="K2887" t="str">
        <f t="shared" si="91"/>
        <v>Mid Range</v>
      </c>
    </row>
    <row r="2888" spans="2:11" x14ac:dyDescent="0.25">
      <c r="B2888" t="s">
        <v>1346</v>
      </c>
      <c r="C2888">
        <v>2019</v>
      </c>
      <c r="D2888" s="1">
        <v>1500000</v>
      </c>
      <c r="E2888">
        <v>20000</v>
      </c>
      <c r="F2888" t="s">
        <v>9</v>
      </c>
      <c r="G2888" t="s">
        <v>10</v>
      </c>
      <c r="H2888" t="s">
        <v>11</v>
      </c>
      <c r="I2888" t="s">
        <v>12</v>
      </c>
      <c r="J2888">
        <f t="shared" si="90"/>
        <v>7</v>
      </c>
      <c r="K2888" t="str">
        <f t="shared" si="91"/>
        <v>Premium</v>
      </c>
    </row>
    <row r="2889" spans="2:11" x14ac:dyDescent="0.25">
      <c r="B2889" t="s">
        <v>909</v>
      </c>
      <c r="C2889">
        <v>2017</v>
      </c>
      <c r="D2889" s="1">
        <v>550000</v>
      </c>
      <c r="E2889">
        <v>20000</v>
      </c>
      <c r="F2889" t="s">
        <v>9</v>
      </c>
      <c r="G2889" t="s">
        <v>10</v>
      </c>
      <c r="H2889" t="s">
        <v>11</v>
      </c>
      <c r="I2889" t="s">
        <v>12</v>
      </c>
      <c r="J2889">
        <f t="shared" si="90"/>
        <v>9</v>
      </c>
      <c r="K2889" t="str">
        <f t="shared" si="91"/>
        <v>Mid Range</v>
      </c>
    </row>
    <row r="2890" spans="2:11" x14ac:dyDescent="0.25">
      <c r="B2890" t="s">
        <v>140</v>
      </c>
      <c r="C2890">
        <v>2008</v>
      </c>
      <c r="D2890" s="1">
        <v>58000</v>
      </c>
      <c r="E2890">
        <v>70000</v>
      </c>
      <c r="F2890" t="s">
        <v>9</v>
      </c>
      <c r="G2890" t="s">
        <v>10</v>
      </c>
      <c r="H2890" t="s">
        <v>11</v>
      </c>
      <c r="I2890" t="s">
        <v>18</v>
      </c>
      <c r="J2890">
        <f t="shared" si="90"/>
        <v>18</v>
      </c>
      <c r="K2890" t="str">
        <f t="shared" si="91"/>
        <v>Budget</v>
      </c>
    </row>
    <row r="2891" spans="2:11" x14ac:dyDescent="0.25">
      <c r="B2891" t="s">
        <v>1347</v>
      </c>
      <c r="C2891">
        <v>2012</v>
      </c>
      <c r="D2891" s="1">
        <v>1200000</v>
      </c>
      <c r="E2891">
        <v>60000</v>
      </c>
      <c r="F2891" t="s">
        <v>9</v>
      </c>
      <c r="G2891" t="s">
        <v>10</v>
      </c>
      <c r="H2891" t="s">
        <v>28</v>
      </c>
      <c r="I2891" t="s">
        <v>49</v>
      </c>
      <c r="J2891">
        <f t="shared" si="90"/>
        <v>14</v>
      </c>
      <c r="K2891" t="str">
        <f t="shared" si="91"/>
        <v>Premium</v>
      </c>
    </row>
    <row r="2892" spans="2:11" x14ac:dyDescent="0.25">
      <c r="B2892" t="s">
        <v>589</v>
      </c>
      <c r="C2892">
        <v>2013</v>
      </c>
      <c r="D2892" s="1">
        <v>500000</v>
      </c>
      <c r="E2892">
        <v>150000</v>
      </c>
      <c r="F2892" t="s">
        <v>15</v>
      </c>
      <c r="G2892" t="s">
        <v>10</v>
      </c>
      <c r="H2892" t="s">
        <v>11</v>
      </c>
      <c r="I2892" t="s">
        <v>12</v>
      </c>
      <c r="J2892">
        <f t="shared" si="90"/>
        <v>13</v>
      </c>
      <c r="K2892" t="str">
        <f t="shared" si="91"/>
        <v>Mid Range</v>
      </c>
    </row>
    <row r="2893" spans="2:11" x14ac:dyDescent="0.25">
      <c r="B2893" t="s">
        <v>1132</v>
      </c>
      <c r="C2893">
        <v>2009</v>
      </c>
      <c r="D2893" s="1">
        <v>120000</v>
      </c>
      <c r="E2893">
        <v>83000</v>
      </c>
      <c r="F2893" t="s">
        <v>9</v>
      </c>
      <c r="G2893" t="s">
        <v>10</v>
      </c>
      <c r="H2893" t="s">
        <v>11</v>
      </c>
      <c r="I2893" t="s">
        <v>18</v>
      </c>
      <c r="J2893">
        <f t="shared" si="90"/>
        <v>17</v>
      </c>
      <c r="K2893" t="str">
        <f t="shared" si="91"/>
        <v>Budget</v>
      </c>
    </row>
    <row r="2894" spans="2:11" x14ac:dyDescent="0.25">
      <c r="B2894" t="s">
        <v>1348</v>
      </c>
      <c r="C2894">
        <v>2012</v>
      </c>
      <c r="D2894" s="1">
        <v>300000</v>
      </c>
      <c r="E2894">
        <v>250000</v>
      </c>
      <c r="F2894" t="s">
        <v>15</v>
      </c>
      <c r="G2894" t="s">
        <v>10</v>
      </c>
      <c r="H2894" t="s">
        <v>11</v>
      </c>
      <c r="I2894" t="s">
        <v>12</v>
      </c>
      <c r="J2894">
        <f t="shared" si="90"/>
        <v>14</v>
      </c>
      <c r="K2894" t="str">
        <f t="shared" si="91"/>
        <v>Budget</v>
      </c>
    </row>
    <row r="2895" spans="2:11" x14ac:dyDescent="0.25">
      <c r="B2895" t="s">
        <v>136</v>
      </c>
      <c r="C2895">
        <v>2018</v>
      </c>
      <c r="D2895" s="1">
        <v>300000</v>
      </c>
      <c r="E2895">
        <v>30000</v>
      </c>
      <c r="F2895" t="s">
        <v>9</v>
      </c>
      <c r="G2895" t="s">
        <v>10</v>
      </c>
      <c r="H2895" t="s">
        <v>11</v>
      </c>
      <c r="I2895" t="s">
        <v>12</v>
      </c>
      <c r="J2895">
        <f t="shared" si="90"/>
        <v>8</v>
      </c>
      <c r="K2895" t="str">
        <f t="shared" si="91"/>
        <v>Budget</v>
      </c>
    </row>
    <row r="2896" spans="2:11" x14ac:dyDescent="0.25">
      <c r="B2896" t="s">
        <v>371</v>
      </c>
      <c r="C2896">
        <v>2015</v>
      </c>
      <c r="D2896" s="1">
        <v>295000</v>
      </c>
      <c r="E2896">
        <v>21000</v>
      </c>
      <c r="F2896" t="s">
        <v>9</v>
      </c>
      <c r="G2896" t="s">
        <v>10</v>
      </c>
      <c r="H2896" t="s">
        <v>11</v>
      </c>
      <c r="I2896" t="s">
        <v>12</v>
      </c>
      <c r="J2896">
        <f t="shared" si="90"/>
        <v>11</v>
      </c>
      <c r="K2896" t="str">
        <f t="shared" si="91"/>
        <v>Budget</v>
      </c>
    </row>
    <row r="2897" spans="2:11" x14ac:dyDescent="0.25">
      <c r="B2897" t="s">
        <v>473</v>
      </c>
      <c r="C2897">
        <v>2018</v>
      </c>
      <c r="D2897" s="1">
        <v>587000</v>
      </c>
      <c r="E2897">
        <v>80000</v>
      </c>
      <c r="F2897" t="s">
        <v>24</v>
      </c>
      <c r="G2897" t="s">
        <v>10</v>
      </c>
      <c r="H2897" t="s">
        <v>11</v>
      </c>
      <c r="I2897" t="s">
        <v>12</v>
      </c>
      <c r="J2897">
        <f t="shared" si="90"/>
        <v>8</v>
      </c>
      <c r="K2897" t="str">
        <f t="shared" si="91"/>
        <v>Mid Range</v>
      </c>
    </row>
    <row r="2898" spans="2:11" x14ac:dyDescent="0.25">
      <c r="B2898" t="s">
        <v>1349</v>
      </c>
      <c r="C2898">
        <v>2012</v>
      </c>
      <c r="D2898" s="1">
        <v>430000</v>
      </c>
      <c r="E2898">
        <v>50000</v>
      </c>
      <c r="F2898" t="s">
        <v>9</v>
      </c>
      <c r="G2898" t="s">
        <v>10</v>
      </c>
      <c r="H2898" t="s">
        <v>11</v>
      </c>
      <c r="I2898" t="s">
        <v>18</v>
      </c>
      <c r="J2898">
        <f t="shared" si="90"/>
        <v>14</v>
      </c>
      <c r="K2898" t="str">
        <f t="shared" si="91"/>
        <v>Budget</v>
      </c>
    </row>
    <row r="2899" spans="2:11" x14ac:dyDescent="0.25">
      <c r="B2899" t="s">
        <v>204</v>
      </c>
      <c r="C2899">
        <v>2007</v>
      </c>
      <c r="D2899" s="1">
        <v>123000</v>
      </c>
      <c r="E2899">
        <v>50000</v>
      </c>
      <c r="F2899" t="s">
        <v>9</v>
      </c>
      <c r="G2899" t="s">
        <v>10</v>
      </c>
      <c r="H2899" t="s">
        <v>11</v>
      </c>
      <c r="I2899" t="s">
        <v>18</v>
      </c>
      <c r="J2899">
        <f t="shared" si="90"/>
        <v>19</v>
      </c>
      <c r="K2899" t="str">
        <f t="shared" si="91"/>
        <v>Budget</v>
      </c>
    </row>
    <row r="2900" spans="2:11" x14ac:dyDescent="0.25">
      <c r="B2900" t="s">
        <v>1350</v>
      </c>
      <c r="C2900">
        <v>2012</v>
      </c>
      <c r="D2900" s="1">
        <v>450000</v>
      </c>
      <c r="E2900">
        <v>48500</v>
      </c>
      <c r="F2900" t="s">
        <v>15</v>
      </c>
      <c r="G2900" t="s">
        <v>10</v>
      </c>
      <c r="H2900" t="s">
        <v>28</v>
      </c>
      <c r="I2900" t="s">
        <v>18</v>
      </c>
      <c r="J2900">
        <f t="shared" si="90"/>
        <v>14</v>
      </c>
      <c r="K2900" t="str">
        <f t="shared" si="91"/>
        <v>Budget</v>
      </c>
    </row>
    <row r="2901" spans="2:11" x14ac:dyDescent="0.25">
      <c r="B2901" t="s">
        <v>13</v>
      </c>
      <c r="C2901">
        <v>2007</v>
      </c>
      <c r="D2901" s="1">
        <v>130000</v>
      </c>
      <c r="E2901">
        <v>60000</v>
      </c>
      <c r="F2901" t="s">
        <v>9</v>
      </c>
      <c r="G2901" t="s">
        <v>10</v>
      </c>
      <c r="H2901" t="s">
        <v>11</v>
      </c>
      <c r="I2901" t="s">
        <v>49</v>
      </c>
      <c r="J2901">
        <f t="shared" si="90"/>
        <v>19</v>
      </c>
      <c r="K2901" t="str">
        <f t="shared" si="91"/>
        <v>Budget</v>
      </c>
    </row>
    <row r="2902" spans="2:11" x14ac:dyDescent="0.25">
      <c r="B2902" t="s">
        <v>128</v>
      </c>
      <c r="C2902">
        <v>2010</v>
      </c>
      <c r="D2902" s="1">
        <v>110000</v>
      </c>
      <c r="E2902">
        <v>90000</v>
      </c>
      <c r="F2902" t="s">
        <v>15</v>
      </c>
      <c r="G2902" t="s">
        <v>10</v>
      </c>
      <c r="H2902" t="s">
        <v>11</v>
      </c>
      <c r="I2902" t="s">
        <v>18</v>
      </c>
      <c r="J2902">
        <f t="shared" si="90"/>
        <v>16</v>
      </c>
      <c r="K2902" t="str">
        <f t="shared" si="91"/>
        <v>Budget</v>
      </c>
    </row>
    <row r="2903" spans="2:11" x14ac:dyDescent="0.25">
      <c r="B2903" t="s">
        <v>1351</v>
      </c>
      <c r="C2903">
        <v>2010</v>
      </c>
      <c r="D2903" s="1">
        <v>200000</v>
      </c>
      <c r="E2903">
        <v>240000</v>
      </c>
      <c r="F2903" t="s">
        <v>15</v>
      </c>
      <c r="G2903" t="s">
        <v>10</v>
      </c>
      <c r="H2903" t="s">
        <v>11</v>
      </c>
      <c r="I2903" t="s">
        <v>49</v>
      </c>
      <c r="J2903">
        <f t="shared" si="90"/>
        <v>16</v>
      </c>
      <c r="K2903" t="str">
        <f t="shared" si="91"/>
        <v>Budget</v>
      </c>
    </row>
    <row r="2904" spans="2:11" x14ac:dyDescent="0.25">
      <c r="B2904" t="s">
        <v>210</v>
      </c>
      <c r="C2904">
        <v>2015</v>
      </c>
      <c r="D2904" s="1">
        <v>320000</v>
      </c>
      <c r="E2904">
        <v>70000</v>
      </c>
      <c r="F2904" t="s">
        <v>9</v>
      </c>
      <c r="G2904" t="s">
        <v>10</v>
      </c>
      <c r="H2904" t="s">
        <v>11</v>
      </c>
      <c r="I2904" t="s">
        <v>18</v>
      </c>
      <c r="J2904">
        <f t="shared" si="90"/>
        <v>11</v>
      </c>
      <c r="K2904" t="str">
        <f t="shared" si="91"/>
        <v>Budget</v>
      </c>
    </row>
    <row r="2905" spans="2:11" x14ac:dyDescent="0.25">
      <c r="B2905" t="s">
        <v>500</v>
      </c>
      <c r="C2905">
        <v>2014</v>
      </c>
      <c r="D2905" s="1">
        <v>300000</v>
      </c>
      <c r="E2905">
        <v>50000</v>
      </c>
      <c r="F2905" t="s">
        <v>9</v>
      </c>
      <c r="G2905" t="s">
        <v>10</v>
      </c>
      <c r="H2905" t="s">
        <v>11</v>
      </c>
      <c r="I2905" t="s">
        <v>12</v>
      </c>
      <c r="J2905">
        <f t="shared" si="90"/>
        <v>12</v>
      </c>
      <c r="K2905" t="str">
        <f t="shared" si="91"/>
        <v>Budget</v>
      </c>
    </row>
    <row r="2906" spans="2:11" x14ac:dyDescent="0.25">
      <c r="B2906" t="s">
        <v>1352</v>
      </c>
      <c r="C2906">
        <v>2016</v>
      </c>
      <c r="D2906" s="1">
        <v>350000</v>
      </c>
      <c r="E2906">
        <v>110000</v>
      </c>
      <c r="F2906" t="s">
        <v>9</v>
      </c>
      <c r="G2906" t="s">
        <v>10</v>
      </c>
      <c r="H2906" t="s">
        <v>11</v>
      </c>
      <c r="I2906" t="s">
        <v>12</v>
      </c>
      <c r="J2906">
        <f t="shared" si="90"/>
        <v>10</v>
      </c>
      <c r="K2906" t="str">
        <f t="shared" si="91"/>
        <v>Budget</v>
      </c>
    </row>
    <row r="2907" spans="2:11" x14ac:dyDescent="0.25">
      <c r="B2907" t="s">
        <v>1353</v>
      </c>
      <c r="C2907">
        <v>2018</v>
      </c>
      <c r="D2907" s="1">
        <v>800000</v>
      </c>
      <c r="E2907">
        <v>50000</v>
      </c>
      <c r="F2907" t="s">
        <v>9</v>
      </c>
      <c r="G2907" t="s">
        <v>10</v>
      </c>
      <c r="H2907" t="s">
        <v>11</v>
      </c>
      <c r="I2907" t="s">
        <v>12</v>
      </c>
      <c r="J2907">
        <f t="shared" si="90"/>
        <v>8</v>
      </c>
      <c r="K2907" t="str">
        <f t="shared" si="91"/>
        <v>Mid Range</v>
      </c>
    </row>
    <row r="2908" spans="2:11" x14ac:dyDescent="0.25">
      <c r="B2908" t="s">
        <v>1354</v>
      </c>
      <c r="C2908">
        <v>2016</v>
      </c>
      <c r="D2908" s="1">
        <v>270000</v>
      </c>
      <c r="E2908">
        <v>175000</v>
      </c>
      <c r="F2908" t="s">
        <v>15</v>
      </c>
      <c r="G2908" t="s">
        <v>10</v>
      </c>
      <c r="H2908" t="s">
        <v>11</v>
      </c>
      <c r="I2908" t="s">
        <v>12</v>
      </c>
      <c r="J2908">
        <f t="shared" si="90"/>
        <v>10</v>
      </c>
      <c r="K2908" t="str">
        <f t="shared" si="91"/>
        <v>Budget</v>
      </c>
    </row>
    <row r="2909" spans="2:11" x14ac:dyDescent="0.25">
      <c r="B2909" t="s">
        <v>1355</v>
      </c>
      <c r="C2909">
        <v>2017</v>
      </c>
      <c r="D2909" s="1">
        <v>540000</v>
      </c>
      <c r="E2909">
        <v>60000</v>
      </c>
      <c r="F2909" t="s">
        <v>9</v>
      </c>
      <c r="G2909" t="s">
        <v>10</v>
      </c>
      <c r="H2909" t="s">
        <v>11</v>
      </c>
      <c r="I2909" t="s">
        <v>12</v>
      </c>
      <c r="J2909">
        <f t="shared" si="90"/>
        <v>9</v>
      </c>
      <c r="K2909" t="str">
        <f t="shared" si="91"/>
        <v>Mid Range</v>
      </c>
    </row>
    <row r="2910" spans="2:11" x14ac:dyDescent="0.25">
      <c r="B2910" t="s">
        <v>668</v>
      </c>
      <c r="C2910">
        <v>2011</v>
      </c>
      <c r="D2910" s="1">
        <v>160000</v>
      </c>
      <c r="E2910">
        <v>60000</v>
      </c>
      <c r="F2910" t="s">
        <v>24</v>
      </c>
      <c r="G2910" t="s">
        <v>10</v>
      </c>
      <c r="H2910" t="s">
        <v>11</v>
      </c>
      <c r="I2910" t="s">
        <v>18</v>
      </c>
      <c r="J2910">
        <f t="shared" si="90"/>
        <v>15</v>
      </c>
      <c r="K2910" t="str">
        <f t="shared" si="91"/>
        <v>Budget</v>
      </c>
    </row>
    <row r="2911" spans="2:11" x14ac:dyDescent="0.25">
      <c r="B2911" t="s">
        <v>898</v>
      </c>
      <c r="C2911">
        <v>2013</v>
      </c>
      <c r="D2911" s="1">
        <v>340000</v>
      </c>
      <c r="E2911">
        <v>100000</v>
      </c>
      <c r="F2911" t="s">
        <v>15</v>
      </c>
      <c r="G2911" t="s">
        <v>10</v>
      </c>
      <c r="H2911" t="s">
        <v>11</v>
      </c>
      <c r="I2911" t="s">
        <v>18</v>
      </c>
      <c r="J2911">
        <f t="shared" si="90"/>
        <v>13</v>
      </c>
      <c r="K2911" t="str">
        <f t="shared" si="91"/>
        <v>Budget</v>
      </c>
    </row>
    <row r="2912" spans="2:11" x14ac:dyDescent="0.25">
      <c r="B2912" t="s">
        <v>60</v>
      </c>
      <c r="C2912">
        <v>2017</v>
      </c>
      <c r="D2912" s="1">
        <v>350000</v>
      </c>
      <c r="E2912">
        <v>40000</v>
      </c>
      <c r="F2912" t="s">
        <v>9</v>
      </c>
      <c r="G2912" t="s">
        <v>10</v>
      </c>
      <c r="H2912" t="s">
        <v>11</v>
      </c>
      <c r="I2912" t="s">
        <v>18</v>
      </c>
      <c r="J2912">
        <f t="shared" si="90"/>
        <v>9</v>
      </c>
      <c r="K2912" t="str">
        <f t="shared" si="91"/>
        <v>Budget</v>
      </c>
    </row>
    <row r="2913" spans="2:11" x14ac:dyDescent="0.25">
      <c r="B2913" t="s">
        <v>701</v>
      </c>
      <c r="C2913">
        <v>2011</v>
      </c>
      <c r="D2913" s="1">
        <v>300000</v>
      </c>
      <c r="E2913">
        <v>100000</v>
      </c>
      <c r="F2913" t="s">
        <v>15</v>
      </c>
      <c r="G2913" t="s">
        <v>10</v>
      </c>
      <c r="H2913" t="s">
        <v>11</v>
      </c>
      <c r="I2913" t="s">
        <v>12</v>
      </c>
      <c r="J2913">
        <f t="shared" si="90"/>
        <v>15</v>
      </c>
      <c r="K2913" t="str">
        <f t="shared" si="91"/>
        <v>Budget</v>
      </c>
    </row>
    <row r="2914" spans="2:11" x14ac:dyDescent="0.25">
      <c r="B2914" t="s">
        <v>295</v>
      </c>
      <c r="C2914">
        <v>2013</v>
      </c>
      <c r="D2914" s="1">
        <v>330000</v>
      </c>
      <c r="E2914">
        <v>63000</v>
      </c>
      <c r="F2914" t="s">
        <v>15</v>
      </c>
      <c r="G2914" t="s">
        <v>10</v>
      </c>
      <c r="H2914" t="s">
        <v>11</v>
      </c>
      <c r="I2914" t="s">
        <v>12</v>
      </c>
      <c r="J2914">
        <f t="shared" si="90"/>
        <v>13</v>
      </c>
      <c r="K2914" t="str">
        <f t="shared" si="91"/>
        <v>Budget</v>
      </c>
    </row>
    <row r="2915" spans="2:11" x14ac:dyDescent="0.25">
      <c r="B2915" t="s">
        <v>668</v>
      </c>
      <c r="C2915">
        <v>2016</v>
      </c>
      <c r="D2915" s="1">
        <v>325000</v>
      </c>
      <c r="E2915">
        <v>80000</v>
      </c>
      <c r="F2915" t="s">
        <v>24</v>
      </c>
      <c r="G2915" t="s">
        <v>10</v>
      </c>
      <c r="H2915" t="s">
        <v>11</v>
      </c>
      <c r="I2915" t="s">
        <v>18</v>
      </c>
      <c r="J2915">
        <f t="shared" si="90"/>
        <v>10</v>
      </c>
      <c r="K2915" t="str">
        <f t="shared" si="91"/>
        <v>Budget</v>
      </c>
    </row>
    <row r="2916" spans="2:11" x14ac:dyDescent="0.25">
      <c r="B2916" t="s">
        <v>114</v>
      </c>
      <c r="C2916">
        <v>2013</v>
      </c>
      <c r="D2916" s="1">
        <v>250000</v>
      </c>
      <c r="E2916">
        <v>55000</v>
      </c>
      <c r="F2916" t="s">
        <v>15</v>
      </c>
      <c r="G2916" t="s">
        <v>10</v>
      </c>
      <c r="H2916" t="s">
        <v>11</v>
      </c>
      <c r="I2916" t="s">
        <v>12</v>
      </c>
      <c r="J2916">
        <f t="shared" si="90"/>
        <v>13</v>
      </c>
      <c r="K2916" t="str">
        <f t="shared" si="91"/>
        <v>Budget</v>
      </c>
    </row>
    <row r="2917" spans="2:11" x14ac:dyDescent="0.25">
      <c r="B2917" t="s">
        <v>1356</v>
      </c>
      <c r="C2917">
        <v>2013</v>
      </c>
      <c r="D2917" s="1">
        <v>250000</v>
      </c>
      <c r="E2917">
        <v>55000</v>
      </c>
      <c r="F2917" t="s">
        <v>15</v>
      </c>
      <c r="G2917" t="s">
        <v>10</v>
      </c>
      <c r="H2917" t="s">
        <v>11</v>
      </c>
      <c r="I2917" t="s">
        <v>12</v>
      </c>
      <c r="J2917">
        <f t="shared" si="90"/>
        <v>13</v>
      </c>
      <c r="K2917" t="str">
        <f t="shared" si="91"/>
        <v>Budget</v>
      </c>
    </row>
    <row r="2918" spans="2:11" x14ac:dyDescent="0.25">
      <c r="B2918" t="s">
        <v>424</v>
      </c>
      <c r="C2918">
        <v>2015</v>
      </c>
      <c r="D2918" s="1">
        <v>240000</v>
      </c>
      <c r="E2918">
        <v>60000</v>
      </c>
      <c r="F2918" t="s">
        <v>9</v>
      </c>
      <c r="G2918" t="s">
        <v>10</v>
      </c>
      <c r="H2918" t="s">
        <v>11</v>
      </c>
      <c r="I2918" t="s">
        <v>12</v>
      </c>
      <c r="J2918">
        <f t="shared" si="90"/>
        <v>11</v>
      </c>
      <c r="K2918" t="str">
        <f t="shared" si="91"/>
        <v>Budget</v>
      </c>
    </row>
    <row r="2919" spans="2:11" x14ac:dyDescent="0.25">
      <c r="B2919" t="s">
        <v>753</v>
      </c>
      <c r="C2919">
        <v>2020</v>
      </c>
      <c r="D2919" s="1">
        <v>545000</v>
      </c>
      <c r="E2919">
        <v>5000</v>
      </c>
      <c r="F2919" t="s">
        <v>9</v>
      </c>
      <c r="G2919" t="s">
        <v>10</v>
      </c>
      <c r="H2919" t="s">
        <v>11</v>
      </c>
      <c r="I2919" t="s">
        <v>12</v>
      </c>
      <c r="J2919">
        <f t="shared" si="90"/>
        <v>6</v>
      </c>
      <c r="K2919" t="str">
        <f t="shared" si="91"/>
        <v>Mid Range</v>
      </c>
    </row>
    <row r="2920" spans="2:11" x14ac:dyDescent="0.25">
      <c r="B2920" t="s">
        <v>1357</v>
      </c>
      <c r="C2920">
        <v>2015</v>
      </c>
      <c r="D2920" s="1">
        <v>300000</v>
      </c>
      <c r="E2920">
        <v>48000</v>
      </c>
      <c r="F2920" t="s">
        <v>9</v>
      </c>
      <c r="G2920" t="s">
        <v>27</v>
      </c>
      <c r="H2920" t="s">
        <v>11</v>
      </c>
      <c r="I2920" t="s">
        <v>12</v>
      </c>
      <c r="J2920">
        <f t="shared" si="90"/>
        <v>11</v>
      </c>
      <c r="K2920" t="str">
        <f t="shared" si="91"/>
        <v>Budget</v>
      </c>
    </row>
    <row r="2921" spans="2:11" x14ac:dyDescent="0.25">
      <c r="B2921" t="s">
        <v>110</v>
      </c>
      <c r="C2921">
        <v>2017</v>
      </c>
      <c r="D2921" s="1">
        <v>240000</v>
      </c>
      <c r="E2921">
        <v>50000</v>
      </c>
      <c r="F2921" t="s">
        <v>9</v>
      </c>
      <c r="G2921" t="s">
        <v>10</v>
      </c>
      <c r="H2921" t="s">
        <v>11</v>
      </c>
      <c r="I2921" t="s">
        <v>12</v>
      </c>
      <c r="J2921">
        <f t="shared" si="90"/>
        <v>9</v>
      </c>
      <c r="K2921" t="str">
        <f t="shared" si="91"/>
        <v>Budget</v>
      </c>
    </row>
    <row r="2922" spans="2:11" x14ac:dyDescent="0.25">
      <c r="B2922" t="s">
        <v>306</v>
      </c>
      <c r="C2922">
        <v>2018</v>
      </c>
      <c r="D2922" s="1">
        <v>360000</v>
      </c>
      <c r="E2922">
        <v>15000</v>
      </c>
      <c r="F2922" t="s">
        <v>9</v>
      </c>
      <c r="G2922" t="s">
        <v>10</v>
      </c>
      <c r="H2922" t="s">
        <v>11</v>
      </c>
      <c r="I2922" t="s">
        <v>12</v>
      </c>
      <c r="J2922">
        <f t="shared" si="90"/>
        <v>8</v>
      </c>
      <c r="K2922" t="str">
        <f t="shared" si="91"/>
        <v>Budget</v>
      </c>
    </row>
    <row r="2923" spans="2:11" x14ac:dyDescent="0.25">
      <c r="B2923" t="s">
        <v>1160</v>
      </c>
      <c r="C2923">
        <v>2012</v>
      </c>
      <c r="D2923" s="1">
        <v>250000</v>
      </c>
      <c r="E2923">
        <v>70000</v>
      </c>
      <c r="F2923" t="s">
        <v>15</v>
      </c>
      <c r="G2923" t="s">
        <v>10</v>
      </c>
      <c r="H2923" t="s">
        <v>11</v>
      </c>
      <c r="I2923" t="s">
        <v>12</v>
      </c>
      <c r="J2923">
        <f t="shared" si="90"/>
        <v>14</v>
      </c>
      <c r="K2923" t="str">
        <f t="shared" si="91"/>
        <v>Budget</v>
      </c>
    </row>
    <row r="2924" spans="2:11" x14ac:dyDescent="0.25">
      <c r="B2924" t="s">
        <v>1358</v>
      </c>
      <c r="C2924">
        <v>2019</v>
      </c>
      <c r="D2924" s="1">
        <v>475000</v>
      </c>
      <c r="E2924">
        <v>105000</v>
      </c>
      <c r="F2924" t="s">
        <v>15</v>
      </c>
      <c r="G2924" t="s">
        <v>27</v>
      </c>
      <c r="H2924" t="s">
        <v>28</v>
      </c>
      <c r="I2924" t="s">
        <v>12</v>
      </c>
      <c r="J2924">
        <f t="shared" si="90"/>
        <v>7</v>
      </c>
      <c r="K2924" t="str">
        <f t="shared" si="91"/>
        <v>Budget</v>
      </c>
    </row>
    <row r="2925" spans="2:11" x14ac:dyDescent="0.25">
      <c r="B2925" t="s">
        <v>755</v>
      </c>
      <c r="C2925">
        <v>2016</v>
      </c>
      <c r="D2925" s="1">
        <v>600000</v>
      </c>
      <c r="E2925">
        <v>50000</v>
      </c>
      <c r="F2925" t="s">
        <v>15</v>
      </c>
      <c r="G2925" t="s">
        <v>10</v>
      </c>
      <c r="H2925" t="s">
        <v>11</v>
      </c>
      <c r="I2925" t="s">
        <v>18</v>
      </c>
      <c r="J2925">
        <f t="shared" si="90"/>
        <v>10</v>
      </c>
      <c r="K2925" t="str">
        <f t="shared" si="91"/>
        <v>Mid Range</v>
      </c>
    </row>
    <row r="2926" spans="2:11" x14ac:dyDescent="0.25">
      <c r="B2926" t="s">
        <v>159</v>
      </c>
      <c r="C2926">
        <v>2010</v>
      </c>
      <c r="D2926" s="1">
        <v>150000</v>
      </c>
      <c r="E2926">
        <v>80000</v>
      </c>
      <c r="F2926" t="s">
        <v>15</v>
      </c>
      <c r="G2926" t="s">
        <v>10</v>
      </c>
      <c r="H2926" t="s">
        <v>11</v>
      </c>
      <c r="I2926" t="s">
        <v>18</v>
      </c>
      <c r="J2926">
        <f t="shared" si="90"/>
        <v>16</v>
      </c>
      <c r="K2926" t="str">
        <f t="shared" si="91"/>
        <v>Budget</v>
      </c>
    </row>
    <row r="2927" spans="2:11" x14ac:dyDescent="0.25">
      <c r="B2927" t="s">
        <v>1359</v>
      </c>
      <c r="C2927">
        <v>2017</v>
      </c>
      <c r="D2927" s="1">
        <v>700000</v>
      </c>
      <c r="E2927">
        <v>50000</v>
      </c>
      <c r="F2927" t="s">
        <v>15</v>
      </c>
      <c r="G2927" t="s">
        <v>10</v>
      </c>
      <c r="H2927" t="s">
        <v>11</v>
      </c>
      <c r="I2927" t="s">
        <v>12</v>
      </c>
      <c r="J2927">
        <f t="shared" si="90"/>
        <v>9</v>
      </c>
      <c r="K2927" t="str">
        <f t="shared" si="91"/>
        <v>Mid Range</v>
      </c>
    </row>
    <row r="2928" spans="2:11" x14ac:dyDescent="0.25">
      <c r="B2928" t="s">
        <v>195</v>
      </c>
      <c r="C2928">
        <v>2016</v>
      </c>
      <c r="D2928" s="1">
        <v>1290000</v>
      </c>
      <c r="E2928">
        <v>5000</v>
      </c>
      <c r="F2928" t="s">
        <v>15</v>
      </c>
      <c r="G2928" t="s">
        <v>10</v>
      </c>
      <c r="H2928" t="s">
        <v>11</v>
      </c>
      <c r="I2928" t="s">
        <v>12</v>
      </c>
      <c r="J2928">
        <f t="shared" si="90"/>
        <v>10</v>
      </c>
      <c r="K2928" t="str">
        <f t="shared" si="91"/>
        <v>Premium</v>
      </c>
    </row>
    <row r="2929" spans="2:11" x14ac:dyDescent="0.25">
      <c r="B2929" t="s">
        <v>1360</v>
      </c>
      <c r="C2929">
        <v>2018</v>
      </c>
      <c r="D2929" s="1">
        <v>500000</v>
      </c>
      <c r="E2929">
        <v>10000</v>
      </c>
      <c r="F2929" t="s">
        <v>9</v>
      </c>
      <c r="G2929" t="s">
        <v>10</v>
      </c>
      <c r="H2929" t="s">
        <v>28</v>
      </c>
      <c r="I2929" t="s">
        <v>12</v>
      </c>
      <c r="J2929">
        <f t="shared" si="90"/>
        <v>8</v>
      </c>
      <c r="K2929" t="str">
        <f t="shared" si="91"/>
        <v>Mid Range</v>
      </c>
    </row>
    <row r="2930" spans="2:11" x14ac:dyDescent="0.25">
      <c r="B2930" t="s">
        <v>56</v>
      </c>
      <c r="C2930">
        <v>2012</v>
      </c>
      <c r="D2930" s="1">
        <v>193000</v>
      </c>
      <c r="E2930">
        <v>45000</v>
      </c>
      <c r="F2930" t="s">
        <v>9</v>
      </c>
      <c r="G2930" t="s">
        <v>10</v>
      </c>
      <c r="H2930" t="s">
        <v>11</v>
      </c>
      <c r="I2930" t="s">
        <v>18</v>
      </c>
      <c r="J2930">
        <f t="shared" si="90"/>
        <v>14</v>
      </c>
      <c r="K2930" t="str">
        <f t="shared" si="91"/>
        <v>Budget</v>
      </c>
    </row>
    <row r="2931" spans="2:11" x14ac:dyDescent="0.25">
      <c r="B2931" t="s">
        <v>415</v>
      </c>
      <c r="C2931">
        <v>2015</v>
      </c>
      <c r="D2931" s="1">
        <v>800000</v>
      </c>
      <c r="E2931">
        <v>10000</v>
      </c>
      <c r="F2931" t="s">
        <v>9</v>
      </c>
      <c r="G2931" t="s">
        <v>10</v>
      </c>
      <c r="H2931" t="s">
        <v>11</v>
      </c>
      <c r="I2931" t="s">
        <v>12</v>
      </c>
      <c r="J2931">
        <f t="shared" si="90"/>
        <v>11</v>
      </c>
      <c r="K2931" t="str">
        <f t="shared" si="91"/>
        <v>Mid Range</v>
      </c>
    </row>
    <row r="2932" spans="2:11" x14ac:dyDescent="0.25">
      <c r="B2932" t="s">
        <v>13</v>
      </c>
      <c r="C2932">
        <v>2008</v>
      </c>
      <c r="D2932" s="1">
        <v>150000</v>
      </c>
      <c r="E2932">
        <v>50000</v>
      </c>
      <c r="F2932" t="s">
        <v>9</v>
      </c>
      <c r="G2932" t="s">
        <v>10</v>
      </c>
      <c r="H2932" t="s">
        <v>11</v>
      </c>
      <c r="I2932" t="s">
        <v>12</v>
      </c>
      <c r="J2932">
        <f t="shared" si="90"/>
        <v>18</v>
      </c>
      <c r="K2932" t="str">
        <f t="shared" si="91"/>
        <v>Budget</v>
      </c>
    </row>
    <row r="2933" spans="2:11" x14ac:dyDescent="0.25">
      <c r="B2933" t="s">
        <v>8</v>
      </c>
      <c r="C2933">
        <v>2002</v>
      </c>
      <c r="D2933" s="1">
        <v>80000</v>
      </c>
      <c r="E2933">
        <v>40000</v>
      </c>
      <c r="F2933" t="s">
        <v>9</v>
      </c>
      <c r="G2933" t="s">
        <v>10</v>
      </c>
      <c r="H2933" t="s">
        <v>11</v>
      </c>
      <c r="I2933" t="s">
        <v>46</v>
      </c>
      <c r="J2933">
        <f t="shared" si="90"/>
        <v>24</v>
      </c>
      <c r="K2933" t="str">
        <f t="shared" si="91"/>
        <v>Budget</v>
      </c>
    </row>
    <row r="2934" spans="2:11" x14ac:dyDescent="0.25">
      <c r="B2934" t="s">
        <v>725</v>
      </c>
      <c r="C2934">
        <v>2010</v>
      </c>
      <c r="D2934" s="1">
        <v>130000</v>
      </c>
      <c r="E2934">
        <v>100000</v>
      </c>
      <c r="F2934" t="s">
        <v>15</v>
      </c>
      <c r="G2934" t="s">
        <v>10</v>
      </c>
      <c r="H2934" t="s">
        <v>11</v>
      </c>
      <c r="I2934" t="s">
        <v>49</v>
      </c>
      <c r="J2934">
        <f t="shared" si="90"/>
        <v>16</v>
      </c>
      <c r="K2934" t="str">
        <f t="shared" si="91"/>
        <v>Budget</v>
      </c>
    </row>
    <row r="2935" spans="2:11" x14ac:dyDescent="0.25">
      <c r="B2935" t="s">
        <v>725</v>
      </c>
      <c r="C2935">
        <v>2012</v>
      </c>
      <c r="D2935" s="1">
        <v>280000</v>
      </c>
      <c r="E2935">
        <v>80000</v>
      </c>
      <c r="F2935" t="s">
        <v>15</v>
      </c>
      <c r="G2935" t="s">
        <v>10</v>
      </c>
      <c r="H2935" t="s">
        <v>11</v>
      </c>
      <c r="I2935" t="s">
        <v>18</v>
      </c>
      <c r="J2935">
        <f t="shared" si="90"/>
        <v>14</v>
      </c>
      <c r="K2935" t="str">
        <f t="shared" si="91"/>
        <v>Budget</v>
      </c>
    </row>
    <row r="2936" spans="2:11" x14ac:dyDescent="0.25">
      <c r="B2936" t="s">
        <v>844</v>
      </c>
      <c r="C2936">
        <v>2011</v>
      </c>
      <c r="D2936" s="1">
        <v>229999</v>
      </c>
      <c r="E2936">
        <v>110000</v>
      </c>
      <c r="F2936" t="s">
        <v>15</v>
      </c>
      <c r="G2936" t="s">
        <v>10</v>
      </c>
      <c r="H2936" t="s">
        <v>11</v>
      </c>
      <c r="I2936" t="s">
        <v>18</v>
      </c>
      <c r="J2936">
        <f t="shared" si="90"/>
        <v>15</v>
      </c>
      <c r="K2936" t="str">
        <f t="shared" si="91"/>
        <v>Budget</v>
      </c>
    </row>
    <row r="2937" spans="2:11" x14ac:dyDescent="0.25">
      <c r="B2937" t="s">
        <v>796</v>
      </c>
      <c r="C2937">
        <v>2008</v>
      </c>
      <c r="D2937" s="1">
        <v>80000</v>
      </c>
      <c r="E2937">
        <v>120000</v>
      </c>
      <c r="F2937" t="s">
        <v>9</v>
      </c>
      <c r="G2937" t="s">
        <v>10</v>
      </c>
      <c r="H2937" t="s">
        <v>11</v>
      </c>
      <c r="I2937" t="s">
        <v>12</v>
      </c>
      <c r="J2937">
        <f t="shared" si="90"/>
        <v>18</v>
      </c>
      <c r="K2937" t="str">
        <f t="shared" si="91"/>
        <v>Budget</v>
      </c>
    </row>
    <row r="2938" spans="2:11" x14ac:dyDescent="0.25">
      <c r="B2938" t="s">
        <v>817</v>
      </c>
      <c r="C2938">
        <v>2010</v>
      </c>
      <c r="D2938" s="1">
        <v>70000</v>
      </c>
      <c r="E2938">
        <v>10000</v>
      </c>
      <c r="F2938" t="s">
        <v>9</v>
      </c>
      <c r="G2938" t="s">
        <v>10</v>
      </c>
      <c r="H2938" t="s">
        <v>11</v>
      </c>
      <c r="I2938" t="s">
        <v>12</v>
      </c>
      <c r="J2938">
        <f t="shared" si="90"/>
        <v>16</v>
      </c>
      <c r="K2938" t="str">
        <f t="shared" si="91"/>
        <v>Budget</v>
      </c>
    </row>
    <row r="2939" spans="2:11" x14ac:dyDescent="0.25">
      <c r="B2939" t="s">
        <v>295</v>
      </c>
      <c r="C2939">
        <v>2013</v>
      </c>
      <c r="D2939" s="1">
        <v>240000</v>
      </c>
      <c r="E2939">
        <v>60000</v>
      </c>
      <c r="F2939" t="s">
        <v>15</v>
      </c>
      <c r="G2939" t="s">
        <v>10</v>
      </c>
      <c r="H2939" t="s">
        <v>11</v>
      </c>
      <c r="I2939" t="s">
        <v>18</v>
      </c>
      <c r="J2939">
        <f t="shared" si="90"/>
        <v>13</v>
      </c>
      <c r="K2939" t="str">
        <f t="shared" si="91"/>
        <v>Budget</v>
      </c>
    </row>
    <row r="2940" spans="2:11" x14ac:dyDescent="0.25">
      <c r="B2940" t="s">
        <v>1112</v>
      </c>
      <c r="C2940">
        <v>2010</v>
      </c>
      <c r="D2940" s="1">
        <v>380000</v>
      </c>
      <c r="E2940">
        <v>72000</v>
      </c>
      <c r="F2940" t="s">
        <v>15</v>
      </c>
      <c r="G2940" t="s">
        <v>10</v>
      </c>
      <c r="H2940" t="s">
        <v>11</v>
      </c>
      <c r="I2940" t="s">
        <v>18</v>
      </c>
      <c r="J2940">
        <f t="shared" si="90"/>
        <v>16</v>
      </c>
      <c r="K2940" t="str">
        <f t="shared" si="91"/>
        <v>Budget</v>
      </c>
    </row>
    <row r="2941" spans="2:11" x14ac:dyDescent="0.25">
      <c r="B2941" t="s">
        <v>92</v>
      </c>
      <c r="C2941">
        <v>2006</v>
      </c>
      <c r="D2941" s="1">
        <v>80000</v>
      </c>
      <c r="E2941">
        <v>110000</v>
      </c>
      <c r="F2941" t="s">
        <v>9</v>
      </c>
      <c r="G2941" t="s">
        <v>10</v>
      </c>
      <c r="H2941" t="s">
        <v>11</v>
      </c>
      <c r="I2941" t="s">
        <v>12</v>
      </c>
      <c r="J2941">
        <f t="shared" si="90"/>
        <v>20</v>
      </c>
      <c r="K2941" t="str">
        <f t="shared" si="91"/>
        <v>Budget</v>
      </c>
    </row>
    <row r="2942" spans="2:11" x14ac:dyDescent="0.25">
      <c r="B2942" t="s">
        <v>212</v>
      </c>
      <c r="C2942">
        <v>2013</v>
      </c>
      <c r="D2942" s="1">
        <v>265000</v>
      </c>
      <c r="E2942">
        <v>50000</v>
      </c>
      <c r="F2942" t="s">
        <v>9</v>
      </c>
      <c r="G2942" t="s">
        <v>10</v>
      </c>
      <c r="H2942" t="s">
        <v>11</v>
      </c>
      <c r="I2942" t="s">
        <v>12</v>
      </c>
      <c r="J2942">
        <f t="shared" si="90"/>
        <v>13</v>
      </c>
      <c r="K2942" t="str">
        <f t="shared" si="91"/>
        <v>Budget</v>
      </c>
    </row>
    <row r="2943" spans="2:11" x14ac:dyDescent="0.25">
      <c r="B2943" t="s">
        <v>1361</v>
      </c>
      <c r="C2943">
        <v>2018</v>
      </c>
      <c r="D2943" s="1">
        <v>320000</v>
      </c>
      <c r="E2943">
        <v>25000</v>
      </c>
      <c r="F2943" t="s">
        <v>9</v>
      </c>
      <c r="G2943" t="s">
        <v>10</v>
      </c>
      <c r="H2943" t="s">
        <v>11</v>
      </c>
      <c r="I2943" t="s">
        <v>12</v>
      </c>
      <c r="J2943">
        <f t="shared" si="90"/>
        <v>8</v>
      </c>
      <c r="K2943" t="str">
        <f t="shared" si="91"/>
        <v>Budget</v>
      </c>
    </row>
    <row r="2944" spans="2:11" x14ac:dyDescent="0.25">
      <c r="B2944" t="s">
        <v>772</v>
      </c>
      <c r="C2944">
        <v>2014</v>
      </c>
      <c r="D2944" s="1">
        <v>500000</v>
      </c>
      <c r="E2944">
        <v>120000</v>
      </c>
      <c r="F2944" t="s">
        <v>15</v>
      </c>
      <c r="G2944" t="s">
        <v>10</v>
      </c>
      <c r="H2944" t="s">
        <v>11</v>
      </c>
      <c r="I2944" t="s">
        <v>49</v>
      </c>
      <c r="J2944">
        <f t="shared" si="90"/>
        <v>12</v>
      </c>
      <c r="K2944" t="str">
        <f t="shared" si="91"/>
        <v>Mid Range</v>
      </c>
    </row>
    <row r="2945" spans="2:11" x14ac:dyDescent="0.25">
      <c r="B2945" t="s">
        <v>582</v>
      </c>
      <c r="C2945">
        <v>2016</v>
      </c>
      <c r="D2945" s="1">
        <v>1300000</v>
      </c>
      <c r="E2945">
        <v>55000</v>
      </c>
      <c r="F2945" t="s">
        <v>15</v>
      </c>
      <c r="G2945" t="s">
        <v>10</v>
      </c>
      <c r="H2945" t="s">
        <v>11</v>
      </c>
      <c r="I2945" t="s">
        <v>12</v>
      </c>
      <c r="J2945">
        <f t="shared" si="90"/>
        <v>10</v>
      </c>
      <c r="K2945" t="str">
        <f t="shared" si="91"/>
        <v>Premium</v>
      </c>
    </row>
    <row r="2946" spans="2:11" x14ac:dyDescent="0.25">
      <c r="B2946" t="s">
        <v>207</v>
      </c>
      <c r="C2946">
        <v>2018</v>
      </c>
      <c r="D2946" s="1">
        <v>1500000</v>
      </c>
      <c r="E2946">
        <v>35000</v>
      </c>
      <c r="F2946" t="s">
        <v>15</v>
      </c>
      <c r="G2946" t="s">
        <v>10</v>
      </c>
      <c r="H2946" t="s">
        <v>11</v>
      </c>
      <c r="I2946" t="s">
        <v>12</v>
      </c>
      <c r="J2946">
        <f t="shared" si="90"/>
        <v>8</v>
      </c>
      <c r="K2946" t="str">
        <f t="shared" si="91"/>
        <v>Premium</v>
      </c>
    </row>
    <row r="2947" spans="2:11" x14ac:dyDescent="0.25">
      <c r="B2947" t="s">
        <v>502</v>
      </c>
      <c r="C2947">
        <v>2016</v>
      </c>
      <c r="D2947" s="1">
        <v>1800000</v>
      </c>
      <c r="E2947">
        <v>110000</v>
      </c>
      <c r="F2947" t="s">
        <v>15</v>
      </c>
      <c r="G2947" t="s">
        <v>10</v>
      </c>
      <c r="H2947" t="s">
        <v>28</v>
      </c>
      <c r="I2947" t="s">
        <v>12</v>
      </c>
      <c r="J2947">
        <f t="shared" si="90"/>
        <v>10</v>
      </c>
      <c r="K2947" t="str">
        <f t="shared" si="91"/>
        <v>Premium</v>
      </c>
    </row>
    <row r="2948" spans="2:11" x14ac:dyDescent="0.25">
      <c r="B2948" t="s">
        <v>195</v>
      </c>
      <c r="C2948">
        <v>2014</v>
      </c>
      <c r="D2948" s="1">
        <v>600000</v>
      </c>
      <c r="E2948">
        <v>80000</v>
      </c>
      <c r="F2948" t="s">
        <v>15</v>
      </c>
      <c r="G2948" t="s">
        <v>10</v>
      </c>
      <c r="H2948" t="s">
        <v>11</v>
      </c>
      <c r="I2948" t="s">
        <v>18</v>
      </c>
      <c r="J2948">
        <f t="shared" si="90"/>
        <v>12</v>
      </c>
      <c r="K2948" t="str">
        <f t="shared" si="91"/>
        <v>Mid Range</v>
      </c>
    </row>
    <row r="2949" spans="2:11" x14ac:dyDescent="0.25">
      <c r="B2949" t="s">
        <v>1362</v>
      </c>
      <c r="C2949">
        <v>2018</v>
      </c>
      <c r="D2949" s="1">
        <v>420000</v>
      </c>
      <c r="E2949">
        <v>80000</v>
      </c>
      <c r="F2949" t="s">
        <v>9</v>
      </c>
      <c r="G2949" t="s">
        <v>10</v>
      </c>
      <c r="H2949" t="s">
        <v>11</v>
      </c>
      <c r="I2949" t="s">
        <v>12</v>
      </c>
      <c r="J2949">
        <f t="shared" si="90"/>
        <v>8</v>
      </c>
      <c r="K2949" t="str">
        <f t="shared" si="91"/>
        <v>Budget</v>
      </c>
    </row>
    <row r="2950" spans="2:11" x14ac:dyDescent="0.25">
      <c r="B2950" t="s">
        <v>1194</v>
      </c>
      <c r="C2950">
        <v>2009</v>
      </c>
      <c r="D2950" s="1">
        <v>140000</v>
      </c>
      <c r="E2950">
        <v>120000</v>
      </c>
      <c r="F2950" t="s">
        <v>9</v>
      </c>
      <c r="G2950" t="s">
        <v>10</v>
      </c>
      <c r="H2950" t="s">
        <v>11</v>
      </c>
      <c r="I2950" t="s">
        <v>12</v>
      </c>
      <c r="J2950">
        <f t="shared" ref="J2950:J3013" si="92">2026 - C2950</f>
        <v>17</v>
      </c>
      <c r="K2950" t="str">
        <f t="shared" ref="K2950:K3013" si="93">IF(D2950&lt;500000,"Budget",IF(D2950&lt;=1000000,"Mid Range","Premium"))</f>
        <v>Budget</v>
      </c>
    </row>
    <row r="2951" spans="2:11" x14ac:dyDescent="0.25">
      <c r="B2951" t="s">
        <v>428</v>
      </c>
      <c r="C2951">
        <v>2010</v>
      </c>
      <c r="D2951" s="1">
        <v>300000</v>
      </c>
      <c r="E2951">
        <v>100000</v>
      </c>
      <c r="F2951" t="s">
        <v>15</v>
      </c>
      <c r="G2951" t="s">
        <v>10</v>
      </c>
      <c r="H2951" t="s">
        <v>11</v>
      </c>
      <c r="I2951" t="s">
        <v>18</v>
      </c>
      <c r="J2951">
        <f t="shared" si="92"/>
        <v>16</v>
      </c>
      <c r="K2951" t="str">
        <f t="shared" si="93"/>
        <v>Budget</v>
      </c>
    </row>
    <row r="2952" spans="2:11" x14ac:dyDescent="0.25">
      <c r="B2952" t="s">
        <v>147</v>
      </c>
      <c r="C2952">
        <v>2006</v>
      </c>
      <c r="D2952" s="1">
        <v>100000</v>
      </c>
      <c r="E2952">
        <v>60000</v>
      </c>
      <c r="F2952" t="s">
        <v>9</v>
      </c>
      <c r="G2952" t="s">
        <v>27</v>
      </c>
      <c r="H2952" t="s">
        <v>11</v>
      </c>
      <c r="I2952" t="s">
        <v>18</v>
      </c>
      <c r="J2952">
        <f t="shared" si="92"/>
        <v>20</v>
      </c>
      <c r="K2952" t="str">
        <f t="shared" si="93"/>
        <v>Budget</v>
      </c>
    </row>
    <row r="2953" spans="2:11" x14ac:dyDescent="0.25">
      <c r="B2953" t="s">
        <v>170</v>
      </c>
      <c r="C2953">
        <v>2017</v>
      </c>
      <c r="D2953" s="1">
        <v>350000</v>
      </c>
      <c r="E2953">
        <v>25000</v>
      </c>
      <c r="F2953" t="s">
        <v>9</v>
      </c>
      <c r="G2953" t="s">
        <v>27</v>
      </c>
      <c r="H2953" t="s">
        <v>11</v>
      </c>
      <c r="I2953" t="s">
        <v>12</v>
      </c>
      <c r="J2953">
        <f t="shared" si="92"/>
        <v>9</v>
      </c>
      <c r="K2953" t="str">
        <f t="shared" si="93"/>
        <v>Budget</v>
      </c>
    </row>
    <row r="2954" spans="2:11" x14ac:dyDescent="0.25">
      <c r="B2954" t="s">
        <v>932</v>
      </c>
      <c r="C2954">
        <v>2018</v>
      </c>
      <c r="D2954" s="1">
        <v>850000</v>
      </c>
      <c r="E2954">
        <v>19000</v>
      </c>
      <c r="F2954" t="s">
        <v>9</v>
      </c>
      <c r="G2954" t="s">
        <v>27</v>
      </c>
      <c r="H2954" t="s">
        <v>11</v>
      </c>
      <c r="I2954" t="s">
        <v>12</v>
      </c>
      <c r="J2954">
        <f t="shared" si="92"/>
        <v>8</v>
      </c>
      <c r="K2954" t="str">
        <f t="shared" si="93"/>
        <v>Mid Range</v>
      </c>
    </row>
    <row r="2955" spans="2:11" x14ac:dyDescent="0.25">
      <c r="B2955" t="s">
        <v>172</v>
      </c>
      <c r="C2955">
        <v>2008</v>
      </c>
      <c r="D2955" s="1">
        <v>140000</v>
      </c>
      <c r="E2955">
        <v>54000</v>
      </c>
      <c r="F2955" t="s">
        <v>9</v>
      </c>
      <c r="G2955" t="s">
        <v>27</v>
      </c>
      <c r="H2955" t="s">
        <v>11</v>
      </c>
      <c r="I2955" t="s">
        <v>12</v>
      </c>
      <c r="J2955">
        <f t="shared" si="92"/>
        <v>18</v>
      </c>
      <c r="K2955" t="str">
        <f t="shared" si="93"/>
        <v>Budget</v>
      </c>
    </row>
    <row r="2956" spans="2:11" x14ac:dyDescent="0.25">
      <c r="B2956" t="s">
        <v>1138</v>
      </c>
      <c r="C2956">
        <v>2015</v>
      </c>
      <c r="D2956" s="1">
        <v>550000</v>
      </c>
      <c r="E2956">
        <v>17100</v>
      </c>
      <c r="F2956" t="s">
        <v>9</v>
      </c>
      <c r="G2956" t="s">
        <v>27</v>
      </c>
      <c r="H2956" t="s">
        <v>11</v>
      </c>
      <c r="I2956" t="s">
        <v>18</v>
      </c>
      <c r="J2956">
        <f t="shared" si="92"/>
        <v>11</v>
      </c>
      <c r="K2956" t="str">
        <f t="shared" si="93"/>
        <v>Mid Range</v>
      </c>
    </row>
    <row r="2957" spans="2:11" x14ac:dyDescent="0.25">
      <c r="B2957" t="s">
        <v>1363</v>
      </c>
      <c r="C2957">
        <v>2017</v>
      </c>
      <c r="D2957" s="1">
        <v>525000</v>
      </c>
      <c r="E2957">
        <v>19000</v>
      </c>
      <c r="F2957" t="s">
        <v>9</v>
      </c>
      <c r="G2957" t="s">
        <v>27</v>
      </c>
      <c r="H2957" t="s">
        <v>28</v>
      </c>
      <c r="I2957" t="s">
        <v>12</v>
      </c>
      <c r="J2957">
        <f t="shared" si="92"/>
        <v>9</v>
      </c>
      <c r="K2957" t="str">
        <f t="shared" si="93"/>
        <v>Mid Range</v>
      </c>
    </row>
    <row r="2958" spans="2:11" x14ac:dyDescent="0.25">
      <c r="B2958" t="s">
        <v>325</v>
      </c>
      <c r="C2958">
        <v>2015</v>
      </c>
      <c r="D2958" s="1">
        <v>470000</v>
      </c>
      <c r="E2958">
        <v>146000</v>
      </c>
      <c r="F2958" t="s">
        <v>15</v>
      </c>
      <c r="G2958" t="s">
        <v>27</v>
      </c>
      <c r="H2958" t="s">
        <v>11</v>
      </c>
      <c r="I2958" t="s">
        <v>12</v>
      </c>
      <c r="J2958">
        <f t="shared" si="92"/>
        <v>11</v>
      </c>
      <c r="K2958" t="str">
        <f t="shared" si="93"/>
        <v>Budget</v>
      </c>
    </row>
    <row r="2959" spans="2:11" x14ac:dyDescent="0.25">
      <c r="B2959" t="s">
        <v>608</v>
      </c>
      <c r="C2959">
        <v>2013</v>
      </c>
      <c r="D2959" s="1">
        <v>900000</v>
      </c>
      <c r="E2959">
        <v>98000</v>
      </c>
      <c r="F2959" t="s">
        <v>15</v>
      </c>
      <c r="G2959" t="s">
        <v>27</v>
      </c>
      <c r="H2959" t="s">
        <v>28</v>
      </c>
      <c r="I2959" t="s">
        <v>12</v>
      </c>
      <c r="J2959">
        <f t="shared" si="92"/>
        <v>13</v>
      </c>
      <c r="K2959" t="str">
        <f t="shared" si="93"/>
        <v>Mid Range</v>
      </c>
    </row>
    <row r="2960" spans="2:11" x14ac:dyDescent="0.25">
      <c r="B2960" t="s">
        <v>1364</v>
      </c>
      <c r="C2960">
        <v>2011</v>
      </c>
      <c r="D2960" s="1">
        <v>500000</v>
      </c>
      <c r="E2960">
        <v>224642</v>
      </c>
      <c r="F2960" t="s">
        <v>15</v>
      </c>
      <c r="G2960" t="s">
        <v>27</v>
      </c>
      <c r="H2960" t="s">
        <v>11</v>
      </c>
      <c r="I2960" t="s">
        <v>18</v>
      </c>
      <c r="J2960">
        <f t="shared" si="92"/>
        <v>15</v>
      </c>
      <c r="K2960" t="str">
        <f t="shared" si="93"/>
        <v>Mid Range</v>
      </c>
    </row>
    <row r="2961" spans="2:11" x14ac:dyDescent="0.25">
      <c r="B2961" t="s">
        <v>507</v>
      </c>
      <c r="C2961">
        <v>1998</v>
      </c>
      <c r="D2961" s="1">
        <v>80000</v>
      </c>
      <c r="E2961">
        <v>120000</v>
      </c>
      <c r="F2961" t="s">
        <v>9</v>
      </c>
      <c r="G2961" t="s">
        <v>10</v>
      </c>
      <c r="H2961" t="s">
        <v>11</v>
      </c>
      <c r="I2961" t="s">
        <v>18</v>
      </c>
      <c r="J2961">
        <f t="shared" si="92"/>
        <v>28</v>
      </c>
      <c r="K2961" t="str">
        <f t="shared" si="93"/>
        <v>Budget</v>
      </c>
    </row>
    <row r="2962" spans="2:11" x14ac:dyDescent="0.25">
      <c r="B2962" t="s">
        <v>1315</v>
      </c>
      <c r="C2962">
        <v>2011</v>
      </c>
      <c r="D2962" s="1">
        <v>175000</v>
      </c>
      <c r="E2962">
        <v>175000</v>
      </c>
      <c r="F2962" t="s">
        <v>15</v>
      </c>
      <c r="G2962" t="s">
        <v>10</v>
      </c>
      <c r="H2962" t="s">
        <v>11</v>
      </c>
      <c r="I2962" t="s">
        <v>12</v>
      </c>
      <c r="J2962">
        <f t="shared" si="92"/>
        <v>15</v>
      </c>
      <c r="K2962" t="str">
        <f t="shared" si="93"/>
        <v>Budget</v>
      </c>
    </row>
    <row r="2963" spans="2:11" x14ac:dyDescent="0.25">
      <c r="B2963" t="s">
        <v>944</v>
      </c>
      <c r="C2963">
        <v>2017</v>
      </c>
      <c r="D2963" s="1">
        <v>1350000</v>
      </c>
      <c r="E2963">
        <v>15000</v>
      </c>
      <c r="F2963" t="s">
        <v>15</v>
      </c>
      <c r="G2963" t="s">
        <v>10</v>
      </c>
      <c r="H2963" t="s">
        <v>28</v>
      </c>
      <c r="I2963" t="s">
        <v>18</v>
      </c>
      <c r="J2963">
        <f t="shared" si="92"/>
        <v>9</v>
      </c>
      <c r="K2963" t="str">
        <f t="shared" si="93"/>
        <v>Premium</v>
      </c>
    </row>
    <row r="2964" spans="2:11" x14ac:dyDescent="0.25">
      <c r="B2964" t="s">
        <v>163</v>
      </c>
      <c r="C2964">
        <v>2017</v>
      </c>
      <c r="D2964" s="1">
        <v>800000</v>
      </c>
      <c r="E2964">
        <v>50000</v>
      </c>
      <c r="F2964" t="s">
        <v>15</v>
      </c>
      <c r="G2964" t="s">
        <v>10</v>
      </c>
      <c r="H2964" t="s">
        <v>11</v>
      </c>
      <c r="I2964" t="s">
        <v>12</v>
      </c>
      <c r="J2964">
        <f t="shared" si="92"/>
        <v>9</v>
      </c>
      <c r="K2964" t="str">
        <f t="shared" si="93"/>
        <v>Mid Range</v>
      </c>
    </row>
    <row r="2965" spans="2:11" x14ac:dyDescent="0.25">
      <c r="B2965" t="s">
        <v>97</v>
      </c>
      <c r="C2965">
        <v>2017</v>
      </c>
      <c r="D2965" s="1">
        <v>250000</v>
      </c>
      <c r="E2965">
        <v>15000</v>
      </c>
      <c r="F2965" t="s">
        <v>9</v>
      </c>
      <c r="G2965" t="s">
        <v>10</v>
      </c>
      <c r="H2965" t="s">
        <v>11</v>
      </c>
      <c r="I2965" t="s">
        <v>12</v>
      </c>
      <c r="J2965">
        <f t="shared" si="92"/>
        <v>9</v>
      </c>
      <c r="K2965" t="str">
        <f t="shared" si="93"/>
        <v>Budget</v>
      </c>
    </row>
    <row r="2966" spans="2:11" x14ac:dyDescent="0.25">
      <c r="B2966" t="s">
        <v>1365</v>
      </c>
      <c r="C2966">
        <v>2018</v>
      </c>
      <c r="D2966" s="1">
        <v>700000</v>
      </c>
      <c r="E2966">
        <v>25000</v>
      </c>
      <c r="F2966" t="s">
        <v>9</v>
      </c>
      <c r="G2966" t="s">
        <v>10</v>
      </c>
      <c r="H2966" t="s">
        <v>28</v>
      </c>
      <c r="I2966" t="s">
        <v>12</v>
      </c>
      <c r="J2966">
        <f t="shared" si="92"/>
        <v>8</v>
      </c>
      <c r="K2966" t="str">
        <f t="shared" si="93"/>
        <v>Mid Range</v>
      </c>
    </row>
    <row r="2967" spans="2:11" x14ac:dyDescent="0.25">
      <c r="B2967" t="s">
        <v>1366</v>
      </c>
      <c r="C2967">
        <v>2019</v>
      </c>
      <c r="D2967" s="1">
        <v>800000</v>
      </c>
      <c r="E2967">
        <v>25000</v>
      </c>
      <c r="F2967" t="s">
        <v>15</v>
      </c>
      <c r="G2967" t="s">
        <v>10</v>
      </c>
      <c r="H2967" t="s">
        <v>11</v>
      </c>
      <c r="I2967" t="s">
        <v>12</v>
      </c>
      <c r="J2967">
        <f t="shared" si="92"/>
        <v>7</v>
      </c>
      <c r="K2967" t="str">
        <f t="shared" si="93"/>
        <v>Mid Range</v>
      </c>
    </row>
    <row r="2968" spans="2:11" x14ac:dyDescent="0.25">
      <c r="B2968" t="s">
        <v>195</v>
      </c>
      <c r="C2968">
        <v>2013</v>
      </c>
      <c r="D2968" s="1">
        <v>660000</v>
      </c>
      <c r="E2968">
        <v>69000</v>
      </c>
      <c r="F2968" t="s">
        <v>15</v>
      </c>
      <c r="G2968" t="s">
        <v>10</v>
      </c>
      <c r="H2968" t="s">
        <v>11</v>
      </c>
      <c r="I2968" t="s">
        <v>12</v>
      </c>
      <c r="J2968">
        <f t="shared" si="92"/>
        <v>13</v>
      </c>
      <c r="K2968" t="str">
        <f t="shared" si="93"/>
        <v>Mid Range</v>
      </c>
    </row>
    <row r="2969" spans="2:11" x14ac:dyDescent="0.25">
      <c r="B2969" t="s">
        <v>162</v>
      </c>
      <c r="C2969">
        <v>2015</v>
      </c>
      <c r="D2969" s="1">
        <v>465000</v>
      </c>
      <c r="E2969">
        <v>60000</v>
      </c>
      <c r="F2969" t="s">
        <v>15</v>
      </c>
      <c r="G2969" t="s">
        <v>10</v>
      </c>
      <c r="H2969" t="s">
        <v>11</v>
      </c>
      <c r="I2969" t="s">
        <v>49</v>
      </c>
      <c r="J2969">
        <f t="shared" si="92"/>
        <v>11</v>
      </c>
      <c r="K2969" t="str">
        <f t="shared" si="93"/>
        <v>Budget</v>
      </c>
    </row>
    <row r="2970" spans="2:11" x14ac:dyDescent="0.25">
      <c r="B2970" t="s">
        <v>1097</v>
      </c>
      <c r="C2970">
        <v>2006</v>
      </c>
      <c r="D2970" s="1">
        <v>180000</v>
      </c>
      <c r="E2970">
        <v>222435</v>
      </c>
      <c r="F2970" t="s">
        <v>15</v>
      </c>
      <c r="G2970" t="s">
        <v>10</v>
      </c>
      <c r="H2970" t="s">
        <v>11</v>
      </c>
      <c r="I2970" t="s">
        <v>18</v>
      </c>
      <c r="J2970">
        <f t="shared" si="92"/>
        <v>20</v>
      </c>
      <c r="K2970" t="str">
        <f t="shared" si="93"/>
        <v>Budget</v>
      </c>
    </row>
    <row r="2971" spans="2:11" x14ac:dyDescent="0.25">
      <c r="B2971" t="s">
        <v>114</v>
      </c>
      <c r="C2971">
        <v>2017</v>
      </c>
      <c r="D2971" s="1">
        <v>600000</v>
      </c>
      <c r="E2971">
        <v>66000</v>
      </c>
      <c r="F2971" t="s">
        <v>15</v>
      </c>
      <c r="G2971" t="s">
        <v>10</v>
      </c>
      <c r="H2971" t="s">
        <v>11</v>
      </c>
      <c r="I2971" t="s">
        <v>49</v>
      </c>
      <c r="J2971">
        <f t="shared" si="92"/>
        <v>9</v>
      </c>
      <c r="K2971" t="str">
        <f t="shared" si="93"/>
        <v>Mid Range</v>
      </c>
    </row>
    <row r="2972" spans="2:11" x14ac:dyDescent="0.25">
      <c r="B2972" t="s">
        <v>1367</v>
      </c>
      <c r="C2972">
        <v>2010</v>
      </c>
      <c r="D2972" s="1">
        <v>150000</v>
      </c>
      <c r="E2972">
        <v>110000</v>
      </c>
      <c r="F2972" t="s">
        <v>9</v>
      </c>
      <c r="G2972" t="s">
        <v>10</v>
      </c>
      <c r="H2972" t="s">
        <v>11</v>
      </c>
      <c r="I2972" t="s">
        <v>12</v>
      </c>
      <c r="J2972">
        <f t="shared" si="92"/>
        <v>16</v>
      </c>
      <c r="K2972" t="str">
        <f t="shared" si="93"/>
        <v>Budget</v>
      </c>
    </row>
    <row r="2973" spans="2:11" x14ac:dyDescent="0.25">
      <c r="B2973" t="s">
        <v>14</v>
      </c>
      <c r="C2973">
        <v>2014</v>
      </c>
      <c r="D2973" s="1">
        <v>450000</v>
      </c>
      <c r="E2973">
        <v>78000</v>
      </c>
      <c r="F2973" t="s">
        <v>15</v>
      </c>
      <c r="G2973" t="s">
        <v>10</v>
      </c>
      <c r="H2973" t="s">
        <v>11</v>
      </c>
      <c r="I2973" t="s">
        <v>18</v>
      </c>
      <c r="J2973">
        <f t="shared" si="92"/>
        <v>12</v>
      </c>
      <c r="K2973" t="str">
        <f t="shared" si="93"/>
        <v>Budget</v>
      </c>
    </row>
    <row r="2974" spans="2:11" x14ac:dyDescent="0.25">
      <c r="B2974" t="s">
        <v>1022</v>
      </c>
      <c r="C2974">
        <v>2019</v>
      </c>
      <c r="D2974" s="1">
        <v>721000</v>
      </c>
      <c r="E2974">
        <v>10000</v>
      </c>
      <c r="F2974" t="s">
        <v>9</v>
      </c>
      <c r="G2974" t="s">
        <v>10</v>
      </c>
      <c r="H2974" t="s">
        <v>11</v>
      </c>
      <c r="I2974" t="s">
        <v>12</v>
      </c>
      <c r="J2974">
        <f t="shared" si="92"/>
        <v>7</v>
      </c>
      <c r="K2974" t="str">
        <f t="shared" si="93"/>
        <v>Mid Range</v>
      </c>
    </row>
    <row r="2975" spans="2:11" x14ac:dyDescent="0.25">
      <c r="B2975" t="s">
        <v>692</v>
      </c>
      <c r="C2975">
        <v>2018</v>
      </c>
      <c r="D2975" s="1">
        <v>300000</v>
      </c>
      <c r="E2975">
        <v>35000</v>
      </c>
      <c r="F2975" t="s">
        <v>9</v>
      </c>
      <c r="G2975" t="s">
        <v>10</v>
      </c>
      <c r="H2975" t="s">
        <v>11</v>
      </c>
      <c r="I2975" t="s">
        <v>12</v>
      </c>
      <c r="J2975">
        <f t="shared" si="92"/>
        <v>8</v>
      </c>
      <c r="K2975" t="str">
        <f t="shared" si="93"/>
        <v>Budget</v>
      </c>
    </row>
    <row r="2976" spans="2:11" x14ac:dyDescent="0.25">
      <c r="B2976" t="s">
        <v>1273</v>
      </c>
      <c r="C2976">
        <v>2019</v>
      </c>
      <c r="D2976" s="1">
        <v>1000000</v>
      </c>
      <c r="E2976">
        <v>10000</v>
      </c>
      <c r="F2976" t="s">
        <v>15</v>
      </c>
      <c r="G2976" t="s">
        <v>10</v>
      </c>
      <c r="H2976" t="s">
        <v>11</v>
      </c>
      <c r="I2976" t="s">
        <v>12</v>
      </c>
      <c r="J2976">
        <f t="shared" si="92"/>
        <v>7</v>
      </c>
      <c r="K2976" t="str">
        <f t="shared" si="93"/>
        <v>Mid Range</v>
      </c>
    </row>
    <row r="2977" spans="2:11" x14ac:dyDescent="0.25">
      <c r="B2977" t="s">
        <v>110</v>
      </c>
      <c r="C2977">
        <v>2016</v>
      </c>
      <c r="D2977" s="1">
        <v>300000</v>
      </c>
      <c r="E2977">
        <v>40000</v>
      </c>
      <c r="F2977" t="s">
        <v>9</v>
      </c>
      <c r="G2977" t="s">
        <v>10</v>
      </c>
      <c r="H2977" t="s">
        <v>11</v>
      </c>
      <c r="I2977" t="s">
        <v>12</v>
      </c>
      <c r="J2977">
        <f t="shared" si="92"/>
        <v>10</v>
      </c>
      <c r="K2977" t="str">
        <f t="shared" si="93"/>
        <v>Budget</v>
      </c>
    </row>
    <row r="2978" spans="2:11" x14ac:dyDescent="0.25">
      <c r="B2978" t="s">
        <v>55</v>
      </c>
      <c r="C2978">
        <v>2013</v>
      </c>
      <c r="D2978" s="1">
        <v>450000</v>
      </c>
      <c r="E2978">
        <v>120000</v>
      </c>
      <c r="F2978" t="s">
        <v>15</v>
      </c>
      <c r="G2978" t="s">
        <v>10</v>
      </c>
      <c r="H2978" t="s">
        <v>11</v>
      </c>
      <c r="I2978" t="s">
        <v>12</v>
      </c>
      <c r="J2978">
        <f t="shared" si="92"/>
        <v>13</v>
      </c>
      <c r="K2978" t="str">
        <f t="shared" si="93"/>
        <v>Budget</v>
      </c>
    </row>
    <row r="2979" spans="2:11" x14ac:dyDescent="0.25">
      <c r="B2979" t="s">
        <v>1368</v>
      </c>
      <c r="C2979">
        <v>1997</v>
      </c>
      <c r="D2979" s="1">
        <v>79000</v>
      </c>
      <c r="E2979">
        <v>70000</v>
      </c>
      <c r="F2979" t="s">
        <v>9</v>
      </c>
      <c r="G2979" t="s">
        <v>10</v>
      </c>
      <c r="H2979" t="s">
        <v>28</v>
      </c>
      <c r="I2979" t="s">
        <v>12</v>
      </c>
      <c r="J2979">
        <f t="shared" si="92"/>
        <v>29</v>
      </c>
      <c r="K2979" t="str">
        <f t="shared" si="93"/>
        <v>Budget</v>
      </c>
    </row>
    <row r="2980" spans="2:11" x14ac:dyDescent="0.25">
      <c r="B2980" t="s">
        <v>1196</v>
      </c>
      <c r="C2980">
        <v>2017</v>
      </c>
      <c r="D2980" s="1">
        <v>545000</v>
      </c>
      <c r="E2980">
        <v>40000</v>
      </c>
      <c r="F2980" t="s">
        <v>15</v>
      </c>
      <c r="G2980" t="s">
        <v>10</v>
      </c>
      <c r="H2980" t="s">
        <v>11</v>
      </c>
      <c r="I2980" t="s">
        <v>12</v>
      </c>
      <c r="J2980">
        <f t="shared" si="92"/>
        <v>9</v>
      </c>
      <c r="K2980" t="str">
        <f t="shared" si="93"/>
        <v>Mid Range</v>
      </c>
    </row>
    <row r="2981" spans="2:11" x14ac:dyDescent="0.25">
      <c r="B2981" t="s">
        <v>1369</v>
      </c>
      <c r="C2981">
        <v>2018</v>
      </c>
      <c r="D2981" s="1">
        <v>844999</v>
      </c>
      <c r="E2981">
        <v>20000</v>
      </c>
      <c r="F2981" t="s">
        <v>15</v>
      </c>
      <c r="G2981" t="s">
        <v>10</v>
      </c>
      <c r="H2981" t="s">
        <v>11</v>
      </c>
      <c r="I2981" t="s">
        <v>12</v>
      </c>
      <c r="J2981">
        <f t="shared" si="92"/>
        <v>8</v>
      </c>
      <c r="K2981" t="str">
        <f t="shared" si="93"/>
        <v>Mid Range</v>
      </c>
    </row>
    <row r="2982" spans="2:11" x14ac:dyDescent="0.25">
      <c r="B2982" t="s">
        <v>1370</v>
      </c>
      <c r="C2982">
        <v>2016</v>
      </c>
      <c r="D2982" s="1">
        <v>700000</v>
      </c>
      <c r="E2982">
        <v>93000</v>
      </c>
      <c r="F2982" t="s">
        <v>15</v>
      </c>
      <c r="G2982" t="s">
        <v>10</v>
      </c>
      <c r="H2982" t="s">
        <v>11</v>
      </c>
      <c r="I2982" t="s">
        <v>12</v>
      </c>
      <c r="J2982">
        <f t="shared" si="92"/>
        <v>10</v>
      </c>
      <c r="K2982" t="str">
        <f t="shared" si="93"/>
        <v>Mid Range</v>
      </c>
    </row>
    <row r="2983" spans="2:11" x14ac:dyDescent="0.25">
      <c r="B2983" t="s">
        <v>377</v>
      </c>
      <c r="C2983">
        <v>2016</v>
      </c>
      <c r="D2983" s="1">
        <v>650000</v>
      </c>
      <c r="E2983">
        <v>159000</v>
      </c>
      <c r="F2983" t="s">
        <v>15</v>
      </c>
      <c r="G2983" t="s">
        <v>10</v>
      </c>
      <c r="H2983" t="s">
        <v>11</v>
      </c>
      <c r="I2983" t="s">
        <v>12</v>
      </c>
      <c r="J2983">
        <f t="shared" si="92"/>
        <v>10</v>
      </c>
      <c r="K2983" t="str">
        <f t="shared" si="93"/>
        <v>Mid Range</v>
      </c>
    </row>
    <row r="2984" spans="2:11" x14ac:dyDescent="0.25">
      <c r="B2984" t="s">
        <v>325</v>
      </c>
      <c r="C2984">
        <v>2014</v>
      </c>
      <c r="D2984" s="1">
        <v>525000</v>
      </c>
      <c r="E2984">
        <v>75000</v>
      </c>
      <c r="F2984" t="s">
        <v>15</v>
      </c>
      <c r="G2984" t="s">
        <v>10</v>
      </c>
      <c r="H2984" t="s">
        <v>11</v>
      </c>
      <c r="I2984" t="s">
        <v>18</v>
      </c>
      <c r="J2984">
        <f t="shared" si="92"/>
        <v>12</v>
      </c>
      <c r="K2984" t="str">
        <f t="shared" si="93"/>
        <v>Mid Range</v>
      </c>
    </row>
    <row r="2985" spans="2:11" x14ac:dyDescent="0.25">
      <c r="B2985" t="s">
        <v>226</v>
      </c>
      <c r="C2985">
        <v>2006</v>
      </c>
      <c r="D2985" s="1">
        <v>110000</v>
      </c>
      <c r="E2985">
        <v>101100</v>
      </c>
      <c r="F2985" t="s">
        <v>15</v>
      </c>
      <c r="G2985" t="s">
        <v>10</v>
      </c>
      <c r="H2985" t="s">
        <v>11</v>
      </c>
      <c r="I2985" t="s">
        <v>49</v>
      </c>
      <c r="J2985">
        <f t="shared" si="92"/>
        <v>20</v>
      </c>
      <c r="K2985" t="str">
        <f t="shared" si="93"/>
        <v>Budget</v>
      </c>
    </row>
    <row r="2986" spans="2:11" x14ac:dyDescent="0.25">
      <c r="B2986" t="s">
        <v>1371</v>
      </c>
      <c r="C2986">
        <v>2011</v>
      </c>
      <c r="D2986" s="1">
        <v>180000</v>
      </c>
      <c r="E2986">
        <v>66000</v>
      </c>
      <c r="F2986" t="s">
        <v>15</v>
      </c>
      <c r="G2986" t="s">
        <v>10</v>
      </c>
      <c r="H2986" t="s">
        <v>11</v>
      </c>
      <c r="I2986" t="s">
        <v>12</v>
      </c>
      <c r="J2986">
        <f t="shared" si="92"/>
        <v>15</v>
      </c>
      <c r="K2986" t="str">
        <f t="shared" si="93"/>
        <v>Budget</v>
      </c>
    </row>
    <row r="2987" spans="2:11" x14ac:dyDescent="0.25">
      <c r="B2987" t="s">
        <v>212</v>
      </c>
      <c r="C2987">
        <v>2012</v>
      </c>
      <c r="D2987" s="1">
        <v>280000</v>
      </c>
      <c r="E2987">
        <v>30000</v>
      </c>
      <c r="F2987" t="s">
        <v>9</v>
      </c>
      <c r="G2987" t="s">
        <v>10</v>
      </c>
      <c r="H2987" t="s">
        <v>11</v>
      </c>
      <c r="I2987" t="s">
        <v>18</v>
      </c>
      <c r="J2987">
        <f t="shared" si="92"/>
        <v>14</v>
      </c>
      <c r="K2987" t="str">
        <f t="shared" si="93"/>
        <v>Budget</v>
      </c>
    </row>
    <row r="2988" spans="2:11" x14ac:dyDescent="0.25">
      <c r="B2988" t="s">
        <v>306</v>
      </c>
      <c r="C2988">
        <v>2019</v>
      </c>
      <c r="D2988" s="1">
        <v>400000</v>
      </c>
      <c r="E2988">
        <v>10000</v>
      </c>
      <c r="F2988" t="s">
        <v>9</v>
      </c>
      <c r="G2988" t="s">
        <v>10</v>
      </c>
      <c r="H2988" t="s">
        <v>11</v>
      </c>
      <c r="I2988" t="s">
        <v>12</v>
      </c>
      <c r="J2988">
        <f t="shared" si="92"/>
        <v>7</v>
      </c>
      <c r="K2988" t="str">
        <f t="shared" si="93"/>
        <v>Budget</v>
      </c>
    </row>
    <row r="2989" spans="2:11" x14ac:dyDescent="0.25">
      <c r="B2989" t="s">
        <v>495</v>
      </c>
      <c r="C2989">
        <v>2012</v>
      </c>
      <c r="D2989" s="1">
        <v>625000</v>
      </c>
      <c r="E2989">
        <v>126000</v>
      </c>
      <c r="F2989" t="s">
        <v>15</v>
      </c>
      <c r="G2989" t="s">
        <v>10</v>
      </c>
      <c r="H2989" t="s">
        <v>11</v>
      </c>
      <c r="I2989" t="s">
        <v>18</v>
      </c>
      <c r="J2989">
        <f t="shared" si="92"/>
        <v>14</v>
      </c>
      <c r="K2989" t="str">
        <f t="shared" si="93"/>
        <v>Mid Range</v>
      </c>
    </row>
    <row r="2990" spans="2:11" x14ac:dyDescent="0.25">
      <c r="B2990" t="s">
        <v>733</v>
      </c>
      <c r="C2990">
        <v>2015</v>
      </c>
      <c r="D2990" s="1">
        <v>535000</v>
      </c>
      <c r="E2990">
        <v>70000</v>
      </c>
      <c r="F2990" t="s">
        <v>15</v>
      </c>
      <c r="G2990" t="s">
        <v>10</v>
      </c>
      <c r="H2990" t="s">
        <v>11</v>
      </c>
      <c r="I2990" t="s">
        <v>12</v>
      </c>
      <c r="J2990">
        <f t="shared" si="92"/>
        <v>11</v>
      </c>
      <c r="K2990" t="str">
        <f t="shared" si="93"/>
        <v>Mid Range</v>
      </c>
    </row>
    <row r="2991" spans="2:11" x14ac:dyDescent="0.25">
      <c r="B2991" t="s">
        <v>907</v>
      </c>
      <c r="C2991">
        <v>2017</v>
      </c>
      <c r="D2991" s="1">
        <v>459999</v>
      </c>
      <c r="E2991">
        <v>50000</v>
      </c>
      <c r="F2991" t="s">
        <v>15</v>
      </c>
      <c r="G2991" t="s">
        <v>10</v>
      </c>
      <c r="H2991" t="s">
        <v>11</v>
      </c>
      <c r="I2991" t="s">
        <v>12</v>
      </c>
      <c r="J2991">
        <f t="shared" si="92"/>
        <v>9</v>
      </c>
      <c r="K2991" t="str">
        <f t="shared" si="93"/>
        <v>Budget</v>
      </c>
    </row>
    <row r="2992" spans="2:11" x14ac:dyDescent="0.25">
      <c r="B2992" t="s">
        <v>662</v>
      </c>
      <c r="C2992">
        <v>2010</v>
      </c>
      <c r="D2992" s="1">
        <v>300000</v>
      </c>
      <c r="E2992">
        <v>100000</v>
      </c>
      <c r="F2992" t="s">
        <v>15</v>
      </c>
      <c r="G2992" t="s">
        <v>10</v>
      </c>
      <c r="H2992" t="s">
        <v>11</v>
      </c>
      <c r="I2992" t="s">
        <v>12</v>
      </c>
      <c r="J2992">
        <f t="shared" si="92"/>
        <v>16</v>
      </c>
      <c r="K2992" t="str">
        <f t="shared" si="93"/>
        <v>Budget</v>
      </c>
    </row>
    <row r="2993" spans="2:11" x14ac:dyDescent="0.25">
      <c r="B2993" t="s">
        <v>79</v>
      </c>
      <c r="C2993">
        <v>2007</v>
      </c>
      <c r="D2993" s="1">
        <v>280000</v>
      </c>
      <c r="E2993">
        <v>60000</v>
      </c>
      <c r="F2993" t="s">
        <v>9</v>
      </c>
      <c r="G2993" t="s">
        <v>10</v>
      </c>
      <c r="H2993" t="s">
        <v>28</v>
      </c>
      <c r="I2993" t="s">
        <v>12</v>
      </c>
      <c r="J2993">
        <f t="shared" si="92"/>
        <v>19</v>
      </c>
      <c r="K2993" t="str">
        <f t="shared" si="93"/>
        <v>Budget</v>
      </c>
    </row>
    <row r="2994" spans="2:11" x14ac:dyDescent="0.25">
      <c r="B2994" t="s">
        <v>558</v>
      </c>
      <c r="C2994">
        <v>2014</v>
      </c>
      <c r="D2994" s="1">
        <v>500000</v>
      </c>
      <c r="E2994">
        <v>70000</v>
      </c>
      <c r="F2994" t="s">
        <v>9</v>
      </c>
      <c r="G2994" t="s">
        <v>10</v>
      </c>
      <c r="H2994" t="s">
        <v>11</v>
      </c>
      <c r="I2994" t="s">
        <v>12</v>
      </c>
      <c r="J2994">
        <f t="shared" si="92"/>
        <v>12</v>
      </c>
      <c r="K2994" t="str">
        <f t="shared" si="93"/>
        <v>Mid Range</v>
      </c>
    </row>
    <row r="2995" spans="2:11" x14ac:dyDescent="0.25">
      <c r="B2995" t="s">
        <v>1372</v>
      </c>
      <c r="C2995">
        <v>2019</v>
      </c>
      <c r="D2995" s="1">
        <v>1200000</v>
      </c>
      <c r="E2995">
        <v>1200</v>
      </c>
      <c r="F2995" t="s">
        <v>9</v>
      </c>
      <c r="G2995" t="s">
        <v>10</v>
      </c>
      <c r="H2995" t="s">
        <v>11</v>
      </c>
      <c r="I2995" t="s">
        <v>12</v>
      </c>
      <c r="J2995">
        <f t="shared" si="92"/>
        <v>7</v>
      </c>
      <c r="K2995" t="str">
        <f t="shared" si="93"/>
        <v>Premium</v>
      </c>
    </row>
    <row r="2996" spans="2:11" x14ac:dyDescent="0.25">
      <c r="B2996" t="s">
        <v>1373</v>
      </c>
      <c r="C2996">
        <v>2011</v>
      </c>
      <c r="D2996" s="1">
        <v>180000</v>
      </c>
      <c r="E2996">
        <v>134444</v>
      </c>
      <c r="F2996" t="s">
        <v>9</v>
      </c>
      <c r="G2996" t="s">
        <v>10</v>
      </c>
      <c r="H2996" t="s">
        <v>28</v>
      </c>
      <c r="I2996" t="s">
        <v>18</v>
      </c>
      <c r="J2996">
        <f t="shared" si="92"/>
        <v>15</v>
      </c>
      <c r="K2996" t="str">
        <f t="shared" si="93"/>
        <v>Budget</v>
      </c>
    </row>
    <row r="2997" spans="2:11" x14ac:dyDescent="0.25">
      <c r="B2997" t="s">
        <v>58</v>
      </c>
      <c r="C2997">
        <v>2009</v>
      </c>
      <c r="D2997" s="1">
        <v>78000</v>
      </c>
      <c r="E2997">
        <v>120000</v>
      </c>
      <c r="F2997" t="s">
        <v>9</v>
      </c>
      <c r="G2997" t="s">
        <v>10</v>
      </c>
      <c r="H2997" t="s">
        <v>11</v>
      </c>
      <c r="I2997" t="s">
        <v>18</v>
      </c>
      <c r="J2997">
        <f t="shared" si="92"/>
        <v>17</v>
      </c>
      <c r="K2997" t="str">
        <f t="shared" si="93"/>
        <v>Budget</v>
      </c>
    </row>
    <row r="2998" spans="2:11" x14ac:dyDescent="0.25">
      <c r="B2998" t="s">
        <v>762</v>
      </c>
      <c r="C2998">
        <v>2011</v>
      </c>
      <c r="D2998" s="1">
        <v>160000</v>
      </c>
      <c r="E2998">
        <v>120000</v>
      </c>
      <c r="F2998" t="s">
        <v>15</v>
      </c>
      <c r="G2998" t="s">
        <v>10</v>
      </c>
      <c r="H2998" t="s">
        <v>11</v>
      </c>
      <c r="I2998" t="s">
        <v>12</v>
      </c>
      <c r="J2998">
        <f t="shared" si="92"/>
        <v>15</v>
      </c>
      <c r="K2998" t="str">
        <f t="shared" si="93"/>
        <v>Budget</v>
      </c>
    </row>
    <row r="2999" spans="2:11" x14ac:dyDescent="0.25">
      <c r="B2999" t="s">
        <v>851</v>
      </c>
      <c r="C2999">
        <v>2014</v>
      </c>
      <c r="D2999" s="1">
        <v>600000</v>
      </c>
      <c r="E2999">
        <v>238000</v>
      </c>
      <c r="F2999" t="s">
        <v>15</v>
      </c>
      <c r="G2999" t="s">
        <v>10</v>
      </c>
      <c r="H2999" t="s">
        <v>11</v>
      </c>
      <c r="I2999" t="s">
        <v>12</v>
      </c>
      <c r="J2999">
        <f t="shared" si="92"/>
        <v>12</v>
      </c>
      <c r="K2999" t="str">
        <f t="shared" si="93"/>
        <v>Mid Range</v>
      </c>
    </row>
    <row r="3000" spans="2:11" x14ac:dyDescent="0.25">
      <c r="B3000" t="s">
        <v>13</v>
      </c>
      <c r="C3000">
        <v>2008</v>
      </c>
      <c r="D3000" s="1">
        <v>110000</v>
      </c>
      <c r="E3000">
        <v>100000</v>
      </c>
      <c r="F3000" t="s">
        <v>9</v>
      </c>
      <c r="G3000" t="s">
        <v>10</v>
      </c>
      <c r="H3000" t="s">
        <v>11</v>
      </c>
      <c r="I3000" t="s">
        <v>18</v>
      </c>
      <c r="J3000">
        <f t="shared" si="92"/>
        <v>18</v>
      </c>
      <c r="K3000" t="str">
        <f t="shared" si="93"/>
        <v>Budget</v>
      </c>
    </row>
    <row r="3001" spans="2:11" x14ac:dyDescent="0.25">
      <c r="B3001" t="s">
        <v>1374</v>
      </c>
      <c r="C3001">
        <v>2011</v>
      </c>
      <c r="D3001" s="1">
        <v>450000</v>
      </c>
      <c r="E3001">
        <v>110000</v>
      </c>
      <c r="F3001" t="s">
        <v>15</v>
      </c>
      <c r="G3001" t="s">
        <v>10</v>
      </c>
      <c r="H3001" t="s">
        <v>11</v>
      </c>
      <c r="I3001" t="s">
        <v>18</v>
      </c>
      <c r="J3001">
        <f t="shared" si="92"/>
        <v>15</v>
      </c>
      <c r="K3001" t="str">
        <f t="shared" si="93"/>
        <v>Budget</v>
      </c>
    </row>
    <row r="3002" spans="2:11" x14ac:dyDescent="0.25">
      <c r="B3002" t="s">
        <v>1375</v>
      </c>
      <c r="C3002">
        <v>2019</v>
      </c>
      <c r="D3002" s="1">
        <v>1350000</v>
      </c>
      <c r="E3002">
        <v>35000</v>
      </c>
      <c r="F3002" t="s">
        <v>15</v>
      </c>
      <c r="G3002" t="s">
        <v>10</v>
      </c>
      <c r="H3002" t="s">
        <v>11</v>
      </c>
      <c r="I3002" t="s">
        <v>12</v>
      </c>
      <c r="J3002">
        <f t="shared" si="92"/>
        <v>7</v>
      </c>
      <c r="K3002" t="str">
        <f t="shared" si="93"/>
        <v>Premium</v>
      </c>
    </row>
    <row r="3003" spans="2:11" x14ac:dyDescent="0.25">
      <c r="B3003" t="s">
        <v>1376</v>
      </c>
      <c r="C3003">
        <v>2003</v>
      </c>
      <c r="D3003" s="1">
        <v>120000</v>
      </c>
      <c r="E3003">
        <v>165000</v>
      </c>
      <c r="F3003" t="s">
        <v>9</v>
      </c>
      <c r="G3003" t="s">
        <v>10</v>
      </c>
      <c r="H3003" t="s">
        <v>11</v>
      </c>
      <c r="I3003" t="s">
        <v>18</v>
      </c>
      <c r="J3003">
        <f t="shared" si="92"/>
        <v>23</v>
      </c>
      <c r="K3003" t="str">
        <f t="shared" si="93"/>
        <v>Budget</v>
      </c>
    </row>
    <row r="3004" spans="2:11" x14ac:dyDescent="0.25">
      <c r="B3004" t="s">
        <v>1050</v>
      </c>
      <c r="C3004">
        <v>2018</v>
      </c>
      <c r="D3004" s="1">
        <v>1040000</v>
      </c>
      <c r="E3004">
        <v>42000</v>
      </c>
      <c r="F3004" t="s">
        <v>15</v>
      </c>
      <c r="G3004" t="s">
        <v>10</v>
      </c>
      <c r="H3004" t="s">
        <v>11</v>
      </c>
      <c r="I3004" t="s">
        <v>12</v>
      </c>
      <c r="J3004">
        <f t="shared" si="92"/>
        <v>8</v>
      </c>
      <c r="K3004" t="str">
        <f t="shared" si="93"/>
        <v>Premium</v>
      </c>
    </row>
    <row r="3005" spans="2:11" x14ac:dyDescent="0.25">
      <c r="B3005" t="s">
        <v>84</v>
      </c>
      <c r="C3005">
        <v>2014</v>
      </c>
      <c r="D3005" s="1">
        <v>390000</v>
      </c>
      <c r="E3005">
        <v>70000</v>
      </c>
      <c r="F3005" t="s">
        <v>15</v>
      </c>
      <c r="G3005" t="s">
        <v>10</v>
      </c>
      <c r="H3005" t="s">
        <v>11</v>
      </c>
      <c r="I3005" t="s">
        <v>18</v>
      </c>
      <c r="J3005">
        <f t="shared" si="92"/>
        <v>12</v>
      </c>
      <c r="K3005" t="str">
        <f t="shared" si="93"/>
        <v>Budget</v>
      </c>
    </row>
    <row r="3006" spans="2:11" x14ac:dyDescent="0.25">
      <c r="B3006" t="s">
        <v>1377</v>
      </c>
      <c r="C3006">
        <v>2011</v>
      </c>
      <c r="D3006" s="1">
        <v>65000</v>
      </c>
      <c r="E3006">
        <v>60000</v>
      </c>
      <c r="F3006" t="s">
        <v>9</v>
      </c>
      <c r="G3006" t="s">
        <v>10</v>
      </c>
      <c r="H3006" t="s">
        <v>11</v>
      </c>
      <c r="I3006" t="s">
        <v>18</v>
      </c>
      <c r="J3006">
        <f t="shared" si="92"/>
        <v>15</v>
      </c>
      <c r="K3006" t="str">
        <f t="shared" si="93"/>
        <v>Budget</v>
      </c>
    </row>
    <row r="3007" spans="2:11" x14ac:dyDescent="0.25">
      <c r="B3007" t="s">
        <v>478</v>
      </c>
      <c r="C3007">
        <v>2013</v>
      </c>
      <c r="D3007" s="1">
        <v>320000</v>
      </c>
      <c r="E3007">
        <v>115000</v>
      </c>
      <c r="F3007" t="s">
        <v>15</v>
      </c>
      <c r="G3007" t="s">
        <v>10</v>
      </c>
      <c r="H3007" t="s">
        <v>11</v>
      </c>
      <c r="I3007" t="s">
        <v>49</v>
      </c>
      <c r="J3007">
        <f t="shared" si="92"/>
        <v>13</v>
      </c>
      <c r="K3007" t="str">
        <f t="shared" si="93"/>
        <v>Budget</v>
      </c>
    </row>
    <row r="3008" spans="2:11" x14ac:dyDescent="0.25">
      <c r="B3008" t="s">
        <v>202</v>
      </c>
      <c r="C3008">
        <v>2017</v>
      </c>
      <c r="D3008" s="1">
        <v>720000</v>
      </c>
      <c r="E3008">
        <v>70000</v>
      </c>
      <c r="F3008" t="s">
        <v>15</v>
      </c>
      <c r="G3008" t="s">
        <v>10</v>
      </c>
      <c r="H3008" t="s">
        <v>11</v>
      </c>
      <c r="I3008" t="s">
        <v>12</v>
      </c>
      <c r="J3008">
        <f t="shared" si="92"/>
        <v>9</v>
      </c>
      <c r="K3008" t="str">
        <f t="shared" si="93"/>
        <v>Mid Range</v>
      </c>
    </row>
    <row r="3009" spans="2:11" x14ac:dyDescent="0.25">
      <c r="B3009" t="s">
        <v>862</v>
      </c>
      <c r="C3009">
        <v>2007</v>
      </c>
      <c r="D3009" s="1">
        <v>220000</v>
      </c>
      <c r="E3009">
        <v>80000</v>
      </c>
      <c r="F3009" t="s">
        <v>9</v>
      </c>
      <c r="G3009" t="s">
        <v>10</v>
      </c>
      <c r="H3009" t="s">
        <v>11</v>
      </c>
      <c r="I3009" t="s">
        <v>18</v>
      </c>
      <c r="J3009">
        <f t="shared" si="92"/>
        <v>19</v>
      </c>
      <c r="K3009" t="str">
        <f t="shared" si="93"/>
        <v>Budget</v>
      </c>
    </row>
    <row r="3010" spans="2:11" x14ac:dyDescent="0.25">
      <c r="B3010" t="s">
        <v>500</v>
      </c>
      <c r="C3010">
        <v>2011</v>
      </c>
      <c r="D3010" s="1">
        <v>225000</v>
      </c>
      <c r="E3010">
        <v>65000</v>
      </c>
      <c r="F3010" t="s">
        <v>9</v>
      </c>
      <c r="G3010" t="s">
        <v>27</v>
      </c>
      <c r="H3010" t="s">
        <v>11</v>
      </c>
      <c r="I3010" t="s">
        <v>12</v>
      </c>
      <c r="J3010">
        <f t="shared" si="92"/>
        <v>15</v>
      </c>
      <c r="K3010" t="str">
        <f t="shared" si="93"/>
        <v>Budget</v>
      </c>
    </row>
    <row r="3011" spans="2:11" x14ac:dyDescent="0.25">
      <c r="B3011" t="s">
        <v>954</v>
      </c>
      <c r="C3011">
        <v>2010</v>
      </c>
      <c r="D3011" s="1">
        <v>200000</v>
      </c>
      <c r="E3011">
        <v>150000</v>
      </c>
      <c r="F3011" t="s">
        <v>15</v>
      </c>
      <c r="G3011" t="s">
        <v>10</v>
      </c>
      <c r="H3011" t="s">
        <v>11</v>
      </c>
      <c r="I3011" t="s">
        <v>18</v>
      </c>
      <c r="J3011">
        <f t="shared" si="92"/>
        <v>16</v>
      </c>
      <c r="K3011" t="str">
        <f t="shared" si="93"/>
        <v>Budget</v>
      </c>
    </row>
    <row r="3012" spans="2:11" x14ac:dyDescent="0.25">
      <c r="B3012" t="s">
        <v>69</v>
      </c>
      <c r="C3012">
        <v>2015</v>
      </c>
      <c r="D3012" s="1">
        <v>434999</v>
      </c>
      <c r="E3012">
        <v>75000</v>
      </c>
      <c r="F3012" t="s">
        <v>15</v>
      </c>
      <c r="G3012" t="s">
        <v>27</v>
      </c>
      <c r="H3012" t="s">
        <v>11</v>
      </c>
      <c r="I3012" t="s">
        <v>18</v>
      </c>
      <c r="J3012">
        <f t="shared" si="92"/>
        <v>11</v>
      </c>
      <c r="K3012" t="str">
        <f t="shared" si="93"/>
        <v>Budget</v>
      </c>
    </row>
    <row r="3013" spans="2:11" x14ac:dyDescent="0.25">
      <c r="B3013" t="s">
        <v>180</v>
      </c>
      <c r="C3013">
        <v>2012</v>
      </c>
      <c r="D3013" s="1">
        <v>300000</v>
      </c>
      <c r="E3013">
        <v>63700</v>
      </c>
      <c r="F3013" t="s">
        <v>15</v>
      </c>
      <c r="G3013" t="s">
        <v>10</v>
      </c>
      <c r="H3013" t="s">
        <v>11</v>
      </c>
      <c r="I3013" t="s">
        <v>12</v>
      </c>
      <c r="J3013">
        <f t="shared" si="92"/>
        <v>14</v>
      </c>
      <c r="K3013" t="str">
        <f t="shared" si="93"/>
        <v>Budget</v>
      </c>
    </row>
    <row r="3014" spans="2:11" x14ac:dyDescent="0.25">
      <c r="B3014" t="s">
        <v>17</v>
      </c>
      <c r="C3014">
        <v>2018</v>
      </c>
      <c r="D3014" s="1">
        <v>700000</v>
      </c>
      <c r="E3014">
        <v>74800</v>
      </c>
      <c r="F3014" t="s">
        <v>15</v>
      </c>
      <c r="G3014" t="s">
        <v>10</v>
      </c>
      <c r="H3014" t="s">
        <v>11</v>
      </c>
      <c r="I3014" t="s">
        <v>12</v>
      </c>
      <c r="J3014">
        <f t="shared" ref="J3014:J3077" si="94">2026 - C3014</f>
        <v>8</v>
      </c>
      <c r="K3014" t="str">
        <f t="shared" ref="K3014:K3077" si="95">IF(D3014&lt;500000,"Budget",IF(D3014&lt;=1000000,"Mid Range","Premium"))</f>
        <v>Mid Range</v>
      </c>
    </row>
    <row r="3015" spans="2:11" x14ac:dyDescent="0.25">
      <c r="B3015" t="s">
        <v>328</v>
      </c>
      <c r="C3015">
        <v>2009</v>
      </c>
      <c r="D3015" s="1">
        <v>500000</v>
      </c>
      <c r="E3015">
        <v>105000</v>
      </c>
      <c r="F3015" t="s">
        <v>15</v>
      </c>
      <c r="G3015" t="s">
        <v>10</v>
      </c>
      <c r="H3015" t="s">
        <v>11</v>
      </c>
      <c r="I3015" t="s">
        <v>18</v>
      </c>
      <c r="J3015">
        <f t="shared" si="94"/>
        <v>17</v>
      </c>
      <c r="K3015" t="str">
        <f t="shared" si="95"/>
        <v>Mid Range</v>
      </c>
    </row>
    <row r="3016" spans="2:11" x14ac:dyDescent="0.25">
      <c r="B3016" t="s">
        <v>344</v>
      </c>
      <c r="C3016">
        <v>2016</v>
      </c>
      <c r="D3016" s="1">
        <v>500000</v>
      </c>
      <c r="E3016">
        <v>40000</v>
      </c>
      <c r="F3016" t="s">
        <v>15</v>
      </c>
      <c r="G3016" t="s">
        <v>10</v>
      </c>
      <c r="H3016" t="s">
        <v>11</v>
      </c>
      <c r="I3016" t="s">
        <v>12</v>
      </c>
      <c r="J3016">
        <f t="shared" si="94"/>
        <v>10</v>
      </c>
      <c r="K3016" t="str">
        <f t="shared" si="95"/>
        <v>Mid Range</v>
      </c>
    </row>
    <row r="3017" spans="2:11" x14ac:dyDescent="0.25">
      <c r="B3017" t="s">
        <v>389</v>
      </c>
      <c r="C3017">
        <v>2016</v>
      </c>
      <c r="D3017" s="1">
        <v>400000</v>
      </c>
      <c r="E3017">
        <v>90000</v>
      </c>
      <c r="F3017" t="s">
        <v>15</v>
      </c>
      <c r="G3017" t="s">
        <v>10</v>
      </c>
      <c r="H3017" t="s">
        <v>11</v>
      </c>
      <c r="I3017" t="s">
        <v>18</v>
      </c>
      <c r="J3017">
        <f t="shared" si="94"/>
        <v>10</v>
      </c>
      <c r="K3017" t="str">
        <f t="shared" si="95"/>
        <v>Budget</v>
      </c>
    </row>
    <row r="3018" spans="2:11" x14ac:dyDescent="0.25">
      <c r="B3018" t="s">
        <v>709</v>
      </c>
      <c r="C3018">
        <v>2015</v>
      </c>
      <c r="D3018" s="1">
        <v>825000</v>
      </c>
      <c r="E3018">
        <v>75000</v>
      </c>
      <c r="F3018" t="s">
        <v>15</v>
      </c>
      <c r="G3018" t="s">
        <v>27</v>
      </c>
      <c r="H3018" t="s">
        <v>11</v>
      </c>
      <c r="I3018" t="s">
        <v>18</v>
      </c>
      <c r="J3018">
        <f t="shared" si="94"/>
        <v>11</v>
      </c>
      <c r="K3018" t="str">
        <f t="shared" si="95"/>
        <v>Mid Range</v>
      </c>
    </row>
    <row r="3019" spans="2:11" x14ac:dyDescent="0.25">
      <c r="B3019" t="s">
        <v>114</v>
      </c>
      <c r="C3019">
        <v>2018</v>
      </c>
      <c r="D3019" s="1">
        <v>720000</v>
      </c>
      <c r="E3019">
        <v>15000</v>
      </c>
      <c r="F3019" t="s">
        <v>15</v>
      </c>
      <c r="G3019" t="s">
        <v>10</v>
      </c>
      <c r="H3019" t="s">
        <v>11</v>
      </c>
      <c r="I3019" t="s">
        <v>12</v>
      </c>
      <c r="J3019">
        <f t="shared" si="94"/>
        <v>8</v>
      </c>
      <c r="K3019" t="str">
        <f t="shared" si="95"/>
        <v>Mid Range</v>
      </c>
    </row>
    <row r="3020" spans="2:11" x14ac:dyDescent="0.25">
      <c r="B3020" t="s">
        <v>1378</v>
      </c>
      <c r="C3020">
        <v>2009</v>
      </c>
      <c r="D3020" s="1">
        <v>110000</v>
      </c>
      <c r="E3020">
        <v>30000</v>
      </c>
      <c r="F3020" t="s">
        <v>9</v>
      </c>
      <c r="G3020" t="s">
        <v>10</v>
      </c>
      <c r="H3020" t="s">
        <v>11</v>
      </c>
      <c r="I3020" t="s">
        <v>18</v>
      </c>
      <c r="J3020">
        <f t="shared" si="94"/>
        <v>17</v>
      </c>
      <c r="K3020" t="str">
        <f t="shared" si="95"/>
        <v>Budget</v>
      </c>
    </row>
    <row r="3021" spans="2:11" x14ac:dyDescent="0.25">
      <c r="B3021" t="s">
        <v>851</v>
      </c>
      <c r="C3021">
        <v>2014</v>
      </c>
      <c r="D3021" s="1">
        <v>600000</v>
      </c>
      <c r="E3021">
        <v>100000</v>
      </c>
      <c r="F3021" t="s">
        <v>15</v>
      </c>
      <c r="G3021" t="s">
        <v>10</v>
      </c>
      <c r="H3021" t="s">
        <v>11</v>
      </c>
      <c r="I3021" t="s">
        <v>18</v>
      </c>
      <c r="J3021">
        <f t="shared" si="94"/>
        <v>12</v>
      </c>
      <c r="K3021" t="str">
        <f t="shared" si="95"/>
        <v>Mid Range</v>
      </c>
    </row>
    <row r="3022" spans="2:11" x14ac:dyDescent="0.25">
      <c r="B3022" t="s">
        <v>1379</v>
      </c>
      <c r="C3022">
        <v>2009</v>
      </c>
      <c r="D3022" s="1">
        <v>275000</v>
      </c>
      <c r="E3022">
        <v>155000</v>
      </c>
      <c r="F3022" t="s">
        <v>15</v>
      </c>
      <c r="G3022" t="s">
        <v>10</v>
      </c>
      <c r="H3022" t="s">
        <v>28</v>
      </c>
      <c r="I3022" t="s">
        <v>49</v>
      </c>
      <c r="J3022">
        <f t="shared" si="94"/>
        <v>17</v>
      </c>
      <c r="K3022" t="str">
        <f t="shared" si="95"/>
        <v>Budget</v>
      </c>
    </row>
    <row r="3023" spans="2:11" x14ac:dyDescent="0.25">
      <c r="B3023" t="s">
        <v>1380</v>
      </c>
      <c r="C3023">
        <v>2012</v>
      </c>
      <c r="D3023" s="1">
        <v>2349000</v>
      </c>
      <c r="E3023">
        <v>149000</v>
      </c>
      <c r="F3023" t="s">
        <v>15</v>
      </c>
      <c r="G3023" t="s">
        <v>10</v>
      </c>
      <c r="H3023" t="s">
        <v>28</v>
      </c>
      <c r="I3023" t="s">
        <v>18</v>
      </c>
      <c r="J3023">
        <f t="shared" si="94"/>
        <v>14</v>
      </c>
      <c r="K3023" t="str">
        <f t="shared" si="95"/>
        <v>Premium</v>
      </c>
    </row>
    <row r="3024" spans="2:11" x14ac:dyDescent="0.25">
      <c r="B3024" t="s">
        <v>233</v>
      </c>
      <c r="C3024">
        <v>2017</v>
      </c>
      <c r="D3024" s="1">
        <v>740000</v>
      </c>
      <c r="E3024">
        <v>60000</v>
      </c>
      <c r="F3024" t="s">
        <v>15</v>
      </c>
      <c r="G3024" t="s">
        <v>10</v>
      </c>
      <c r="H3024" t="s">
        <v>11</v>
      </c>
      <c r="I3024" t="s">
        <v>12</v>
      </c>
      <c r="J3024">
        <f t="shared" si="94"/>
        <v>9</v>
      </c>
      <c r="K3024" t="str">
        <f t="shared" si="95"/>
        <v>Mid Range</v>
      </c>
    </row>
    <row r="3025" spans="2:11" x14ac:dyDescent="0.25">
      <c r="B3025" t="s">
        <v>280</v>
      </c>
      <c r="C3025">
        <v>2017</v>
      </c>
      <c r="D3025" s="1">
        <v>800000</v>
      </c>
      <c r="E3025">
        <v>90000</v>
      </c>
      <c r="F3025" t="s">
        <v>15</v>
      </c>
      <c r="G3025" t="s">
        <v>10</v>
      </c>
      <c r="H3025" t="s">
        <v>11</v>
      </c>
      <c r="I3025" t="s">
        <v>12</v>
      </c>
      <c r="J3025">
        <f t="shared" si="94"/>
        <v>9</v>
      </c>
      <c r="K3025" t="str">
        <f t="shared" si="95"/>
        <v>Mid Range</v>
      </c>
    </row>
    <row r="3026" spans="2:11" x14ac:dyDescent="0.25">
      <c r="B3026" t="s">
        <v>490</v>
      </c>
      <c r="C3026">
        <v>2019</v>
      </c>
      <c r="D3026" s="1">
        <v>1100000</v>
      </c>
      <c r="E3026">
        <v>100000</v>
      </c>
      <c r="F3026" t="s">
        <v>15</v>
      </c>
      <c r="G3026" t="s">
        <v>10</v>
      </c>
      <c r="H3026" t="s">
        <v>11</v>
      </c>
      <c r="I3026" t="s">
        <v>12</v>
      </c>
      <c r="J3026">
        <f t="shared" si="94"/>
        <v>7</v>
      </c>
      <c r="K3026" t="str">
        <f t="shared" si="95"/>
        <v>Premium</v>
      </c>
    </row>
    <row r="3027" spans="2:11" x14ac:dyDescent="0.25">
      <c r="B3027" t="s">
        <v>1145</v>
      </c>
      <c r="C3027">
        <v>2012</v>
      </c>
      <c r="D3027" s="1">
        <v>750000</v>
      </c>
      <c r="E3027">
        <v>100000</v>
      </c>
      <c r="F3027" t="s">
        <v>15</v>
      </c>
      <c r="G3027" t="s">
        <v>10</v>
      </c>
      <c r="H3027" t="s">
        <v>28</v>
      </c>
      <c r="I3027" t="s">
        <v>18</v>
      </c>
      <c r="J3027">
        <f t="shared" si="94"/>
        <v>14</v>
      </c>
      <c r="K3027" t="str">
        <f t="shared" si="95"/>
        <v>Mid Range</v>
      </c>
    </row>
    <row r="3028" spans="2:11" x14ac:dyDescent="0.25">
      <c r="B3028" t="s">
        <v>453</v>
      </c>
      <c r="C3028">
        <v>2012</v>
      </c>
      <c r="D3028" s="1">
        <v>200000</v>
      </c>
      <c r="E3028">
        <v>90000</v>
      </c>
      <c r="F3028" t="s">
        <v>9</v>
      </c>
      <c r="G3028" t="s">
        <v>10</v>
      </c>
      <c r="H3028" t="s">
        <v>11</v>
      </c>
      <c r="I3028" t="s">
        <v>18</v>
      </c>
      <c r="J3028">
        <f t="shared" si="94"/>
        <v>14</v>
      </c>
      <c r="K3028" t="str">
        <f t="shared" si="95"/>
        <v>Budget</v>
      </c>
    </row>
    <row r="3029" spans="2:11" x14ac:dyDescent="0.25">
      <c r="B3029" t="s">
        <v>1381</v>
      </c>
      <c r="C3029">
        <v>2009</v>
      </c>
      <c r="D3029" s="1">
        <v>210000</v>
      </c>
      <c r="E3029">
        <v>75000</v>
      </c>
      <c r="F3029" t="s">
        <v>15</v>
      </c>
      <c r="G3029" t="s">
        <v>10</v>
      </c>
      <c r="H3029" t="s">
        <v>11</v>
      </c>
      <c r="I3029" t="s">
        <v>12</v>
      </c>
      <c r="J3029">
        <f t="shared" si="94"/>
        <v>17</v>
      </c>
      <c r="K3029" t="str">
        <f t="shared" si="95"/>
        <v>Budget</v>
      </c>
    </row>
    <row r="3030" spans="2:11" x14ac:dyDescent="0.25">
      <c r="B3030" t="s">
        <v>162</v>
      </c>
      <c r="C3030">
        <v>2009</v>
      </c>
      <c r="D3030" s="1">
        <v>270000</v>
      </c>
      <c r="E3030">
        <v>120000</v>
      </c>
      <c r="F3030" t="s">
        <v>15</v>
      </c>
      <c r="G3030" t="s">
        <v>10</v>
      </c>
      <c r="H3030" t="s">
        <v>11</v>
      </c>
      <c r="I3030" t="s">
        <v>18</v>
      </c>
      <c r="J3030">
        <f t="shared" si="94"/>
        <v>17</v>
      </c>
      <c r="K3030" t="str">
        <f t="shared" si="95"/>
        <v>Budget</v>
      </c>
    </row>
    <row r="3031" spans="2:11" x14ac:dyDescent="0.25">
      <c r="B3031" t="s">
        <v>731</v>
      </c>
      <c r="C3031">
        <v>2016</v>
      </c>
      <c r="D3031" s="1">
        <v>630000</v>
      </c>
      <c r="E3031">
        <v>90000</v>
      </c>
      <c r="F3031" t="s">
        <v>15</v>
      </c>
      <c r="G3031" t="s">
        <v>10</v>
      </c>
      <c r="H3031" t="s">
        <v>11</v>
      </c>
      <c r="I3031" t="s">
        <v>18</v>
      </c>
      <c r="J3031">
        <f t="shared" si="94"/>
        <v>10</v>
      </c>
      <c r="K3031" t="str">
        <f t="shared" si="95"/>
        <v>Mid Range</v>
      </c>
    </row>
    <row r="3032" spans="2:11" x14ac:dyDescent="0.25">
      <c r="B3032" t="s">
        <v>20</v>
      </c>
      <c r="C3032">
        <v>2015</v>
      </c>
      <c r="D3032" s="1">
        <v>375000</v>
      </c>
      <c r="E3032">
        <v>55000</v>
      </c>
      <c r="F3032" t="s">
        <v>9</v>
      </c>
      <c r="G3032" t="s">
        <v>10</v>
      </c>
      <c r="H3032" t="s">
        <v>11</v>
      </c>
      <c r="I3032" t="s">
        <v>12</v>
      </c>
      <c r="J3032">
        <f t="shared" si="94"/>
        <v>11</v>
      </c>
      <c r="K3032" t="str">
        <f t="shared" si="95"/>
        <v>Budget</v>
      </c>
    </row>
    <row r="3033" spans="2:11" x14ac:dyDescent="0.25">
      <c r="B3033" t="s">
        <v>390</v>
      </c>
      <c r="C3033">
        <v>2010</v>
      </c>
      <c r="D3033" s="1">
        <v>300000</v>
      </c>
      <c r="E3033">
        <v>70000</v>
      </c>
      <c r="F3033" t="s">
        <v>15</v>
      </c>
      <c r="G3033" t="s">
        <v>10</v>
      </c>
      <c r="H3033" t="s">
        <v>11</v>
      </c>
      <c r="I3033" t="s">
        <v>12</v>
      </c>
      <c r="J3033">
        <f t="shared" si="94"/>
        <v>16</v>
      </c>
      <c r="K3033" t="str">
        <f t="shared" si="95"/>
        <v>Budget</v>
      </c>
    </row>
    <row r="3034" spans="2:11" x14ac:dyDescent="0.25">
      <c r="B3034" t="s">
        <v>105</v>
      </c>
      <c r="C3034">
        <v>2016</v>
      </c>
      <c r="D3034" s="1">
        <v>580000</v>
      </c>
      <c r="E3034">
        <v>95000</v>
      </c>
      <c r="F3034" t="s">
        <v>15</v>
      </c>
      <c r="G3034" t="s">
        <v>10</v>
      </c>
      <c r="H3034" t="s">
        <v>11</v>
      </c>
      <c r="I3034" t="s">
        <v>18</v>
      </c>
      <c r="J3034">
        <f t="shared" si="94"/>
        <v>10</v>
      </c>
      <c r="K3034" t="str">
        <f t="shared" si="95"/>
        <v>Mid Range</v>
      </c>
    </row>
    <row r="3035" spans="2:11" x14ac:dyDescent="0.25">
      <c r="B3035" t="s">
        <v>1382</v>
      </c>
      <c r="C3035">
        <v>2014</v>
      </c>
      <c r="D3035" s="1">
        <v>550000</v>
      </c>
      <c r="E3035">
        <v>50000</v>
      </c>
      <c r="F3035" t="s">
        <v>15</v>
      </c>
      <c r="G3035" t="s">
        <v>10</v>
      </c>
      <c r="H3035" t="s">
        <v>11</v>
      </c>
      <c r="I3035" t="s">
        <v>12</v>
      </c>
      <c r="J3035">
        <f t="shared" si="94"/>
        <v>12</v>
      </c>
      <c r="K3035" t="str">
        <f t="shared" si="95"/>
        <v>Mid Range</v>
      </c>
    </row>
    <row r="3036" spans="2:11" x14ac:dyDescent="0.25">
      <c r="B3036" t="s">
        <v>1254</v>
      </c>
      <c r="C3036">
        <v>2016</v>
      </c>
      <c r="D3036" s="1">
        <v>750000</v>
      </c>
      <c r="E3036">
        <v>50000</v>
      </c>
      <c r="F3036" t="s">
        <v>15</v>
      </c>
      <c r="G3036" t="s">
        <v>10</v>
      </c>
      <c r="H3036" t="s">
        <v>11</v>
      </c>
      <c r="I3036" t="s">
        <v>12</v>
      </c>
      <c r="J3036">
        <f t="shared" si="94"/>
        <v>10</v>
      </c>
      <c r="K3036" t="str">
        <f t="shared" si="95"/>
        <v>Mid Range</v>
      </c>
    </row>
    <row r="3037" spans="2:11" x14ac:dyDescent="0.25">
      <c r="B3037" t="s">
        <v>345</v>
      </c>
      <c r="C3037">
        <v>2014</v>
      </c>
      <c r="D3037" s="1">
        <v>250000</v>
      </c>
      <c r="E3037">
        <v>60516</v>
      </c>
      <c r="F3037" t="s">
        <v>9</v>
      </c>
      <c r="G3037" t="s">
        <v>10</v>
      </c>
      <c r="H3037" t="s">
        <v>11</v>
      </c>
      <c r="I3037" t="s">
        <v>12</v>
      </c>
      <c r="J3037">
        <f t="shared" si="94"/>
        <v>12</v>
      </c>
      <c r="K3037" t="str">
        <f t="shared" si="95"/>
        <v>Budget</v>
      </c>
    </row>
    <row r="3038" spans="2:11" x14ac:dyDescent="0.25">
      <c r="B3038" t="s">
        <v>14</v>
      </c>
      <c r="C3038">
        <v>2012</v>
      </c>
      <c r="D3038" s="1">
        <v>434999</v>
      </c>
      <c r="E3038">
        <v>235000</v>
      </c>
      <c r="F3038" t="s">
        <v>15</v>
      </c>
      <c r="G3038" t="s">
        <v>10</v>
      </c>
      <c r="H3038" t="s">
        <v>11</v>
      </c>
      <c r="I3038" t="s">
        <v>18</v>
      </c>
      <c r="J3038">
        <f t="shared" si="94"/>
        <v>14</v>
      </c>
      <c r="K3038" t="str">
        <f t="shared" si="95"/>
        <v>Budget</v>
      </c>
    </row>
    <row r="3039" spans="2:11" x14ac:dyDescent="0.25">
      <c r="B3039" t="s">
        <v>1383</v>
      </c>
      <c r="C3039">
        <v>2007</v>
      </c>
      <c r="D3039" s="1">
        <v>900000</v>
      </c>
      <c r="E3039">
        <v>76731</v>
      </c>
      <c r="F3039" t="s">
        <v>15</v>
      </c>
      <c r="G3039" t="s">
        <v>27</v>
      </c>
      <c r="H3039" t="s">
        <v>28</v>
      </c>
      <c r="I3039" t="s">
        <v>12</v>
      </c>
      <c r="J3039">
        <f t="shared" si="94"/>
        <v>19</v>
      </c>
      <c r="K3039" t="str">
        <f t="shared" si="95"/>
        <v>Mid Range</v>
      </c>
    </row>
    <row r="3040" spans="2:11" x14ac:dyDescent="0.25">
      <c r="B3040" t="s">
        <v>1384</v>
      </c>
      <c r="C3040">
        <v>2016</v>
      </c>
      <c r="D3040" s="1">
        <v>685000</v>
      </c>
      <c r="E3040">
        <v>64000</v>
      </c>
      <c r="F3040" t="s">
        <v>15</v>
      </c>
      <c r="G3040" t="s">
        <v>27</v>
      </c>
      <c r="H3040" t="s">
        <v>11</v>
      </c>
      <c r="I3040" t="s">
        <v>12</v>
      </c>
      <c r="J3040">
        <f t="shared" si="94"/>
        <v>10</v>
      </c>
      <c r="K3040" t="str">
        <f t="shared" si="95"/>
        <v>Mid Range</v>
      </c>
    </row>
    <row r="3041" spans="2:11" x14ac:dyDescent="0.25">
      <c r="B3041" t="s">
        <v>162</v>
      </c>
      <c r="C3041">
        <v>2014</v>
      </c>
      <c r="D3041" s="1">
        <v>540000</v>
      </c>
      <c r="E3041">
        <v>65000</v>
      </c>
      <c r="F3041" t="s">
        <v>15</v>
      </c>
      <c r="G3041" t="s">
        <v>27</v>
      </c>
      <c r="H3041" t="s">
        <v>11</v>
      </c>
      <c r="I3041" t="s">
        <v>12</v>
      </c>
      <c r="J3041">
        <f t="shared" si="94"/>
        <v>12</v>
      </c>
      <c r="K3041" t="str">
        <f t="shared" si="95"/>
        <v>Mid Range</v>
      </c>
    </row>
    <row r="3042" spans="2:11" x14ac:dyDescent="0.25">
      <c r="B3042" t="s">
        <v>615</v>
      </c>
      <c r="C3042">
        <v>2018</v>
      </c>
      <c r="D3042" s="1">
        <v>1165000</v>
      </c>
      <c r="E3042">
        <v>13000</v>
      </c>
      <c r="F3042" t="s">
        <v>9</v>
      </c>
      <c r="G3042" t="s">
        <v>27</v>
      </c>
      <c r="H3042" t="s">
        <v>28</v>
      </c>
      <c r="I3042" t="s">
        <v>911</v>
      </c>
      <c r="J3042">
        <f t="shared" si="94"/>
        <v>8</v>
      </c>
      <c r="K3042" t="str">
        <f t="shared" si="95"/>
        <v>Premium</v>
      </c>
    </row>
    <row r="3043" spans="2:11" x14ac:dyDescent="0.25">
      <c r="B3043" t="s">
        <v>1068</v>
      </c>
      <c r="C3043">
        <v>2014</v>
      </c>
      <c r="D3043" s="1">
        <v>610000</v>
      </c>
      <c r="E3043">
        <v>77000</v>
      </c>
      <c r="F3043" t="s">
        <v>15</v>
      </c>
      <c r="G3043" t="s">
        <v>27</v>
      </c>
      <c r="H3043" t="s">
        <v>11</v>
      </c>
      <c r="I3043" t="s">
        <v>12</v>
      </c>
      <c r="J3043">
        <f t="shared" si="94"/>
        <v>12</v>
      </c>
      <c r="K3043" t="str">
        <f t="shared" si="95"/>
        <v>Mid Range</v>
      </c>
    </row>
    <row r="3044" spans="2:11" x14ac:dyDescent="0.25">
      <c r="B3044" t="s">
        <v>925</v>
      </c>
      <c r="C3044">
        <v>2011</v>
      </c>
      <c r="D3044" s="1">
        <v>254999</v>
      </c>
      <c r="E3044">
        <v>24000</v>
      </c>
      <c r="F3044" t="s">
        <v>9</v>
      </c>
      <c r="G3044" t="s">
        <v>27</v>
      </c>
      <c r="H3044" t="s">
        <v>11</v>
      </c>
      <c r="I3044" t="s">
        <v>12</v>
      </c>
      <c r="J3044">
        <f t="shared" si="94"/>
        <v>15</v>
      </c>
      <c r="K3044" t="str">
        <f t="shared" si="95"/>
        <v>Budget</v>
      </c>
    </row>
    <row r="3045" spans="2:11" x14ac:dyDescent="0.25">
      <c r="B3045" t="s">
        <v>1385</v>
      </c>
      <c r="C3045">
        <v>2014</v>
      </c>
      <c r="D3045" s="1">
        <v>280000</v>
      </c>
      <c r="E3045">
        <v>63840</v>
      </c>
      <c r="F3045" t="s">
        <v>9</v>
      </c>
      <c r="G3045" t="s">
        <v>27</v>
      </c>
      <c r="H3045" t="s">
        <v>11</v>
      </c>
      <c r="I3045" t="s">
        <v>12</v>
      </c>
      <c r="J3045">
        <f t="shared" si="94"/>
        <v>12</v>
      </c>
      <c r="K3045" t="str">
        <f t="shared" si="95"/>
        <v>Budget</v>
      </c>
    </row>
    <row r="3046" spans="2:11" x14ac:dyDescent="0.25">
      <c r="B3046" t="s">
        <v>1362</v>
      </c>
      <c r="C3046">
        <v>2017</v>
      </c>
      <c r="D3046" s="1">
        <v>370000</v>
      </c>
      <c r="E3046">
        <v>25000</v>
      </c>
      <c r="F3046" t="s">
        <v>9</v>
      </c>
      <c r="G3046" t="s">
        <v>10</v>
      </c>
      <c r="H3046" t="s">
        <v>11</v>
      </c>
      <c r="I3046" t="s">
        <v>12</v>
      </c>
      <c r="J3046">
        <f t="shared" si="94"/>
        <v>9</v>
      </c>
      <c r="K3046" t="str">
        <f t="shared" si="95"/>
        <v>Budget</v>
      </c>
    </row>
    <row r="3047" spans="2:11" x14ac:dyDescent="0.25">
      <c r="B3047" t="s">
        <v>331</v>
      </c>
      <c r="C3047">
        <v>2011</v>
      </c>
      <c r="D3047" s="1">
        <v>459999</v>
      </c>
      <c r="E3047">
        <v>76400</v>
      </c>
      <c r="F3047" t="s">
        <v>15</v>
      </c>
      <c r="G3047" t="s">
        <v>10</v>
      </c>
      <c r="H3047" t="s">
        <v>11</v>
      </c>
      <c r="I3047" t="s">
        <v>18</v>
      </c>
      <c r="J3047">
        <f t="shared" si="94"/>
        <v>15</v>
      </c>
      <c r="K3047" t="str">
        <f t="shared" si="95"/>
        <v>Budget</v>
      </c>
    </row>
    <row r="3048" spans="2:11" x14ac:dyDescent="0.25">
      <c r="B3048" t="s">
        <v>120</v>
      </c>
      <c r="C3048">
        <v>1998</v>
      </c>
      <c r="D3048" s="1">
        <v>42000</v>
      </c>
      <c r="E3048">
        <v>70000</v>
      </c>
      <c r="F3048" t="s">
        <v>9</v>
      </c>
      <c r="G3048" t="s">
        <v>10</v>
      </c>
      <c r="H3048" t="s">
        <v>11</v>
      </c>
      <c r="I3048" t="s">
        <v>49</v>
      </c>
      <c r="J3048">
        <f t="shared" si="94"/>
        <v>28</v>
      </c>
      <c r="K3048" t="str">
        <f t="shared" si="95"/>
        <v>Budget</v>
      </c>
    </row>
    <row r="3049" spans="2:11" x14ac:dyDescent="0.25">
      <c r="B3049" t="s">
        <v>1386</v>
      </c>
      <c r="C3049">
        <v>2011</v>
      </c>
      <c r="D3049" s="1">
        <v>190000</v>
      </c>
      <c r="E3049">
        <v>80000</v>
      </c>
      <c r="F3049" t="s">
        <v>15</v>
      </c>
      <c r="G3049" t="s">
        <v>10</v>
      </c>
      <c r="H3049" t="s">
        <v>11</v>
      </c>
      <c r="I3049" t="s">
        <v>49</v>
      </c>
      <c r="J3049">
        <f t="shared" si="94"/>
        <v>15</v>
      </c>
      <c r="K3049" t="str">
        <f t="shared" si="95"/>
        <v>Budget</v>
      </c>
    </row>
    <row r="3050" spans="2:11" x14ac:dyDescent="0.25">
      <c r="B3050" t="s">
        <v>1387</v>
      </c>
      <c r="C3050">
        <v>2010</v>
      </c>
      <c r="D3050" s="1">
        <v>165000</v>
      </c>
      <c r="E3050">
        <v>100000</v>
      </c>
      <c r="F3050" t="s">
        <v>9</v>
      </c>
      <c r="G3050" t="s">
        <v>10</v>
      </c>
      <c r="H3050" t="s">
        <v>11</v>
      </c>
      <c r="I3050" t="s">
        <v>46</v>
      </c>
      <c r="J3050">
        <f t="shared" si="94"/>
        <v>16</v>
      </c>
      <c r="K3050" t="str">
        <f t="shared" si="95"/>
        <v>Budget</v>
      </c>
    </row>
    <row r="3051" spans="2:11" x14ac:dyDescent="0.25">
      <c r="B3051" t="s">
        <v>1388</v>
      </c>
      <c r="C3051">
        <v>2017</v>
      </c>
      <c r="D3051" s="1">
        <v>710000</v>
      </c>
      <c r="E3051">
        <v>40000</v>
      </c>
      <c r="F3051" t="s">
        <v>15</v>
      </c>
      <c r="G3051" t="s">
        <v>10</v>
      </c>
      <c r="H3051" t="s">
        <v>11</v>
      </c>
      <c r="I3051" t="s">
        <v>12</v>
      </c>
      <c r="J3051">
        <f t="shared" si="94"/>
        <v>9</v>
      </c>
      <c r="K3051" t="str">
        <f t="shared" si="95"/>
        <v>Mid Range</v>
      </c>
    </row>
    <row r="3052" spans="2:11" x14ac:dyDescent="0.25">
      <c r="B3052" t="s">
        <v>88</v>
      </c>
      <c r="C3052">
        <v>2018</v>
      </c>
      <c r="D3052" s="1">
        <v>1200000</v>
      </c>
      <c r="E3052">
        <v>15000</v>
      </c>
      <c r="F3052" t="s">
        <v>9</v>
      </c>
      <c r="G3052" t="s">
        <v>10</v>
      </c>
      <c r="H3052" t="s">
        <v>11</v>
      </c>
      <c r="I3052" t="s">
        <v>12</v>
      </c>
      <c r="J3052">
        <f t="shared" si="94"/>
        <v>8</v>
      </c>
      <c r="K3052" t="str">
        <f t="shared" si="95"/>
        <v>Premium</v>
      </c>
    </row>
    <row r="3053" spans="2:11" x14ac:dyDescent="0.25">
      <c r="B3053" t="s">
        <v>1194</v>
      </c>
      <c r="C3053">
        <v>2011</v>
      </c>
      <c r="D3053" s="1">
        <v>229999</v>
      </c>
      <c r="E3053">
        <v>70000</v>
      </c>
      <c r="F3053" t="s">
        <v>9</v>
      </c>
      <c r="G3053" t="s">
        <v>10</v>
      </c>
      <c r="H3053" t="s">
        <v>11</v>
      </c>
      <c r="I3053" t="s">
        <v>12</v>
      </c>
      <c r="J3053">
        <f t="shared" si="94"/>
        <v>15</v>
      </c>
      <c r="K3053" t="str">
        <f t="shared" si="95"/>
        <v>Budget</v>
      </c>
    </row>
    <row r="3054" spans="2:11" x14ac:dyDescent="0.25">
      <c r="B3054" t="s">
        <v>110</v>
      </c>
      <c r="C3054">
        <v>2018</v>
      </c>
      <c r="D3054" s="1">
        <v>310000</v>
      </c>
      <c r="E3054">
        <v>15000</v>
      </c>
      <c r="F3054" t="s">
        <v>9</v>
      </c>
      <c r="G3054" t="s">
        <v>10</v>
      </c>
      <c r="H3054" t="s">
        <v>11</v>
      </c>
      <c r="I3054" t="s">
        <v>12</v>
      </c>
      <c r="J3054">
        <f t="shared" si="94"/>
        <v>8</v>
      </c>
      <c r="K3054" t="str">
        <f t="shared" si="95"/>
        <v>Budget</v>
      </c>
    </row>
    <row r="3055" spans="2:11" x14ac:dyDescent="0.25">
      <c r="B3055" t="s">
        <v>54</v>
      </c>
      <c r="C3055">
        <v>2015</v>
      </c>
      <c r="D3055" s="1">
        <v>320000</v>
      </c>
      <c r="E3055">
        <v>40000</v>
      </c>
      <c r="F3055" t="s">
        <v>9</v>
      </c>
      <c r="G3055" t="s">
        <v>10</v>
      </c>
      <c r="H3055" t="s">
        <v>11</v>
      </c>
      <c r="I3055" t="s">
        <v>12</v>
      </c>
      <c r="J3055">
        <f t="shared" si="94"/>
        <v>11</v>
      </c>
      <c r="K3055" t="str">
        <f t="shared" si="95"/>
        <v>Budget</v>
      </c>
    </row>
    <row r="3056" spans="2:11" x14ac:dyDescent="0.25">
      <c r="B3056" t="s">
        <v>8</v>
      </c>
      <c r="C3056">
        <v>2006</v>
      </c>
      <c r="D3056" s="1">
        <v>100000</v>
      </c>
      <c r="E3056">
        <v>54000</v>
      </c>
      <c r="F3056" t="s">
        <v>9</v>
      </c>
      <c r="G3056" t="s">
        <v>10</v>
      </c>
      <c r="H3056" t="s">
        <v>11</v>
      </c>
      <c r="I3056" t="s">
        <v>12</v>
      </c>
      <c r="J3056">
        <f t="shared" si="94"/>
        <v>20</v>
      </c>
      <c r="K3056" t="str">
        <f t="shared" si="95"/>
        <v>Budget</v>
      </c>
    </row>
    <row r="3057" spans="2:11" x14ac:dyDescent="0.25">
      <c r="B3057" t="s">
        <v>362</v>
      </c>
      <c r="C3057">
        <v>2009</v>
      </c>
      <c r="D3057" s="1">
        <v>160000</v>
      </c>
      <c r="E3057">
        <v>90000</v>
      </c>
      <c r="F3057" t="s">
        <v>15</v>
      </c>
      <c r="G3057" t="s">
        <v>10</v>
      </c>
      <c r="H3057" t="s">
        <v>11</v>
      </c>
      <c r="I3057" t="s">
        <v>12</v>
      </c>
      <c r="J3057">
        <f t="shared" si="94"/>
        <v>17</v>
      </c>
      <c r="K3057" t="str">
        <f t="shared" si="95"/>
        <v>Budget</v>
      </c>
    </row>
    <row r="3058" spans="2:11" x14ac:dyDescent="0.25">
      <c r="B3058" t="s">
        <v>140</v>
      </c>
      <c r="C3058">
        <v>2007</v>
      </c>
      <c r="D3058" s="1">
        <v>60000</v>
      </c>
      <c r="E3058">
        <v>52000</v>
      </c>
      <c r="F3058" t="s">
        <v>9</v>
      </c>
      <c r="G3058" t="s">
        <v>10</v>
      </c>
      <c r="H3058" t="s">
        <v>11</v>
      </c>
      <c r="I3058" t="s">
        <v>12</v>
      </c>
      <c r="J3058">
        <f t="shared" si="94"/>
        <v>19</v>
      </c>
      <c r="K3058" t="str">
        <f t="shared" si="95"/>
        <v>Budget</v>
      </c>
    </row>
    <row r="3059" spans="2:11" x14ac:dyDescent="0.25">
      <c r="B3059" t="s">
        <v>486</v>
      </c>
      <c r="C3059">
        <v>2012</v>
      </c>
      <c r="D3059" s="1">
        <v>100000</v>
      </c>
      <c r="E3059">
        <v>200000</v>
      </c>
      <c r="F3059" t="s">
        <v>15</v>
      </c>
      <c r="G3059" t="s">
        <v>10</v>
      </c>
      <c r="H3059" t="s">
        <v>11</v>
      </c>
      <c r="I3059" t="s">
        <v>49</v>
      </c>
      <c r="J3059">
        <f t="shared" si="94"/>
        <v>14</v>
      </c>
      <c r="K3059" t="str">
        <f t="shared" si="95"/>
        <v>Budget</v>
      </c>
    </row>
    <row r="3060" spans="2:11" x14ac:dyDescent="0.25">
      <c r="B3060" t="s">
        <v>185</v>
      </c>
      <c r="C3060">
        <v>2016</v>
      </c>
      <c r="D3060" s="1">
        <v>350000</v>
      </c>
      <c r="E3060">
        <v>35000</v>
      </c>
      <c r="F3060" t="s">
        <v>15</v>
      </c>
      <c r="G3060" t="s">
        <v>10</v>
      </c>
      <c r="H3060" t="s">
        <v>11</v>
      </c>
      <c r="I3060" t="s">
        <v>18</v>
      </c>
      <c r="J3060">
        <f t="shared" si="94"/>
        <v>10</v>
      </c>
      <c r="K3060" t="str">
        <f t="shared" si="95"/>
        <v>Budget</v>
      </c>
    </row>
    <row r="3061" spans="2:11" x14ac:dyDescent="0.25">
      <c r="B3061" t="s">
        <v>1389</v>
      </c>
      <c r="C3061">
        <v>2017</v>
      </c>
      <c r="D3061" s="1">
        <v>700000</v>
      </c>
      <c r="E3061">
        <v>60000</v>
      </c>
      <c r="F3061" t="s">
        <v>15</v>
      </c>
      <c r="G3061" t="s">
        <v>10</v>
      </c>
      <c r="H3061" t="s">
        <v>11</v>
      </c>
      <c r="I3061" t="s">
        <v>12</v>
      </c>
      <c r="J3061">
        <f t="shared" si="94"/>
        <v>9</v>
      </c>
      <c r="K3061" t="str">
        <f t="shared" si="95"/>
        <v>Mid Range</v>
      </c>
    </row>
    <row r="3062" spans="2:11" x14ac:dyDescent="0.25">
      <c r="B3062" t="s">
        <v>170</v>
      </c>
      <c r="C3062">
        <v>2017</v>
      </c>
      <c r="D3062" s="1">
        <v>300000</v>
      </c>
      <c r="E3062">
        <v>31489</v>
      </c>
      <c r="F3062" t="s">
        <v>9</v>
      </c>
      <c r="G3062" t="s">
        <v>10</v>
      </c>
      <c r="H3062" t="s">
        <v>11</v>
      </c>
      <c r="I3062" t="s">
        <v>12</v>
      </c>
      <c r="J3062">
        <f t="shared" si="94"/>
        <v>9</v>
      </c>
      <c r="K3062" t="str">
        <f t="shared" si="95"/>
        <v>Budget</v>
      </c>
    </row>
    <row r="3063" spans="2:11" x14ac:dyDescent="0.25">
      <c r="B3063" t="s">
        <v>533</v>
      </c>
      <c r="C3063">
        <v>2018</v>
      </c>
      <c r="D3063" s="1">
        <v>830000</v>
      </c>
      <c r="E3063">
        <v>40000</v>
      </c>
      <c r="F3063" t="s">
        <v>15</v>
      </c>
      <c r="G3063" t="s">
        <v>10</v>
      </c>
      <c r="H3063" t="s">
        <v>11</v>
      </c>
      <c r="I3063" t="s">
        <v>12</v>
      </c>
      <c r="J3063">
        <f t="shared" si="94"/>
        <v>8</v>
      </c>
      <c r="K3063" t="str">
        <f t="shared" si="95"/>
        <v>Mid Range</v>
      </c>
    </row>
    <row r="3064" spans="2:11" x14ac:dyDescent="0.25">
      <c r="B3064" t="s">
        <v>1390</v>
      </c>
      <c r="C3064">
        <v>2010</v>
      </c>
      <c r="D3064" s="1">
        <v>229999</v>
      </c>
      <c r="E3064">
        <v>70000</v>
      </c>
      <c r="F3064" t="s">
        <v>9</v>
      </c>
      <c r="G3064" t="s">
        <v>10</v>
      </c>
      <c r="H3064" t="s">
        <v>11</v>
      </c>
      <c r="I3064" t="s">
        <v>12</v>
      </c>
      <c r="J3064">
        <f t="shared" si="94"/>
        <v>16</v>
      </c>
      <c r="K3064" t="str">
        <f t="shared" si="95"/>
        <v>Budget</v>
      </c>
    </row>
    <row r="3065" spans="2:11" x14ac:dyDescent="0.25">
      <c r="B3065" t="s">
        <v>1129</v>
      </c>
      <c r="C3065">
        <v>2013</v>
      </c>
      <c r="D3065" s="1">
        <v>400000</v>
      </c>
      <c r="E3065">
        <v>100000</v>
      </c>
      <c r="F3065" t="s">
        <v>15</v>
      </c>
      <c r="G3065" t="s">
        <v>10</v>
      </c>
      <c r="H3065" t="s">
        <v>11</v>
      </c>
      <c r="I3065" t="s">
        <v>12</v>
      </c>
      <c r="J3065">
        <f t="shared" si="94"/>
        <v>13</v>
      </c>
      <c r="K3065" t="str">
        <f t="shared" si="95"/>
        <v>Budget</v>
      </c>
    </row>
    <row r="3066" spans="2:11" x14ac:dyDescent="0.25">
      <c r="B3066" t="s">
        <v>1391</v>
      </c>
      <c r="C3066">
        <v>2005</v>
      </c>
      <c r="D3066" s="1">
        <v>300000</v>
      </c>
      <c r="E3066">
        <v>70000</v>
      </c>
      <c r="F3066" t="s">
        <v>9</v>
      </c>
      <c r="G3066" t="s">
        <v>10</v>
      </c>
      <c r="H3066" t="s">
        <v>11</v>
      </c>
      <c r="I3066" t="s">
        <v>18</v>
      </c>
      <c r="J3066">
        <f t="shared" si="94"/>
        <v>21</v>
      </c>
      <c r="K3066" t="str">
        <f t="shared" si="95"/>
        <v>Budget</v>
      </c>
    </row>
    <row r="3067" spans="2:11" x14ac:dyDescent="0.25">
      <c r="B3067" t="s">
        <v>304</v>
      </c>
      <c r="C3067">
        <v>2013</v>
      </c>
      <c r="D3067" s="1">
        <v>300000</v>
      </c>
      <c r="E3067">
        <v>50000</v>
      </c>
      <c r="F3067" t="s">
        <v>15</v>
      </c>
      <c r="G3067" t="s">
        <v>10</v>
      </c>
      <c r="H3067" t="s">
        <v>11</v>
      </c>
      <c r="I3067" t="s">
        <v>12</v>
      </c>
      <c r="J3067">
        <f t="shared" si="94"/>
        <v>13</v>
      </c>
      <c r="K3067" t="str">
        <f t="shared" si="95"/>
        <v>Budget</v>
      </c>
    </row>
    <row r="3068" spans="2:11" x14ac:dyDescent="0.25">
      <c r="B3068" t="s">
        <v>1392</v>
      </c>
      <c r="C3068">
        <v>2009</v>
      </c>
      <c r="D3068" s="1">
        <v>80000</v>
      </c>
      <c r="E3068">
        <v>180000</v>
      </c>
      <c r="F3068" t="s">
        <v>15</v>
      </c>
      <c r="G3068" t="s">
        <v>10</v>
      </c>
      <c r="H3068" t="s">
        <v>11</v>
      </c>
      <c r="I3068" t="s">
        <v>18</v>
      </c>
      <c r="J3068">
        <f t="shared" si="94"/>
        <v>17</v>
      </c>
      <c r="K3068" t="str">
        <f t="shared" si="95"/>
        <v>Budget</v>
      </c>
    </row>
    <row r="3069" spans="2:11" x14ac:dyDescent="0.25">
      <c r="B3069" t="s">
        <v>8</v>
      </c>
      <c r="C3069">
        <v>2008</v>
      </c>
      <c r="D3069" s="1">
        <v>80000</v>
      </c>
      <c r="E3069">
        <v>50000</v>
      </c>
      <c r="F3069" t="s">
        <v>9</v>
      </c>
      <c r="G3069" t="s">
        <v>10</v>
      </c>
      <c r="H3069" t="s">
        <v>11</v>
      </c>
      <c r="I3069" t="s">
        <v>18</v>
      </c>
      <c r="J3069">
        <f t="shared" si="94"/>
        <v>18</v>
      </c>
      <c r="K3069" t="str">
        <f t="shared" si="95"/>
        <v>Budget</v>
      </c>
    </row>
    <row r="3070" spans="2:11" x14ac:dyDescent="0.25">
      <c r="B3070" t="s">
        <v>886</v>
      </c>
      <c r="C3070">
        <v>2007</v>
      </c>
      <c r="D3070" s="1">
        <v>100000</v>
      </c>
      <c r="E3070">
        <v>90000</v>
      </c>
      <c r="F3070" t="s">
        <v>9</v>
      </c>
      <c r="G3070" t="s">
        <v>10</v>
      </c>
      <c r="H3070" t="s">
        <v>11</v>
      </c>
      <c r="I3070" t="s">
        <v>18</v>
      </c>
      <c r="J3070">
        <f t="shared" si="94"/>
        <v>19</v>
      </c>
      <c r="K3070" t="str">
        <f t="shared" si="95"/>
        <v>Budget</v>
      </c>
    </row>
    <row r="3071" spans="2:11" x14ac:dyDescent="0.25">
      <c r="B3071" t="s">
        <v>75</v>
      </c>
      <c r="C3071">
        <v>2012</v>
      </c>
      <c r="D3071" s="1">
        <v>300000</v>
      </c>
      <c r="E3071">
        <v>110000</v>
      </c>
      <c r="F3071" t="s">
        <v>15</v>
      </c>
      <c r="G3071" t="s">
        <v>10</v>
      </c>
      <c r="H3071" t="s">
        <v>11</v>
      </c>
      <c r="I3071" t="s">
        <v>12</v>
      </c>
      <c r="J3071">
        <f t="shared" si="94"/>
        <v>14</v>
      </c>
      <c r="K3071" t="str">
        <f t="shared" si="95"/>
        <v>Budget</v>
      </c>
    </row>
    <row r="3072" spans="2:11" x14ac:dyDescent="0.25">
      <c r="B3072" t="s">
        <v>1393</v>
      </c>
      <c r="C3072">
        <v>2018</v>
      </c>
      <c r="D3072" s="1">
        <v>700000</v>
      </c>
      <c r="E3072">
        <v>26000</v>
      </c>
      <c r="F3072" t="s">
        <v>9</v>
      </c>
      <c r="G3072" t="s">
        <v>10</v>
      </c>
      <c r="H3072" t="s">
        <v>28</v>
      </c>
      <c r="I3072" t="s">
        <v>12</v>
      </c>
      <c r="J3072">
        <f t="shared" si="94"/>
        <v>8</v>
      </c>
      <c r="K3072" t="str">
        <f t="shared" si="95"/>
        <v>Mid Range</v>
      </c>
    </row>
    <row r="3073" spans="2:11" x14ac:dyDescent="0.25">
      <c r="B3073" t="s">
        <v>335</v>
      </c>
      <c r="C3073">
        <v>2016</v>
      </c>
      <c r="D3073" s="1">
        <v>975000</v>
      </c>
      <c r="E3073">
        <v>65000</v>
      </c>
      <c r="F3073" t="s">
        <v>15</v>
      </c>
      <c r="G3073" t="s">
        <v>10</v>
      </c>
      <c r="H3073" t="s">
        <v>11</v>
      </c>
      <c r="I3073" t="s">
        <v>12</v>
      </c>
      <c r="J3073">
        <f t="shared" si="94"/>
        <v>10</v>
      </c>
      <c r="K3073" t="str">
        <f t="shared" si="95"/>
        <v>Mid Range</v>
      </c>
    </row>
    <row r="3074" spans="2:11" x14ac:dyDescent="0.25">
      <c r="B3074" t="s">
        <v>447</v>
      </c>
      <c r="C3074">
        <v>2009</v>
      </c>
      <c r="D3074" s="1">
        <v>500000</v>
      </c>
      <c r="E3074">
        <v>130000</v>
      </c>
      <c r="F3074" t="s">
        <v>15</v>
      </c>
      <c r="G3074" t="s">
        <v>10</v>
      </c>
      <c r="H3074" t="s">
        <v>11</v>
      </c>
      <c r="I3074" t="s">
        <v>12</v>
      </c>
      <c r="J3074">
        <f t="shared" si="94"/>
        <v>17</v>
      </c>
      <c r="K3074" t="str">
        <f t="shared" si="95"/>
        <v>Mid Range</v>
      </c>
    </row>
    <row r="3075" spans="2:11" x14ac:dyDescent="0.25">
      <c r="B3075" t="s">
        <v>91</v>
      </c>
      <c r="C3075">
        <v>2013</v>
      </c>
      <c r="D3075" s="1">
        <v>550000</v>
      </c>
      <c r="E3075">
        <v>75000</v>
      </c>
      <c r="F3075" t="s">
        <v>15</v>
      </c>
      <c r="G3075" t="s">
        <v>10</v>
      </c>
      <c r="H3075" t="s">
        <v>11</v>
      </c>
      <c r="I3075" t="s">
        <v>18</v>
      </c>
      <c r="J3075">
        <f t="shared" si="94"/>
        <v>13</v>
      </c>
      <c r="K3075" t="str">
        <f t="shared" si="95"/>
        <v>Mid Range</v>
      </c>
    </row>
    <row r="3076" spans="2:11" x14ac:dyDescent="0.25">
      <c r="B3076" t="s">
        <v>570</v>
      </c>
      <c r="C3076">
        <v>2014</v>
      </c>
      <c r="D3076" s="1">
        <v>550000</v>
      </c>
      <c r="E3076">
        <v>110000</v>
      </c>
      <c r="F3076" t="s">
        <v>15</v>
      </c>
      <c r="G3076" t="s">
        <v>10</v>
      </c>
      <c r="H3076" t="s">
        <v>11</v>
      </c>
      <c r="I3076" t="s">
        <v>18</v>
      </c>
      <c r="J3076">
        <f t="shared" si="94"/>
        <v>12</v>
      </c>
      <c r="K3076" t="str">
        <f t="shared" si="95"/>
        <v>Mid Range</v>
      </c>
    </row>
    <row r="3077" spans="2:11" x14ac:dyDescent="0.25">
      <c r="B3077" t="s">
        <v>453</v>
      </c>
      <c r="C3077">
        <v>2014</v>
      </c>
      <c r="D3077" s="1">
        <v>240000</v>
      </c>
      <c r="E3077">
        <v>50000</v>
      </c>
      <c r="F3077" t="s">
        <v>9</v>
      </c>
      <c r="G3077" t="s">
        <v>10</v>
      </c>
      <c r="H3077" t="s">
        <v>11</v>
      </c>
      <c r="I3077" t="s">
        <v>12</v>
      </c>
      <c r="J3077">
        <f t="shared" si="94"/>
        <v>12</v>
      </c>
      <c r="K3077" t="str">
        <f t="shared" si="95"/>
        <v>Budget</v>
      </c>
    </row>
    <row r="3078" spans="2:11" x14ac:dyDescent="0.25">
      <c r="B3078" t="s">
        <v>134</v>
      </c>
      <c r="C3078">
        <v>1997</v>
      </c>
      <c r="D3078" s="1">
        <v>50000</v>
      </c>
      <c r="E3078">
        <v>80000</v>
      </c>
      <c r="F3078" t="s">
        <v>9</v>
      </c>
      <c r="G3078" t="s">
        <v>10</v>
      </c>
      <c r="H3078" t="s">
        <v>11</v>
      </c>
      <c r="I3078" t="s">
        <v>18</v>
      </c>
      <c r="J3078">
        <f t="shared" ref="J3078:J3141" si="96">2026 - C3078</f>
        <v>29</v>
      </c>
      <c r="K3078" t="str">
        <f t="shared" ref="K3078:K3141" si="97">IF(D3078&lt;500000,"Budget",IF(D3078&lt;=1000000,"Mid Range","Premium"))</f>
        <v>Budget</v>
      </c>
    </row>
    <row r="3079" spans="2:11" x14ac:dyDescent="0.25">
      <c r="B3079" t="s">
        <v>776</v>
      </c>
      <c r="C3079">
        <v>2009</v>
      </c>
      <c r="D3079" s="1">
        <v>120000</v>
      </c>
      <c r="E3079">
        <v>80000</v>
      </c>
      <c r="F3079" t="s">
        <v>9</v>
      </c>
      <c r="G3079" t="s">
        <v>10</v>
      </c>
      <c r="H3079" t="s">
        <v>11</v>
      </c>
      <c r="I3079" t="s">
        <v>18</v>
      </c>
      <c r="J3079">
        <f t="shared" si="96"/>
        <v>17</v>
      </c>
      <c r="K3079" t="str">
        <f t="shared" si="97"/>
        <v>Budget</v>
      </c>
    </row>
    <row r="3080" spans="2:11" x14ac:dyDescent="0.25">
      <c r="B3080" t="s">
        <v>249</v>
      </c>
      <c r="C3080">
        <v>2013</v>
      </c>
      <c r="D3080" s="1">
        <v>900000</v>
      </c>
      <c r="E3080">
        <v>60000</v>
      </c>
      <c r="F3080" t="s">
        <v>9</v>
      </c>
      <c r="G3080" t="s">
        <v>10</v>
      </c>
      <c r="H3080" t="s">
        <v>11</v>
      </c>
      <c r="I3080" t="s">
        <v>18</v>
      </c>
      <c r="J3080">
        <f t="shared" si="96"/>
        <v>13</v>
      </c>
      <c r="K3080" t="str">
        <f t="shared" si="97"/>
        <v>Mid Range</v>
      </c>
    </row>
    <row r="3081" spans="2:11" x14ac:dyDescent="0.25">
      <c r="B3081" t="s">
        <v>768</v>
      </c>
      <c r="C3081">
        <v>2009</v>
      </c>
      <c r="D3081" s="1">
        <v>250000</v>
      </c>
      <c r="E3081">
        <v>90000</v>
      </c>
      <c r="F3081" t="s">
        <v>9</v>
      </c>
      <c r="G3081" t="s">
        <v>10</v>
      </c>
      <c r="H3081" t="s">
        <v>11</v>
      </c>
      <c r="I3081" t="s">
        <v>18</v>
      </c>
      <c r="J3081">
        <f t="shared" si="96"/>
        <v>17</v>
      </c>
      <c r="K3081" t="str">
        <f t="shared" si="97"/>
        <v>Budget</v>
      </c>
    </row>
    <row r="3082" spans="2:11" x14ac:dyDescent="0.25">
      <c r="B3082" t="s">
        <v>306</v>
      </c>
      <c r="C3082">
        <v>2017</v>
      </c>
      <c r="D3082" s="1">
        <v>280000</v>
      </c>
      <c r="E3082">
        <v>36000</v>
      </c>
      <c r="F3082" t="s">
        <v>9</v>
      </c>
      <c r="G3082" t="s">
        <v>10</v>
      </c>
      <c r="H3082" t="s">
        <v>11</v>
      </c>
      <c r="I3082" t="s">
        <v>12</v>
      </c>
      <c r="J3082">
        <f t="shared" si="96"/>
        <v>9</v>
      </c>
      <c r="K3082" t="str">
        <f t="shared" si="97"/>
        <v>Budget</v>
      </c>
    </row>
    <row r="3083" spans="2:11" x14ac:dyDescent="0.25">
      <c r="B3083" t="s">
        <v>1394</v>
      </c>
      <c r="C3083">
        <v>2010</v>
      </c>
      <c r="D3083" s="1">
        <v>85000</v>
      </c>
      <c r="E3083">
        <v>87000</v>
      </c>
      <c r="F3083" t="s">
        <v>15</v>
      </c>
      <c r="G3083" t="s">
        <v>10</v>
      </c>
      <c r="H3083" t="s">
        <v>11</v>
      </c>
      <c r="I3083" t="s">
        <v>12</v>
      </c>
      <c r="J3083">
        <f t="shared" si="96"/>
        <v>16</v>
      </c>
      <c r="K3083" t="str">
        <f t="shared" si="97"/>
        <v>Budget</v>
      </c>
    </row>
    <row r="3084" spans="2:11" x14ac:dyDescent="0.25">
      <c r="B3084" t="s">
        <v>351</v>
      </c>
      <c r="C3084">
        <v>2011</v>
      </c>
      <c r="D3084" s="1">
        <v>90000</v>
      </c>
      <c r="E3084">
        <v>80000</v>
      </c>
      <c r="F3084" t="s">
        <v>15</v>
      </c>
      <c r="G3084" t="s">
        <v>10</v>
      </c>
      <c r="H3084" t="s">
        <v>11</v>
      </c>
      <c r="I3084" t="s">
        <v>12</v>
      </c>
      <c r="J3084">
        <f t="shared" si="96"/>
        <v>15</v>
      </c>
      <c r="K3084" t="str">
        <f t="shared" si="97"/>
        <v>Budget</v>
      </c>
    </row>
    <row r="3085" spans="2:11" x14ac:dyDescent="0.25">
      <c r="B3085" t="s">
        <v>1303</v>
      </c>
      <c r="C3085">
        <v>2015</v>
      </c>
      <c r="D3085" s="1">
        <v>500000</v>
      </c>
      <c r="E3085">
        <v>50000</v>
      </c>
      <c r="F3085" t="s">
        <v>15</v>
      </c>
      <c r="G3085" t="s">
        <v>10</v>
      </c>
      <c r="H3085" t="s">
        <v>11</v>
      </c>
      <c r="I3085" t="s">
        <v>12</v>
      </c>
      <c r="J3085">
        <f t="shared" si="96"/>
        <v>11</v>
      </c>
      <c r="K3085" t="str">
        <f t="shared" si="97"/>
        <v>Mid Range</v>
      </c>
    </row>
    <row r="3086" spans="2:11" x14ac:dyDescent="0.25">
      <c r="B3086" t="s">
        <v>134</v>
      </c>
      <c r="C3086">
        <v>2013</v>
      </c>
      <c r="D3086" s="1">
        <v>200000</v>
      </c>
      <c r="E3086">
        <v>60000</v>
      </c>
      <c r="F3086" t="s">
        <v>9</v>
      </c>
      <c r="G3086" t="s">
        <v>10</v>
      </c>
      <c r="H3086" t="s">
        <v>11</v>
      </c>
      <c r="I3086" t="s">
        <v>12</v>
      </c>
      <c r="J3086">
        <f t="shared" si="96"/>
        <v>13</v>
      </c>
      <c r="K3086" t="str">
        <f t="shared" si="97"/>
        <v>Budget</v>
      </c>
    </row>
    <row r="3087" spans="2:11" x14ac:dyDescent="0.25">
      <c r="B3087" t="s">
        <v>110</v>
      </c>
      <c r="C3087">
        <v>2015</v>
      </c>
      <c r="D3087" s="1">
        <v>250000</v>
      </c>
      <c r="E3087">
        <v>50000</v>
      </c>
      <c r="F3087" t="s">
        <v>9</v>
      </c>
      <c r="G3087" t="s">
        <v>10</v>
      </c>
      <c r="H3087" t="s">
        <v>11</v>
      </c>
      <c r="I3087" t="s">
        <v>12</v>
      </c>
      <c r="J3087">
        <f t="shared" si="96"/>
        <v>11</v>
      </c>
      <c r="K3087" t="str">
        <f t="shared" si="97"/>
        <v>Budget</v>
      </c>
    </row>
    <row r="3088" spans="2:11" x14ac:dyDescent="0.25">
      <c r="B3088" t="s">
        <v>114</v>
      </c>
      <c r="C3088">
        <v>2014</v>
      </c>
      <c r="D3088" s="1">
        <v>185000</v>
      </c>
      <c r="E3088">
        <v>40000</v>
      </c>
      <c r="F3088" t="s">
        <v>15</v>
      </c>
      <c r="G3088" t="s">
        <v>10</v>
      </c>
      <c r="H3088" t="s">
        <v>11</v>
      </c>
      <c r="I3088" t="s">
        <v>49</v>
      </c>
      <c r="J3088">
        <f t="shared" si="96"/>
        <v>12</v>
      </c>
      <c r="K3088" t="str">
        <f t="shared" si="97"/>
        <v>Budget</v>
      </c>
    </row>
    <row r="3089" spans="2:11" x14ac:dyDescent="0.25">
      <c r="B3089" t="s">
        <v>563</v>
      </c>
      <c r="C3089">
        <v>2008</v>
      </c>
      <c r="D3089" s="1">
        <v>100000</v>
      </c>
      <c r="E3089">
        <v>60000</v>
      </c>
      <c r="F3089" t="s">
        <v>9</v>
      </c>
      <c r="G3089" t="s">
        <v>10</v>
      </c>
      <c r="H3089" t="s">
        <v>11</v>
      </c>
      <c r="I3089" t="s">
        <v>18</v>
      </c>
      <c r="J3089">
        <f t="shared" si="96"/>
        <v>18</v>
      </c>
      <c r="K3089" t="str">
        <f t="shared" si="97"/>
        <v>Budget</v>
      </c>
    </row>
    <row r="3090" spans="2:11" x14ac:dyDescent="0.25">
      <c r="B3090" t="s">
        <v>1395</v>
      </c>
      <c r="C3090">
        <v>2015</v>
      </c>
      <c r="D3090" s="1">
        <v>610000</v>
      </c>
      <c r="E3090">
        <v>55000</v>
      </c>
      <c r="F3090" t="s">
        <v>15</v>
      </c>
      <c r="G3090" t="s">
        <v>10</v>
      </c>
      <c r="H3090" t="s">
        <v>11</v>
      </c>
      <c r="I3090" t="s">
        <v>12</v>
      </c>
      <c r="J3090">
        <f t="shared" si="96"/>
        <v>11</v>
      </c>
      <c r="K3090" t="str">
        <f t="shared" si="97"/>
        <v>Mid Range</v>
      </c>
    </row>
    <row r="3091" spans="2:11" x14ac:dyDescent="0.25">
      <c r="B3091" t="s">
        <v>149</v>
      </c>
      <c r="C3091">
        <v>2012</v>
      </c>
      <c r="D3091" s="1">
        <v>290000</v>
      </c>
      <c r="E3091">
        <v>80000</v>
      </c>
      <c r="F3091" t="s">
        <v>15</v>
      </c>
      <c r="G3091" t="s">
        <v>10</v>
      </c>
      <c r="H3091" t="s">
        <v>11</v>
      </c>
      <c r="I3091" t="s">
        <v>12</v>
      </c>
      <c r="J3091">
        <f t="shared" si="96"/>
        <v>14</v>
      </c>
      <c r="K3091" t="str">
        <f t="shared" si="97"/>
        <v>Budget</v>
      </c>
    </row>
    <row r="3092" spans="2:11" x14ac:dyDescent="0.25">
      <c r="B3092" t="s">
        <v>1396</v>
      </c>
      <c r="C3092">
        <v>2012</v>
      </c>
      <c r="D3092" s="1">
        <v>300000</v>
      </c>
      <c r="E3092">
        <v>295000</v>
      </c>
      <c r="F3092" t="s">
        <v>15</v>
      </c>
      <c r="G3092" t="s">
        <v>10</v>
      </c>
      <c r="H3092" t="s">
        <v>11</v>
      </c>
      <c r="I3092" t="s">
        <v>12</v>
      </c>
      <c r="J3092">
        <f t="shared" si="96"/>
        <v>14</v>
      </c>
      <c r="K3092" t="str">
        <f t="shared" si="97"/>
        <v>Budget</v>
      </c>
    </row>
    <row r="3093" spans="2:11" x14ac:dyDescent="0.25">
      <c r="B3093" t="s">
        <v>136</v>
      </c>
      <c r="C3093">
        <v>2015</v>
      </c>
      <c r="D3093" s="1">
        <v>225000</v>
      </c>
      <c r="E3093">
        <v>80000</v>
      </c>
      <c r="F3093" t="s">
        <v>9</v>
      </c>
      <c r="G3093" t="s">
        <v>10</v>
      </c>
      <c r="H3093" t="s">
        <v>11</v>
      </c>
      <c r="I3093" t="s">
        <v>12</v>
      </c>
      <c r="J3093">
        <f t="shared" si="96"/>
        <v>11</v>
      </c>
      <c r="K3093" t="str">
        <f t="shared" si="97"/>
        <v>Budget</v>
      </c>
    </row>
    <row r="3094" spans="2:11" x14ac:dyDescent="0.25">
      <c r="B3094" t="s">
        <v>170</v>
      </c>
      <c r="C3094">
        <v>2017</v>
      </c>
      <c r="D3094" s="1">
        <v>320000</v>
      </c>
      <c r="E3094">
        <v>50000</v>
      </c>
      <c r="F3094" t="s">
        <v>9</v>
      </c>
      <c r="G3094" t="s">
        <v>10</v>
      </c>
      <c r="H3094" t="s">
        <v>11</v>
      </c>
      <c r="I3094" t="s">
        <v>18</v>
      </c>
      <c r="J3094">
        <f t="shared" si="96"/>
        <v>9</v>
      </c>
      <c r="K3094" t="str">
        <f t="shared" si="97"/>
        <v>Budget</v>
      </c>
    </row>
    <row r="3095" spans="2:11" x14ac:dyDescent="0.25">
      <c r="B3095" t="s">
        <v>159</v>
      </c>
      <c r="C3095">
        <v>2012</v>
      </c>
      <c r="D3095" s="1">
        <v>135000</v>
      </c>
      <c r="E3095">
        <v>158000</v>
      </c>
      <c r="F3095" t="s">
        <v>15</v>
      </c>
      <c r="G3095" t="s">
        <v>10</v>
      </c>
      <c r="H3095" t="s">
        <v>11</v>
      </c>
      <c r="I3095" t="s">
        <v>49</v>
      </c>
      <c r="J3095">
        <f t="shared" si="96"/>
        <v>14</v>
      </c>
      <c r="K3095" t="str">
        <f t="shared" si="97"/>
        <v>Budget</v>
      </c>
    </row>
    <row r="3096" spans="2:11" x14ac:dyDescent="0.25">
      <c r="B3096" t="s">
        <v>215</v>
      </c>
      <c r="C3096">
        <v>2006</v>
      </c>
      <c r="D3096" s="1">
        <v>400000</v>
      </c>
      <c r="E3096">
        <v>400000</v>
      </c>
      <c r="F3096" t="s">
        <v>15</v>
      </c>
      <c r="G3096" t="s">
        <v>10</v>
      </c>
      <c r="H3096" t="s">
        <v>11</v>
      </c>
      <c r="I3096" t="s">
        <v>49</v>
      </c>
      <c r="J3096">
        <f t="shared" si="96"/>
        <v>20</v>
      </c>
      <c r="K3096" t="str">
        <f t="shared" si="97"/>
        <v>Budget</v>
      </c>
    </row>
    <row r="3097" spans="2:11" x14ac:dyDescent="0.25">
      <c r="B3097" t="s">
        <v>700</v>
      </c>
      <c r="C3097">
        <v>2016</v>
      </c>
      <c r="D3097" s="1">
        <v>600000</v>
      </c>
      <c r="E3097">
        <v>19495</v>
      </c>
      <c r="F3097" t="s">
        <v>9</v>
      </c>
      <c r="G3097" t="s">
        <v>27</v>
      </c>
      <c r="H3097" t="s">
        <v>11</v>
      </c>
      <c r="I3097" t="s">
        <v>12</v>
      </c>
      <c r="J3097">
        <f t="shared" si="96"/>
        <v>10</v>
      </c>
      <c r="K3097" t="str">
        <f t="shared" si="97"/>
        <v>Mid Range</v>
      </c>
    </row>
    <row r="3098" spans="2:11" x14ac:dyDescent="0.25">
      <c r="B3098" t="s">
        <v>683</v>
      </c>
      <c r="C3098">
        <v>2013</v>
      </c>
      <c r="D3098" s="1">
        <v>570000</v>
      </c>
      <c r="E3098">
        <v>62668</v>
      </c>
      <c r="F3098" t="s">
        <v>15</v>
      </c>
      <c r="G3098" t="s">
        <v>27</v>
      </c>
      <c r="H3098" t="s">
        <v>11</v>
      </c>
      <c r="I3098" t="s">
        <v>12</v>
      </c>
      <c r="J3098">
        <f t="shared" si="96"/>
        <v>13</v>
      </c>
      <c r="K3098" t="str">
        <f t="shared" si="97"/>
        <v>Mid Range</v>
      </c>
    </row>
    <row r="3099" spans="2:11" x14ac:dyDescent="0.25">
      <c r="B3099" t="s">
        <v>195</v>
      </c>
      <c r="C3099">
        <v>2013</v>
      </c>
      <c r="D3099" s="1">
        <v>850000</v>
      </c>
      <c r="E3099">
        <v>85710</v>
      </c>
      <c r="F3099" t="s">
        <v>15</v>
      </c>
      <c r="G3099" t="s">
        <v>27</v>
      </c>
      <c r="H3099" t="s">
        <v>11</v>
      </c>
      <c r="I3099" t="s">
        <v>12</v>
      </c>
      <c r="J3099">
        <f t="shared" si="96"/>
        <v>13</v>
      </c>
      <c r="K3099" t="str">
        <f t="shared" si="97"/>
        <v>Mid Range</v>
      </c>
    </row>
    <row r="3100" spans="2:11" x14ac:dyDescent="0.25">
      <c r="B3100" t="s">
        <v>725</v>
      </c>
      <c r="C3100">
        <v>2011</v>
      </c>
      <c r="D3100" s="1">
        <v>250000</v>
      </c>
      <c r="E3100">
        <v>55130</v>
      </c>
      <c r="F3100" t="s">
        <v>15</v>
      </c>
      <c r="G3100" t="s">
        <v>27</v>
      </c>
      <c r="H3100" t="s">
        <v>11</v>
      </c>
      <c r="I3100" t="s">
        <v>18</v>
      </c>
      <c r="J3100">
        <f t="shared" si="96"/>
        <v>15</v>
      </c>
      <c r="K3100" t="str">
        <f t="shared" si="97"/>
        <v>Budget</v>
      </c>
    </row>
    <row r="3101" spans="2:11" x14ac:dyDescent="0.25">
      <c r="B3101" t="s">
        <v>325</v>
      </c>
      <c r="C3101">
        <v>2014</v>
      </c>
      <c r="D3101" s="1">
        <v>580000</v>
      </c>
      <c r="E3101">
        <v>63356</v>
      </c>
      <c r="F3101" t="s">
        <v>15</v>
      </c>
      <c r="G3101" t="s">
        <v>27</v>
      </c>
      <c r="H3101" t="s">
        <v>11</v>
      </c>
      <c r="I3101" t="s">
        <v>18</v>
      </c>
      <c r="J3101">
        <f t="shared" si="96"/>
        <v>12</v>
      </c>
      <c r="K3101" t="str">
        <f t="shared" si="97"/>
        <v>Mid Range</v>
      </c>
    </row>
    <row r="3102" spans="2:11" x14ac:dyDescent="0.25">
      <c r="B3102" t="s">
        <v>1314</v>
      </c>
      <c r="C3102">
        <v>2012</v>
      </c>
      <c r="D3102" s="1">
        <v>1680000</v>
      </c>
      <c r="E3102">
        <v>129627</v>
      </c>
      <c r="F3102" t="s">
        <v>15</v>
      </c>
      <c r="G3102" t="s">
        <v>27</v>
      </c>
      <c r="H3102" t="s">
        <v>11</v>
      </c>
      <c r="I3102" t="s">
        <v>12</v>
      </c>
      <c r="J3102">
        <f t="shared" si="96"/>
        <v>14</v>
      </c>
      <c r="K3102" t="str">
        <f t="shared" si="97"/>
        <v>Premium</v>
      </c>
    </row>
    <row r="3103" spans="2:11" x14ac:dyDescent="0.25">
      <c r="B3103" t="s">
        <v>258</v>
      </c>
      <c r="C3103">
        <v>2010</v>
      </c>
      <c r="D3103" s="1">
        <v>180000</v>
      </c>
      <c r="E3103">
        <v>15000</v>
      </c>
      <c r="F3103" t="s">
        <v>9</v>
      </c>
      <c r="G3103" t="s">
        <v>10</v>
      </c>
      <c r="H3103" t="s">
        <v>11</v>
      </c>
      <c r="I3103" t="s">
        <v>12</v>
      </c>
      <c r="J3103">
        <f t="shared" si="96"/>
        <v>16</v>
      </c>
      <c r="K3103" t="str">
        <f t="shared" si="97"/>
        <v>Budget</v>
      </c>
    </row>
    <row r="3104" spans="2:11" x14ac:dyDescent="0.25">
      <c r="B3104" t="s">
        <v>1057</v>
      </c>
      <c r="C3104">
        <v>2017</v>
      </c>
      <c r="D3104" s="1">
        <v>300000</v>
      </c>
      <c r="E3104">
        <v>50000</v>
      </c>
      <c r="F3104" t="s">
        <v>9</v>
      </c>
      <c r="G3104" t="s">
        <v>10</v>
      </c>
      <c r="H3104" t="s">
        <v>11</v>
      </c>
      <c r="I3104" t="s">
        <v>12</v>
      </c>
      <c r="J3104">
        <f t="shared" si="96"/>
        <v>9</v>
      </c>
      <c r="K3104" t="str">
        <f t="shared" si="97"/>
        <v>Budget</v>
      </c>
    </row>
    <row r="3105" spans="2:11" x14ac:dyDescent="0.25">
      <c r="B3105" t="s">
        <v>1397</v>
      </c>
      <c r="C3105">
        <v>2012</v>
      </c>
      <c r="D3105" s="1">
        <v>269000</v>
      </c>
      <c r="E3105">
        <v>70000</v>
      </c>
      <c r="F3105" t="s">
        <v>9</v>
      </c>
      <c r="G3105" t="s">
        <v>10</v>
      </c>
      <c r="H3105" t="s">
        <v>11</v>
      </c>
      <c r="I3105" t="s">
        <v>18</v>
      </c>
      <c r="J3105">
        <f t="shared" si="96"/>
        <v>14</v>
      </c>
      <c r="K3105" t="str">
        <f t="shared" si="97"/>
        <v>Budget</v>
      </c>
    </row>
    <row r="3106" spans="2:11" x14ac:dyDescent="0.25">
      <c r="B3106" t="s">
        <v>170</v>
      </c>
      <c r="C3106">
        <v>2018</v>
      </c>
      <c r="D3106" s="1">
        <v>231999</v>
      </c>
      <c r="E3106">
        <v>20000</v>
      </c>
      <c r="F3106" t="s">
        <v>9</v>
      </c>
      <c r="G3106" t="s">
        <v>10</v>
      </c>
      <c r="H3106" t="s">
        <v>11</v>
      </c>
      <c r="I3106" t="s">
        <v>12</v>
      </c>
      <c r="J3106">
        <f t="shared" si="96"/>
        <v>8</v>
      </c>
      <c r="K3106" t="str">
        <f t="shared" si="97"/>
        <v>Budget</v>
      </c>
    </row>
    <row r="3107" spans="2:11" x14ac:dyDescent="0.25">
      <c r="B3107" t="s">
        <v>353</v>
      </c>
      <c r="C3107">
        <v>2011</v>
      </c>
      <c r="D3107" s="1">
        <v>150000</v>
      </c>
      <c r="E3107">
        <v>60000</v>
      </c>
      <c r="F3107" t="s">
        <v>9</v>
      </c>
      <c r="G3107" t="s">
        <v>10</v>
      </c>
      <c r="H3107" t="s">
        <v>11</v>
      </c>
      <c r="I3107" t="s">
        <v>49</v>
      </c>
      <c r="J3107">
        <f t="shared" si="96"/>
        <v>15</v>
      </c>
      <c r="K3107" t="str">
        <f t="shared" si="97"/>
        <v>Budget</v>
      </c>
    </row>
    <row r="3108" spans="2:11" x14ac:dyDescent="0.25">
      <c r="B3108" t="s">
        <v>583</v>
      </c>
      <c r="C3108">
        <v>2017</v>
      </c>
      <c r="D3108" s="1">
        <v>495000</v>
      </c>
      <c r="E3108">
        <v>5000</v>
      </c>
      <c r="F3108" t="s">
        <v>9</v>
      </c>
      <c r="G3108" t="s">
        <v>10</v>
      </c>
      <c r="H3108" t="s">
        <v>11</v>
      </c>
      <c r="I3108" t="s">
        <v>12</v>
      </c>
      <c r="J3108">
        <f t="shared" si="96"/>
        <v>9</v>
      </c>
      <c r="K3108" t="str">
        <f t="shared" si="97"/>
        <v>Budget</v>
      </c>
    </row>
    <row r="3109" spans="2:11" x14ac:dyDescent="0.25">
      <c r="B3109" t="s">
        <v>494</v>
      </c>
      <c r="C3109">
        <v>2014</v>
      </c>
      <c r="D3109" s="1">
        <v>700000</v>
      </c>
      <c r="E3109">
        <v>15000</v>
      </c>
      <c r="F3109" t="s">
        <v>9</v>
      </c>
      <c r="G3109" t="s">
        <v>10</v>
      </c>
      <c r="H3109" t="s">
        <v>11</v>
      </c>
      <c r="I3109" t="s">
        <v>12</v>
      </c>
      <c r="J3109">
        <f t="shared" si="96"/>
        <v>12</v>
      </c>
      <c r="K3109" t="str">
        <f t="shared" si="97"/>
        <v>Mid Range</v>
      </c>
    </row>
    <row r="3110" spans="2:11" x14ac:dyDescent="0.25">
      <c r="B3110" t="s">
        <v>1047</v>
      </c>
      <c r="C3110">
        <v>2018</v>
      </c>
      <c r="D3110" s="1">
        <v>400000</v>
      </c>
      <c r="E3110">
        <v>4400</v>
      </c>
      <c r="F3110" t="s">
        <v>9</v>
      </c>
      <c r="G3110" t="s">
        <v>10</v>
      </c>
      <c r="H3110" t="s">
        <v>11</v>
      </c>
      <c r="I3110" t="s">
        <v>18</v>
      </c>
      <c r="J3110">
        <f t="shared" si="96"/>
        <v>8</v>
      </c>
      <c r="K3110" t="str">
        <f t="shared" si="97"/>
        <v>Budget</v>
      </c>
    </row>
    <row r="3111" spans="2:11" x14ac:dyDescent="0.25">
      <c r="B3111" t="s">
        <v>1398</v>
      </c>
      <c r="C3111">
        <v>2019</v>
      </c>
      <c r="D3111" s="1">
        <v>599000</v>
      </c>
      <c r="E3111">
        <v>15000</v>
      </c>
      <c r="F3111" t="s">
        <v>15</v>
      </c>
      <c r="G3111" t="s">
        <v>10</v>
      </c>
      <c r="H3111" t="s">
        <v>11</v>
      </c>
      <c r="I3111" t="s">
        <v>49</v>
      </c>
      <c r="J3111">
        <f t="shared" si="96"/>
        <v>7</v>
      </c>
      <c r="K3111" t="str">
        <f t="shared" si="97"/>
        <v>Mid Range</v>
      </c>
    </row>
    <row r="3112" spans="2:11" x14ac:dyDescent="0.25">
      <c r="B3112" t="s">
        <v>91</v>
      </c>
      <c r="C3112">
        <v>2013</v>
      </c>
      <c r="D3112" s="1">
        <v>421000</v>
      </c>
      <c r="E3112">
        <v>45000</v>
      </c>
      <c r="F3112" t="s">
        <v>15</v>
      </c>
      <c r="G3112" t="s">
        <v>10</v>
      </c>
      <c r="H3112" t="s">
        <v>11</v>
      </c>
      <c r="I3112" t="s">
        <v>12</v>
      </c>
      <c r="J3112">
        <f t="shared" si="96"/>
        <v>13</v>
      </c>
      <c r="K3112" t="str">
        <f t="shared" si="97"/>
        <v>Budget</v>
      </c>
    </row>
    <row r="3113" spans="2:11" x14ac:dyDescent="0.25">
      <c r="B3113" t="s">
        <v>1359</v>
      </c>
      <c r="C3113">
        <v>2018</v>
      </c>
      <c r="D3113" s="1">
        <v>841000</v>
      </c>
      <c r="E3113">
        <v>1000</v>
      </c>
      <c r="F3113" t="s">
        <v>15</v>
      </c>
      <c r="G3113" t="s">
        <v>10</v>
      </c>
      <c r="H3113" t="s">
        <v>11</v>
      </c>
      <c r="I3113" t="s">
        <v>12</v>
      </c>
      <c r="J3113">
        <f t="shared" si="96"/>
        <v>8</v>
      </c>
      <c r="K3113" t="str">
        <f t="shared" si="97"/>
        <v>Mid Range</v>
      </c>
    </row>
    <row r="3114" spans="2:11" x14ac:dyDescent="0.25">
      <c r="B3114" t="s">
        <v>45</v>
      </c>
      <c r="C3114">
        <v>2014</v>
      </c>
      <c r="D3114" s="1">
        <v>295000</v>
      </c>
      <c r="E3114">
        <v>38500</v>
      </c>
      <c r="F3114" t="s">
        <v>9</v>
      </c>
      <c r="G3114" t="s">
        <v>10</v>
      </c>
      <c r="H3114" t="s">
        <v>11</v>
      </c>
      <c r="I3114" t="s">
        <v>12</v>
      </c>
      <c r="J3114">
        <f t="shared" si="96"/>
        <v>12</v>
      </c>
      <c r="K3114" t="str">
        <f t="shared" si="97"/>
        <v>Budget</v>
      </c>
    </row>
    <row r="3115" spans="2:11" x14ac:dyDescent="0.25">
      <c r="B3115" t="s">
        <v>992</v>
      </c>
      <c r="C3115">
        <v>2011</v>
      </c>
      <c r="D3115" s="1">
        <v>220000</v>
      </c>
      <c r="E3115">
        <v>25000</v>
      </c>
      <c r="F3115" t="s">
        <v>9</v>
      </c>
      <c r="G3115" t="s">
        <v>10</v>
      </c>
      <c r="H3115" t="s">
        <v>11</v>
      </c>
      <c r="I3115" t="s">
        <v>12</v>
      </c>
      <c r="J3115">
        <f t="shared" si="96"/>
        <v>15</v>
      </c>
      <c r="K3115" t="str">
        <f t="shared" si="97"/>
        <v>Budget</v>
      </c>
    </row>
    <row r="3116" spans="2:11" x14ac:dyDescent="0.25">
      <c r="B3116" t="s">
        <v>1399</v>
      </c>
      <c r="C3116">
        <v>2013</v>
      </c>
      <c r="D3116" s="1">
        <v>250000</v>
      </c>
      <c r="E3116">
        <v>35000</v>
      </c>
      <c r="F3116" t="s">
        <v>15</v>
      </c>
      <c r="G3116" t="s">
        <v>10</v>
      </c>
      <c r="H3116" t="s">
        <v>11</v>
      </c>
      <c r="I3116" t="s">
        <v>12</v>
      </c>
      <c r="J3116">
        <f t="shared" si="96"/>
        <v>13</v>
      </c>
      <c r="K3116" t="str">
        <f t="shared" si="97"/>
        <v>Budget</v>
      </c>
    </row>
    <row r="3117" spans="2:11" x14ac:dyDescent="0.25">
      <c r="B3117" t="s">
        <v>1314</v>
      </c>
      <c r="C3117">
        <v>2009</v>
      </c>
      <c r="D3117" s="1">
        <v>1100000</v>
      </c>
      <c r="E3117">
        <v>110000</v>
      </c>
      <c r="F3117" t="s">
        <v>15</v>
      </c>
      <c r="G3117" t="s">
        <v>10</v>
      </c>
      <c r="H3117" t="s">
        <v>11</v>
      </c>
      <c r="I3117" t="s">
        <v>18</v>
      </c>
      <c r="J3117">
        <f t="shared" si="96"/>
        <v>17</v>
      </c>
      <c r="K3117" t="str">
        <f t="shared" si="97"/>
        <v>Premium</v>
      </c>
    </row>
    <row r="3118" spans="2:11" x14ac:dyDescent="0.25">
      <c r="B3118" t="s">
        <v>887</v>
      </c>
      <c r="C3118">
        <v>2012</v>
      </c>
      <c r="D3118" s="1">
        <v>300000</v>
      </c>
      <c r="E3118">
        <v>40000</v>
      </c>
      <c r="F3118" t="s">
        <v>9</v>
      </c>
      <c r="G3118" t="s">
        <v>10</v>
      </c>
      <c r="H3118" t="s">
        <v>11</v>
      </c>
      <c r="I3118" t="s">
        <v>12</v>
      </c>
      <c r="J3118">
        <f t="shared" si="96"/>
        <v>14</v>
      </c>
      <c r="K3118" t="str">
        <f t="shared" si="97"/>
        <v>Budget</v>
      </c>
    </row>
    <row r="3119" spans="2:11" x14ac:dyDescent="0.25">
      <c r="B3119" t="s">
        <v>1400</v>
      </c>
      <c r="C3119">
        <v>2007</v>
      </c>
      <c r="D3119" s="1">
        <v>80000</v>
      </c>
      <c r="E3119">
        <v>110000</v>
      </c>
      <c r="F3119" t="s">
        <v>9</v>
      </c>
      <c r="G3119" t="s">
        <v>10</v>
      </c>
      <c r="H3119" t="s">
        <v>11</v>
      </c>
      <c r="I3119" t="s">
        <v>18</v>
      </c>
      <c r="J3119">
        <f t="shared" si="96"/>
        <v>19</v>
      </c>
      <c r="K3119" t="str">
        <f t="shared" si="97"/>
        <v>Budget</v>
      </c>
    </row>
    <row r="3120" spans="2:11" x14ac:dyDescent="0.25">
      <c r="B3120" t="s">
        <v>185</v>
      </c>
      <c r="C3120">
        <v>2013</v>
      </c>
      <c r="D3120" s="1">
        <v>215000</v>
      </c>
      <c r="E3120">
        <v>20000</v>
      </c>
      <c r="F3120" t="s">
        <v>15</v>
      </c>
      <c r="G3120" t="s">
        <v>10</v>
      </c>
      <c r="H3120" t="s">
        <v>11</v>
      </c>
      <c r="I3120" t="s">
        <v>49</v>
      </c>
      <c r="J3120">
        <f t="shared" si="96"/>
        <v>13</v>
      </c>
      <c r="K3120" t="str">
        <f t="shared" si="97"/>
        <v>Budget</v>
      </c>
    </row>
    <row r="3121" spans="2:11" x14ac:dyDescent="0.25">
      <c r="B3121" t="s">
        <v>68</v>
      </c>
      <c r="C3121">
        <v>2012</v>
      </c>
      <c r="D3121" s="1">
        <v>245000</v>
      </c>
      <c r="E3121">
        <v>14987</v>
      </c>
      <c r="F3121" t="s">
        <v>9</v>
      </c>
      <c r="G3121" t="s">
        <v>27</v>
      </c>
      <c r="H3121" t="s">
        <v>11</v>
      </c>
      <c r="I3121" t="s">
        <v>12</v>
      </c>
      <c r="J3121">
        <f t="shared" si="96"/>
        <v>14</v>
      </c>
      <c r="K3121" t="str">
        <f t="shared" si="97"/>
        <v>Budget</v>
      </c>
    </row>
    <row r="3122" spans="2:11" x14ac:dyDescent="0.25">
      <c r="B3122" t="s">
        <v>381</v>
      </c>
      <c r="C3122">
        <v>2016</v>
      </c>
      <c r="D3122" s="1">
        <v>650000</v>
      </c>
      <c r="E3122">
        <v>25061</v>
      </c>
      <c r="F3122" t="s">
        <v>15</v>
      </c>
      <c r="G3122" t="s">
        <v>27</v>
      </c>
      <c r="H3122" t="s">
        <v>11</v>
      </c>
      <c r="I3122" t="s">
        <v>12</v>
      </c>
      <c r="J3122">
        <f t="shared" si="96"/>
        <v>10</v>
      </c>
      <c r="K3122" t="str">
        <f t="shared" si="97"/>
        <v>Mid Range</v>
      </c>
    </row>
    <row r="3123" spans="2:11" x14ac:dyDescent="0.25">
      <c r="B3123" t="s">
        <v>913</v>
      </c>
      <c r="C3123">
        <v>2017</v>
      </c>
      <c r="D3123" s="1">
        <v>760000</v>
      </c>
      <c r="E3123">
        <v>42494</v>
      </c>
      <c r="F3123" t="s">
        <v>15</v>
      </c>
      <c r="G3123" t="s">
        <v>27</v>
      </c>
      <c r="H3123" t="s">
        <v>11</v>
      </c>
      <c r="I3123" t="s">
        <v>12</v>
      </c>
      <c r="J3123">
        <f t="shared" si="96"/>
        <v>9</v>
      </c>
      <c r="K3123" t="str">
        <f t="shared" si="97"/>
        <v>Mid Range</v>
      </c>
    </row>
    <row r="3124" spans="2:11" x14ac:dyDescent="0.25">
      <c r="B3124" t="s">
        <v>665</v>
      </c>
      <c r="C3124">
        <v>2014</v>
      </c>
      <c r="D3124" s="1">
        <v>395000</v>
      </c>
      <c r="E3124">
        <v>44875</v>
      </c>
      <c r="F3124" t="s">
        <v>15</v>
      </c>
      <c r="G3124" t="s">
        <v>27</v>
      </c>
      <c r="H3124" t="s">
        <v>11</v>
      </c>
      <c r="I3124" t="s">
        <v>12</v>
      </c>
      <c r="J3124">
        <f t="shared" si="96"/>
        <v>12</v>
      </c>
      <c r="K3124" t="str">
        <f t="shared" si="97"/>
        <v>Budget</v>
      </c>
    </row>
    <row r="3125" spans="2:11" x14ac:dyDescent="0.25">
      <c r="B3125" t="s">
        <v>725</v>
      </c>
      <c r="C3125">
        <v>2014</v>
      </c>
      <c r="D3125" s="1">
        <v>280000</v>
      </c>
      <c r="E3125">
        <v>89741</v>
      </c>
      <c r="F3125" t="s">
        <v>15</v>
      </c>
      <c r="G3125" t="s">
        <v>27</v>
      </c>
      <c r="H3125" t="s">
        <v>11</v>
      </c>
      <c r="I3125" t="s">
        <v>18</v>
      </c>
      <c r="J3125">
        <f t="shared" si="96"/>
        <v>12</v>
      </c>
      <c r="K3125" t="str">
        <f t="shared" si="97"/>
        <v>Budget</v>
      </c>
    </row>
    <row r="3126" spans="2:11" x14ac:dyDescent="0.25">
      <c r="B3126" t="s">
        <v>1401</v>
      </c>
      <c r="C3126">
        <v>2016</v>
      </c>
      <c r="D3126" s="1">
        <v>495000</v>
      </c>
      <c r="E3126">
        <v>65000</v>
      </c>
      <c r="F3126" t="s">
        <v>15</v>
      </c>
      <c r="G3126" t="s">
        <v>27</v>
      </c>
      <c r="H3126" t="s">
        <v>11</v>
      </c>
      <c r="I3126" t="s">
        <v>12</v>
      </c>
      <c r="J3126">
        <f t="shared" si="96"/>
        <v>10</v>
      </c>
      <c r="K3126" t="str">
        <f t="shared" si="97"/>
        <v>Budget</v>
      </c>
    </row>
    <row r="3127" spans="2:11" x14ac:dyDescent="0.25">
      <c r="B3127" t="s">
        <v>630</v>
      </c>
      <c r="C3127">
        <v>2016</v>
      </c>
      <c r="D3127" s="1">
        <v>525000</v>
      </c>
      <c r="E3127">
        <v>35000</v>
      </c>
      <c r="F3127" t="s">
        <v>15</v>
      </c>
      <c r="G3127" t="s">
        <v>27</v>
      </c>
      <c r="H3127" t="s">
        <v>11</v>
      </c>
      <c r="I3127" t="s">
        <v>12</v>
      </c>
      <c r="J3127">
        <f t="shared" si="96"/>
        <v>10</v>
      </c>
      <c r="K3127" t="str">
        <f t="shared" si="97"/>
        <v>Mid Range</v>
      </c>
    </row>
    <row r="3128" spans="2:11" x14ac:dyDescent="0.25">
      <c r="B3128" t="s">
        <v>1402</v>
      </c>
      <c r="C3128">
        <v>2009</v>
      </c>
      <c r="D3128" s="1">
        <v>420000</v>
      </c>
      <c r="E3128">
        <v>347089</v>
      </c>
      <c r="F3128" t="s">
        <v>15</v>
      </c>
      <c r="G3128" t="s">
        <v>27</v>
      </c>
      <c r="H3128" t="s">
        <v>11</v>
      </c>
      <c r="I3128" t="s">
        <v>12</v>
      </c>
      <c r="J3128">
        <f t="shared" si="96"/>
        <v>17</v>
      </c>
      <c r="K3128" t="str">
        <f t="shared" si="97"/>
        <v>Budget</v>
      </c>
    </row>
    <row r="3129" spans="2:11" x14ac:dyDescent="0.25">
      <c r="B3129" t="s">
        <v>1403</v>
      </c>
      <c r="C3129">
        <v>2010</v>
      </c>
      <c r="D3129" s="1">
        <v>210000</v>
      </c>
      <c r="E3129">
        <v>34500</v>
      </c>
      <c r="F3129" t="s">
        <v>15</v>
      </c>
      <c r="G3129" t="s">
        <v>10</v>
      </c>
      <c r="H3129" t="s">
        <v>11</v>
      </c>
      <c r="I3129" t="s">
        <v>12</v>
      </c>
      <c r="J3129">
        <f t="shared" si="96"/>
        <v>16</v>
      </c>
      <c r="K3129" t="str">
        <f t="shared" si="97"/>
        <v>Budget</v>
      </c>
    </row>
    <row r="3130" spans="2:11" x14ac:dyDescent="0.25">
      <c r="B3130" t="s">
        <v>319</v>
      </c>
      <c r="C3130">
        <v>2018</v>
      </c>
      <c r="D3130" s="1">
        <v>650000</v>
      </c>
      <c r="E3130">
        <v>30000</v>
      </c>
      <c r="F3130" t="s">
        <v>9</v>
      </c>
      <c r="G3130" t="s">
        <v>10</v>
      </c>
      <c r="H3130" t="s">
        <v>11</v>
      </c>
      <c r="I3130" t="s">
        <v>12</v>
      </c>
      <c r="J3130">
        <f t="shared" si="96"/>
        <v>8</v>
      </c>
      <c r="K3130" t="str">
        <f t="shared" si="97"/>
        <v>Mid Range</v>
      </c>
    </row>
    <row r="3131" spans="2:11" x14ac:dyDescent="0.25">
      <c r="B3131" t="s">
        <v>417</v>
      </c>
      <c r="C3131">
        <v>2018</v>
      </c>
      <c r="D3131" s="1">
        <v>2300000</v>
      </c>
      <c r="E3131">
        <v>39000</v>
      </c>
      <c r="F3131" t="s">
        <v>15</v>
      </c>
      <c r="G3131" t="s">
        <v>10</v>
      </c>
      <c r="H3131" t="s">
        <v>28</v>
      </c>
      <c r="I3131" t="s">
        <v>12</v>
      </c>
      <c r="J3131">
        <f t="shared" si="96"/>
        <v>8</v>
      </c>
      <c r="K3131" t="str">
        <f t="shared" si="97"/>
        <v>Premium</v>
      </c>
    </row>
    <row r="3132" spans="2:11" x14ac:dyDescent="0.25">
      <c r="B3132" t="s">
        <v>1139</v>
      </c>
      <c r="C3132">
        <v>2019</v>
      </c>
      <c r="D3132" s="1">
        <v>525000</v>
      </c>
      <c r="E3132">
        <v>16000</v>
      </c>
      <c r="F3132" t="s">
        <v>15</v>
      </c>
      <c r="G3132" t="s">
        <v>10</v>
      </c>
      <c r="H3132" t="s">
        <v>11</v>
      </c>
      <c r="I3132" t="s">
        <v>12</v>
      </c>
      <c r="J3132">
        <f t="shared" si="96"/>
        <v>7</v>
      </c>
      <c r="K3132" t="str">
        <f t="shared" si="97"/>
        <v>Mid Range</v>
      </c>
    </row>
    <row r="3133" spans="2:11" x14ac:dyDescent="0.25">
      <c r="B3133" t="s">
        <v>668</v>
      </c>
      <c r="C3133">
        <v>2010</v>
      </c>
      <c r="D3133" s="1">
        <v>195000</v>
      </c>
      <c r="E3133">
        <v>80000</v>
      </c>
      <c r="F3133" t="s">
        <v>24</v>
      </c>
      <c r="G3133" t="s">
        <v>10</v>
      </c>
      <c r="H3133" t="s">
        <v>11</v>
      </c>
      <c r="I3133" t="s">
        <v>18</v>
      </c>
      <c r="J3133">
        <f t="shared" si="96"/>
        <v>16</v>
      </c>
      <c r="K3133" t="str">
        <f t="shared" si="97"/>
        <v>Budget</v>
      </c>
    </row>
    <row r="3134" spans="2:11" x14ac:dyDescent="0.25">
      <c r="B3134" t="s">
        <v>125</v>
      </c>
      <c r="C3134">
        <v>2016</v>
      </c>
      <c r="D3134" s="1">
        <v>650000</v>
      </c>
      <c r="E3134">
        <v>60000</v>
      </c>
      <c r="F3134" t="s">
        <v>15</v>
      </c>
      <c r="G3134" t="s">
        <v>10</v>
      </c>
      <c r="H3134" t="s">
        <v>11</v>
      </c>
      <c r="I3134" t="s">
        <v>12</v>
      </c>
      <c r="J3134">
        <f t="shared" si="96"/>
        <v>10</v>
      </c>
      <c r="K3134" t="str">
        <f t="shared" si="97"/>
        <v>Mid Range</v>
      </c>
    </row>
    <row r="3135" spans="2:11" x14ac:dyDescent="0.25">
      <c r="B3135" t="s">
        <v>1181</v>
      </c>
      <c r="C3135">
        <v>2015</v>
      </c>
      <c r="D3135" s="1">
        <v>540000</v>
      </c>
      <c r="E3135">
        <v>110000</v>
      </c>
      <c r="F3135" t="s">
        <v>15</v>
      </c>
      <c r="G3135" t="s">
        <v>10</v>
      </c>
      <c r="H3135" t="s">
        <v>11</v>
      </c>
      <c r="I3135" t="s">
        <v>12</v>
      </c>
      <c r="J3135">
        <f t="shared" si="96"/>
        <v>11</v>
      </c>
      <c r="K3135" t="str">
        <f t="shared" si="97"/>
        <v>Mid Range</v>
      </c>
    </row>
    <row r="3136" spans="2:11" x14ac:dyDescent="0.25">
      <c r="B3136" t="s">
        <v>249</v>
      </c>
      <c r="C3136">
        <v>2014</v>
      </c>
      <c r="D3136" s="1">
        <v>180000</v>
      </c>
      <c r="E3136">
        <v>61000</v>
      </c>
      <c r="F3136" t="s">
        <v>9</v>
      </c>
      <c r="G3136" t="s">
        <v>10</v>
      </c>
      <c r="H3136" t="s">
        <v>11</v>
      </c>
      <c r="I3136" t="s">
        <v>12</v>
      </c>
      <c r="J3136">
        <f t="shared" si="96"/>
        <v>12</v>
      </c>
      <c r="K3136" t="str">
        <f t="shared" si="97"/>
        <v>Budget</v>
      </c>
    </row>
    <row r="3137" spans="2:11" x14ac:dyDescent="0.25">
      <c r="B3137" t="s">
        <v>234</v>
      </c>
      <c r="C3137">
        <v>2018</v>
      </c>
      <c r="D3137" s="1">
        <v>980000</v>
      </c>
      <c r="E3137">
        <v>50000</v>
      </c>
      <c r="F3137" t="s">
        <v>15</v>
      </c>
      <c r="G3137" t="s">
        <v>10</v>
      </c>
      <c r="H3137" t="s">
        <v>11</v>
      </c>
      <c r="I3137" t="s">
        <v>12</v>
      </c>
      <c r="J3137">
        <f t="shared" si="96"/>
        <v>8</v>
      </c>
      <c r="K3137" t="str">
        <f t="shared" si="97"/>
        <v>Mid Range</v>
      </c>
    </row>
    <row r="3138" spans="2:11" x14ac:dyDescent="0.25">
      <c r="B3138" t="s">
        <v>1404</v>
      </c>
      <c r="C3138">
        <v>2014</v>
      </c>
      <c r="D3138" s="1">
        <v>250000</v>
      </c>
      <c r="E3138">
        <v>90000</v>
      </c>
      <c r="F3138" t="s">
        <v>15</v>
      </c>
      <c r="G3138" t="s">
        <v>10</v>
      </c>
      <c r="H3138" t="s">
        <v>11</v>
      </c>
      <c r="I3138" t="s">
        <v>12</v>
      </c>
      <c r="J3138">
        <f t="shared" si="96"/>
        <v>12</v>
      </c>
      <c r="K3138" t="str">
        <f t="shared" si="97"/>
        <v>Budget</v>
      </c>
    </row>
    <row r="3139" spans="2:11" x14ac:dyDescent="0.25">
      <c r="B3139" t="s">
        <v>1338</v>
      </c>
      <c r="C3139">
        <v>2018</v>
      </c>
      <c r="D3139" s="1">
        <v>550000</v>
      </c>
      <c r="E3139">
        <v>35000</v>
      </c>
      <c r="F3139" t="s">
        <v>9</v>
      </c>
      <c r="G3139" t="s">
        <v>10</v>
      </c>
      <c r="H3139" t="s">
        <v>28</v>
      </c>
      <c r="I3139" t="s">
        <v>12</v>
      </c>
      <c r="J3139">
        <f t="shared" si="96"/>
        <v>8</v>
      </c>
      <c r="K3139" t="str">
        <f t="shared" si="97"/>
        <v>Mid Range</v>
      </c>
    </row>
    <row r="3140" spans="2:11" x14ac:dyDescent="0.25">
      <c r="B3140" t="s">
        <v>1289</v>
      </c>
      <c r="C3140">
        <v>2015</v>
      </c>
      <c r="D3140" s="1">
        <v>509999</v>
      </c>
      <c r="E3140">
        <v>43000</v>
      </c>
      <c r="F3140" t="s">
        <v>9</v>
      </c>
      <c r="G3140" t="s">
        <v>10</v>
      </c>
      <c r="H3140" t="s">
        <v>11</v>
      </c>
      <c r="I3140" t="s">
        <v>18</v>
      </c>
      <c r="J3140">
        <f t="shared" si="96"/>
        <v>11</v>
      </c>
      <c r="K3140" t="str">
        <f t="shared" si="97"/>
        <v>Mid Range</v>
      </c>
    </row>
    <row r="3141" spans="2:11" x14ac:dyDescent="0.25">
      <c r="B3141" t="s">
        <v>454</v>
      </c>
      <c r="C3141">
        <v>2017</v>
      </c>
      <c r="D3141" s="1">
        <v>320000</v>
      </c>
      <c r="E3141">
        <v>50000</v>
      </c>
      <c r="F3141" t="s">
        <v>9</v>
      </c>
      <c r="G3141" t="s">
        <v>10</v>
      </c>
      <c r="H3141" t="s">
        <v>11</v>
      </c>
      <c r="I3141" t="s">
        <v>12</v>
      </c>
      <c r="J3141">
        <f t="shared" si="96"/>
        <v>9</v>
      </c>
      <c r="K3141" t="str">
        <f t="shared" si="97"/>
        <v>Budget</v>
      </c>
    </row>
    <row r="3142" spans="2:11" x14ac:dyDescent="0.25">
      <c r="B3142" t="s">
        <v>568</v>
      </c>
      <c r="C3142">
        <v>2016</v>
      </c>
      <c r="D3142" s="1">
        <v>275000</v>
      </c>
      <c r="E3142">
        <v>25000</v>
      </c>
      <c r="F3142" t="s">
        <v>9</v>
      </c>
      <c r="G3142" t="s">
        <v>10</v>
      </c>
      <c r="H3142" t="s">
        <v>11</v>
      </c>
      <c r="I3142" t="s">
        <v>12</v>
      </c>
      <c r="J3142">
        <f t="shared" ref="J3142:J3205" si="98">2026 - C3142</f>
        <v>10</v>
      </c>
      <c r="K3142" t="str">
        <f t="shared" ref="K3142:K3205" si="99">IF(D3142&lt;500000,"Budget",IF(D3142&lt;=1000000,"Mid Range","Premium"))</f>
        <v>Budget</v>
      </c>
    </row>
    <row r="3143" spans="2:11" x14ac:dyDescent="0.25">
      <c r="B3143" t="s">
        <v>90</v>
      </c>
      <c r="C3143">
        <v>2013</v>
      </c>
      <c r="D3143" s="1">
        <v>550000</v>
      </c>
      <c r="E3143">
        <v>222252</v>
      </c>
      <c r="F3143" t="s">
        <v>15</v>
      </c>
      <c r="G3143" t="s">
        <v>10</v>
      </c>
      <c r="H3143" t="s">
        <v>11</v>
      </c>
      <c r="I3143" t="s">
        <v>12</v>
      </c>
      <c r="J3143">
        <f t="shared" si="98"/>
        <v>13</v>
      </c>
      <c r="K3143" t="str">
        <f t="shared" si="99"/>
        <v>Mid Range</v>
      </c>
    </row>
    <row r="3144" spans="2:11" x14ac:dyDescent="0.25">
      <c r="B3144" t="s">
        <v>996</v>
      </c>
      <c r="C3144">
        <v>2009</v>
      </c>
      <c r="D3144" s="1">
        <v>145000</v>
      </c>
      <c r="E3144">
        <v>50000</v>
      </c>
      <c r="F3144" t="s">
        <v>9</v>
      </c>
      <c r="G3144" t="s">
        <v>10</v>
      </c>
      <c r="H3144" t="s">
        <v>11</v>
      </c>
      <c r="I3144" t="s">
        <v>18</v>
      </c>
      <c r="J3144">
        <f t="shared" si="98"/>
        <v>17</v>
      </c>
      <c r="K3144" t="str">
        <f t="shared" si="99"/>
        <v>Budget</v>
      </c>
    </row>
    <row r="3145" spans="2:11" x14ac:dyDescent="0.25">
      <c r="B3145" t="s">
        <v>1405</v>
      </c>
      <c r="C3145">
        <v>2013</v>
      </c>
      <c r="D3145" s="1">
        <v>250000</v>
      </c>
      <c r="E3145">
        <v>80000</v>
      </c>
      <c r="F3145" t="s">
        <v>15</v>
      </c>
      <c r="G3145" t="s">
        <v>10</v>
      </c>
      <c r="H3145" t="s">
        <v>11</v>
      </c>
      <c r="I3145" t="s">
        <v>12</v>
      </c>
      <c r="J3145">
        <f t="shared" si="98"/>
        <v>13</v>
      </c>
      <c r="K3145" t="str">
        <f t="shared" si="99"/>
        <v>Budget</v>
      </c>
    </row>
    <row r="3146" spans="2:11" x14ac:dyDescent="0.25">
      <c r="B3146" t="s">
        <v>14</v>
      </c>
      <c r="C3146">
        <v>2012</v>
      </c>
      <c r="D3146" s="1">
        <v>520000</v>
      </c>
      <c r="E3146">
        <v>35000</v>
      </c>
      <c r="F3146" t="s">
        <v>15</v>
      </c>
      <c r="G3146" t="s">
        <v>10</v>
      </c>
      <c r="H3146" t="s">
        <v>11</v>
      </c>
      <c r="I3146" t="s">
        <v>12</v>
      </c>
      <c r="J3146">
        <f t="shared" si="98"/>
        <v>14</v>
      </c>
      <c r="K3146" t="str">
        <f t="shared" si="99"/>
        <v>Mid Range</v>
      </c>
    </row>
    <row r="3147" spans="2:11" x14ac:dyDescent="0.25">
      <c r="B3147" t="s">
        <v>58</v>
      </c>
      <c r="C3147">
        <v>2007</v>
      </c>
      <c r="D3147" s="1">
        <v>95000</v>
      </c>
      <c r="E3147">
        <v>85000</v>
      </c>
      <c r="F3147" t="s">
        <v>9</v>
      </c>
      <c r="G3147" t="s">
        <v>10</v>
      </c>
      <c r="H3147" t="s">
        <v>11</v>
      </c>
      <c r="I3147" t="s">
        <v>18</v>
      </c>
      <c r="J3147">
        <f t="shared" si="98"/>
        <v>19</v>
      </c>
      <c r="K3147" t="str">
        <f t="shared" si="99"/>
        <v>Budget</v>
      </c>
    </row>
    <row r="3148" spans="2:11" x14ac:dyDescent="0.25">
      <c r="B3148" t="s">
        <v>213</v>
      </c>
      <c r="C3148">
        <v>2011</v>
      </c>
      <c r="D3148" s="1">
        <v>725000</v>
      </c>
      <c r="E3148">
        <v>110000</v>
      </c>
      <c r="F3148" t="s">
        <v>15</v>
      </c>
      <c r="G3148" t="s">
        <v>10</v>
      </c>
      <c r="H3148" t="s">
        <v>11</v>
      </c>
      <c r="I3148" t="s">
        <v>49</v>
      </c>
      <c r="J3148">
        <f t="shared" si="98"/>
        <v>15</v>
      </c>
      <c r="K3148" t="str">
        <f t="shared" si="99"/>
        <v>Mid Range</v>
      </c>
    </row>
    <row r="3149" spans="2:11" x14ac:dyDescent="0.25">
      <c r="B3149" t="s">
        <v>8</v>
      </c>
      <c r="C3149">
        <v>2006</v>
      </c>
      <c r="D3149" s="1">
        <v>55000</v>
      </c>
      <c r="E3149">
        <v>70000</v>
      </c>
      <c r="F3149" t="s">
        <v>9</v>
      </c>
      <c r="G3149" t="s">
        <v>10</v>
      </c>
      <c r="H3149" t="s">
        <v>11</v>
      </c>
      <c r="I3149" t="s">
        <v>18</v>
      </c>
      <c r="J3149">
        <f t="shared" si="98"/>
        <v>20</v>
      </c>
      <c r="K3149" t="str">
        <f t="shared" si="99"/>
        <v>Budget</v>
      </c>
    </row>
    <row r="3150" spans="2:11" x14ac:dyDescent="0.25">
      <c r="B3150" t="s">
        <v>66</v>
      </c>
      <c r="C3150">
        <v>2014</v>
      </c>
      <c r="D3150" s="1">
        <v>600000</v>
      </c>
      <c r="E3150">
        <v>100000</v>
      </c>
      <c r="F3150" t="s">
        <v>15</v>
      </c>
      <c r="G3150" t="s">
        <v>10</v>
      </c>
      <c r="H3150" t="s">
        <v>11</v>
      </c>
      <c r="I3150" t="s">
        <v>12</v>
      </c>
      <c r="J3150">
        <f t="shared" si="98"/>
        <v>12</v>
      </c>
      <c r="K3150" t="str">
        <f t="shared" si="99"/>
        <v>Mid Range</v>
      </c>
    </row>
    <row r="3151" spans="2:11" x14ac:dyDescent="0.25">
      <c r="B3151" t="s">
        <v>870</v>
      </c>
      <c r="C3151">
        <v>2013</v>
      </c>
      <c r="D3151" s="1">
        <v>330000</v>
      </c>
      <c r="E3151">
        <v>120000</v>
      </c>
      <c r="F3151" t="s">
        <v>15</v>
      </c>
      <c r="G3151" t="s">
        <v>10</v>
      </c>
      <c r="H3151" t="s">
        <v>11</v>
      </c>
      <c r="I3151" t="s">
        <v>18</v>
      </c>
      <c r="J3151">
        <f t="shared" si="98"/>
        <v>13</v>
      </c>
      <c r="K3151" t="str">
        <f t="shared" si="99"/>
        <v>Budget</v>
      </c>
    </row>
    <row r="3152" spans="2:11" x14ac:dyDescent="0.25">
      <c r="B3152" t="s">
        <v>114</v>
      </c>
      <c r="C3152">
        <v>2015</v>
      </c>
      <c r="D3152" s="1">
        <v>470000</v>
      </c>
      <c r="E3152">
        <v>89000</v>
      </c>
      <c r="F3152" t="s">
        <v>15</v>
      </c>
      <c r="G3152" t="s">
        <v>10</v>
      </c>
      <c r="H3152" t="s">
        <v>11</v>
      </c>
      <c r="I3152" t="s">
        <v>12</v>
      </c>
      <c r="J3152">
        <f t="shared" si="98"/>
        <v>11</v>
      </c>
      <c r="K3152" t="str">
        <f t="shared" si="99"/>
        <v>Budget</v>
      </c>
    </row>
    <row r="3153" spans="2:11" x14ac:dyDescent="0.25">
      <c r="B3153" t="s">
        <v>1095</v>
      </c>
      <c r="C3153">
        <v>2013</v>
      </c>
      <c r="D3153" s="1">
        <v>365000</v>
      </c>
      <c r="E3153">
        <v>120000</v>
      </c>
      <c r="F3153" t="s">
        <v>15</v>
      </c>
      <c r="G3153" t="s">
        <v>10</v>
      </c>
      <c r="H3153" t="s">
        <v>11</v>
      </c>
      <c r="I3153" t="s">
        <v>12</v>
      </c>
      <c r="J3153">
        <f t="shared" si="98"/>
        <v>13</v>
      </c>
      <c r="K3153" t="str">
        <f t="shared" si="99"/>
        <v>Budget</v>
      </c>
    </row>
    <row r="3154" spans="2:11" x14ac:dyDescent="0.25">
      <c r="B3154" t="s">
        <v>68</v>
      </c>
      <c r="C3154">
        <v>2013</v>
      </c>
      <c r="D3154" s="1">
        <v>250000</v>
      </c>
      <c r="E3154">
        <v>40000</v>
      </c>
      <c r="F3154" t="s">
        <v>9</v>
      </c>
      <c r="G3154" t="s">
        <v>10</v>
      </c>
      <c r="H3154" t="s">
        <v>11</v>
      </c>
      <c r="I3154" t="s">
        <v>18</v>
      </c>
      <c r="J3154">
        <f t="shared" si="98"/>
        <v>13</v>
      </c>
      <c r="K3154" t="str">
        <f t="shared" si="99"/>
        <v>Budget</v>
      </c>
    </row>
    <row r="3155" spans="2:11" x14ac:dyDescent="0.25">
      <c r="B3155" t="s">
        <v>54</v>
      </c>
      <c r="C3155">
        <v>2017</v>
      </c>
      <c r="D3155" s="1">
        <v>430000</v>
      </c>
      <c r="E3155">
        <v>17000</v>
      </c>
      <c r="F3155" t="s">
        <v>9</v>
      </c>
      <c r="G3155" t="s">
        <v>10</v>
      </c>
      <c r="H3155" t="s">
        <v>11</v>
      </c>
      <c r="I3155" t="s">
        <v>12</v>
      </c>
      <c r="J3155">
        <f t="shared" si="98"/>
        <v>9</v>
      </c>
      <c r="K3155" t="str">
        <f t="shared" si="99"/>
        <v>Budget</v>
      </c>
    </row>
    <row r="3156" spans="2:11" x14ac:dyDescent="0.25">
      <c r="B3156" t="s">
        <v>354</v>
      </c>
      <c r="C3156">
        <v>2013</v>
      </c>
      <c r="D3156" s="1">
        <v>400000</v>
      </c>
      <c r="E3156">
        <v>125000</v>
      </c>
      <c r="F3156" t="s">
        <v>15</v>
      </c>
      <c r="G3156" t="s">
        <v>10</v>
      </c>
      <c r="H3156" t="s">
        <v>11</v>
      </c>
      <c r="I3156" t="s">
        <v>18</v>
      </c>
      <c r="J3156">
        <f t="shared" si="98"/>
        <v>13</v>
      </c>
      <c r="K3156" t="str">
        <f t="shared" si="99"/>
        <v>Budget</v>
      </c>
    </row>
    <row r="3157" spans="2:11" x14ac:dyDescent="0.25">
      <c r="B3157" t="s">
        <v>976</v>
      </c>
      <c r="C3157">
        <v>2015</v>
      </c>
      <c r="D3157" s="1">
        <v>615000</v>
      </c>
      <c r="E3157">
        <v>110000</v>
      </c>
      <c r="F3157" t="s">
        <v>9</v>
      </c>
      <c r="G3157" t="s">
        <v>10</v>
      </c>
      <c r="H3157" t="s">
        <v>11</v>
      </c>
      <c r="I3157" t="s">
        <v>18</v>
      </c>
      <c r="J3157">
        <f t="shared" si="98"/>
        <v>11</v>
      </c>
      <c r="K3157" t="str">
        <f t="shared" si="99"/>
        <v>Mid Range</v>
      </c>
    </row>
    <row r="3158" spans="2:11" x14ac:dyDescent="0.25">
      <c r="B3158" t="s">
        <v>180</v>
      </c>
      <c r="C3158">
        <v>2011</v>
      </c>
      <c r="D3158" s="1">
        <v>150000</v>
      </c>
      <c r="E3158">
        <v>120000</v>
      </c>
      <c r="F3158" t="s">
        <v>15</v>
      </c>
      <c r="G3158" t="s">
        <v>10</v>
      </c>
      <c r="H3158" t="s">
        <v>11</v>
      </c>
      <c r="I3158" t="s">
        <v>18</v>
      </c>
      <c r="J3158">
        <f t="shared" si="98"/>
        <v>15</v>
      </c>
      <c r="K3158" t="str">
        <f t="shared" si="99"/>
        <v>Budget</v>
      </c>
    </row>
    <row r="3159" spans="2:11" x14ac:dyDescent="0.25">
      <c r="B3159" t="s">
        <v>367</v>
      </c>
      <c r="C3159">
        <v>2014</v>
      </c>
      <c r="D3159" s="1">
        <v>240000</v>
      </c>
      <c r="E3159">
        <v>90000</v>
      </c>
      <c r="F3159" t="s">
        <v>15</v>
      </c>
      <c r="G3159" t="s">
        <v>10</v>
      </c>
      <c r="H3159" t="s">
        <v>11</v>
      </c>
      <c r="I3159" t="s">
        <v>12</v>
      </c>
      <c r="J3159">
        <f t="shared" si="98"/>
        <v>12</v>
      </c>
      <c r="K3159" t="str">
        <f t="shared" si="99"/>
        <v>Budget</v>
      </c>
    </row>
    <row r="3160" spans="2:11" x14ac:dyDescent="0.25">
      <c r="B3160" t="s">
        <v>958</v>
      </c>
      <c r="C3160">
        <v>2014</v>
      </c>
      <c r="D3160" s="1">
        <v>800000</v>
      </c>
      <c r="E3160">
        <v>90000</v>
      </c>
      <c r="F3160" t="s">
        <v>15</v>
      </c>
      <c r="G3160" t="s">
        <v>10</v>
      </c>
      <c r="H3160" t="s">
        <v>11</v>
      </c>
      <c r="I3160" t="s">
        <v>12</v>
      </c>
      <c r="J3160">
        <f t="shared" si="98"/>
        <v>12</v>
      </c>
      <c r="K3160" t="str">
        <f t="shared" si="99"/>
        <v>Mid Range</v>
      </c>
    </row>
    <row r="3161" spans="2:11" x14ac:dyDescent="0.25">
      <c r="B3161" t="s">
        <v>373</v>
      </c>
      <c r="C3161">
        <v>2015</v>
      </c>
      <c r="D3161" s="1">
        <v>240000</v>
      </c>
      <c r="E3161">
        <v>110000</v>
      </c>
      <c r="F3161" t="s">
        <v>152</v>
      </c>
      <c r="G3161" t="s">
        <v>10</v>
      </c>
      <c r="H3161" t="s">
        <v>11</v>
      </c>
      <c r="I3161" t="s">
        <v>12</v>
      </c>
      <c r="J3161">
        <f t="shared" si="98"/>
        <v>11</v>
      </c>
      <c r="K3161" t="str">
        <f t="shared" si="99"/>
        <v>Budget</v>
      </c>
    </row>
    <row r="3162" spans="2:11" x14ac:dyDescent="0.25">
      <c r="B3162" t="s">
        <v>325</v>
      </c>
      <c r="C3162">
        <v>2014</v>
      </c>
      <c r="D3162" s="1">
        <v>600000</v>
      </c>
      <c r="E3162">
        <v>87000</v>
      </c>
      <c r="F3162" t="s">
        <v>15</v>
      </c>
      <c r="G3162" t="s">
        <v>10</v>
      </c>
      <c r="H3162" t="s">
        <v>11</v>
      </c>
      <c r="I3162" t="s">
        <v>18</v>
      </c>
      <c r="J3162">
        <f t="shared" si="98"/>
        <v>12</v>
      </c>
      <c r="K3162" t="str">
        <f t="shared" si="99"/>
        <v>Mid Range</v>
      </c>
    </row>
    <row r="3163" spans="2:11" x14ac:dyDescent="0.25">
      <c r="B3163" t="s">
        <v>55</v>
      </c>
      <c r="C3163">
        <v>2014</v>
      </c>
      <c r="D3163" s="1">
        <v>800000</v>
      </c>
      <c r="E3163">
        <v>15000</v>
      </c>
      <c r="F3163" t="s">
        <v>15</v>
      </c>
      <c r="G3163" t="s">
        <v>10</v>
      </c>
      <c r="H3163" t="s">
        <v>11</v>
      </c>
      <c r="I3163" t="s">
        <v>12</v>
      </c>
      <c r="J3163">
        <f t="shared" si="98"/>
        <v>12</v>
      </c>
      <c r="K3163" t="str">
        <f t="shared" si="99"/>
        <v>Mid Range</v>
      </c>
    </row>
    <row r="3164" spans="2:11" x14ac:dyDescent="0.25">
      <c r="B3164" t="s">
        <v>1406</v>
      </c>
      <c r="C3164">
        <v>2012</v>
      </c>
      <c r="D3164" s="1">
        <v>350000</v>
      </c>
      <c r="E3164">
        <v>38000</v>
      </c>
      <c r="F3164" t="s">
        <v>9</v>
      </c>
      <c r="G3164" t="s">
        <v>10</v>
      </c>
      <c r="H3164" t="s">
        <v>11</v>
      </c>
      <c r="I3164" t="s">
        <v>12</v>
      </c>
      <c r="J3164">
        <f t="shared" si="98"/>
        <v>14</v>
      </c>
      <c r="K3164" t="str">
        <f t="shared" si="99"/>
        <v>Budget</v>
      </c>
    </row>
    <row r="3165" spans="2:11" x14ac:dyDescent="0.25">
      <c r="B3165" t="s">
        <v>768</v>
      </c>
      <c r="C3165">
        <v>2011</v>
      </c>
      <c r="D3165" s="1">
        <v>300000</v>
      </c>
      <c r="E3165">
        <v>64000</v>
      </c>
      <c r="F3165" t="s">
        <v>9</v>
      </c>
      <c r="G3165" t="s">
        <v>10</v>
      </c>
      <c r="H3165" t="s">
        <v>11</v>
      </c>
      <c r="I3165" t="s">
        <v>18</v>
      </c>
      <c r="J3165">
        <f t="shared" si="98"/>
        <v>15</v>
      </c>
      <c r="K3165" t="str">
        <f t="shared" si="99"/>
        <v>Budget</v>
      </c>
    </row>
    <row r="3166" spans="2:11" x14ac:dyDescent="0.25">
      <c r="B3166" t="s">
        <v>1407</v>
      </c>
      <c r="C3166">
        <v>2015</v>
      </c>
      <c r="D3166" s="1">
        <v>399000</v>
      </c>
      <c r="E3166">
        <v>55250</v>
      </c>
      <c r="F3166" t="s">
        <v>15</v>
      </c>
      <c r="G3166" t="s">
        <v>10</v>
      </c>
      <c r="H3166" t="s">
        <v>11</v>
      </c>
      <c r="I3166" t="s">
        <v>12</v>
      </c>
      <c r="J3166">
        <f t="shared" si="98"/>
        <v>11</v>
      </c>
      <c r="K3166" t="str">
        <f t="shared" si="99"/>
        <v>Budget</v>
      </c>
    </row>
    <row r="3167" spans="2:11" x14ac:dyDescent="0.25">
      <c r="B3167" t="s">
        <v>662</v>
      </c>
      <c r="C3167">
        <v>2011</v>
      </c>
      <c r="D3167" s="1">
        <v>300000</v>
      </c>
      <c r="E3167">
        <v>110000</v>
      </c>
      <c r="F3167" t="s">
        <v>15</v>
      </c>
      <c r="G3167" t="s">
        <v>10</v>
      </c>
      <c r="H3167" t="s">
        <v>11</v>
      </c>
      <c r="I3167" t="s">
        <v>12</v>
      </c>
      <c r="J3167">
        <f t="shared" si="98"/>
        <v>15</v>
      </c>
      <c r="K3167" t="str">
        <f t="shared" si="99"/>
        <v>Budget</v>
      </c>
    </row>
    <row r="3168" spans="2:11" x14ac:dyDescent="0.25">
      <c r="B3168" t="s">
        <v>1408</v>
      </c>
      <c r="C3168">
        <v>2012</v>
      </c>
      <c r="D3168" s="1">
        <v>150000</v>
      </c>
      <c r="E3168">
        <v>70000</v>
      </c>
      <c r="F3168" t="s">
        <v>9</v>
      </c>
      <c r="G3168" t="s">
        <v>10</v>
      </c>
      <c r="H3168" t="s">
        <v>28</v>
      </c>
      <c r="I3168" t="s">
        <v>12</v>
      </c>
      <c r="J3168">
        <f t="shared" si="98"/>
        <v>14</v>
      </c>
      <c r="K3168" t="str">
        <f t="shared" si="99"/>
        <v>Budget</v>
      </c>
    </row>
    <row r="3169" spans="2:11" x14ac:dyDescent="0.25">
      <c r="B3169" t="s">
        <v>130</v>
      </c>
      <c r="C3169">
        <v>2010</v>
      </c>
      <c r="D3169" s="1">
        <v>320000</v>
      </c>
      <c r="E3169">
        <v>60000</v>
      </c>
      <c r="F3169" t="s">
        <v>15</v>
      </c>
      <c r="G3169" t="s">
        <v>10</v>
      </c>
      <c r="H3169" t="s">
        <v>11</v>
      </c>
      <c r="I3169" t="s">
        <v>49</v>
      </c>
      <c r="J3169">
        <f t="shared" si="98"/>
        <v>16</v>
      </c>
      <c r="K3169" t="str">
        <f t="shared" si="99"/>
        <v>Budget</v>
      </c>
    </row>
    <row r="3170" spans="2:11" x14ac:dyDescent="0.25">
      <c r="B3170" t="s">
        <v>450</v>
      </c>
      <c r="C3170">
        <v>2018</v>
      </c>
      <c r="D3170" s="1">
        <v>1280000</v>
      </c>
      <c r="E3170">
        <v>17000</v>
      </c>
      <c r="F3170" t="s">
        <v>15</v>
      </c>
      <c r="G3170" t="s">
        <v>10</v>
      </c>
      <c r="H3170" t="s">
        <v>11</v>
      </c>
      <c r="I3170" t="s">
        <v>12</v>
      </c>
      <c r="J3170">
        <f t="shared" si="98"/>
        <v>8</v>
      </c>
      <c r="K3170" t="str">
        <f t="shared" si="99"/>
        <v>Premium</v>
      </c>
    </row>
    <row r="3171" spans="2:11" x14ac:dyDescent="0.25">
      <c r="B3171" t="s">
        <v>306</v>
      </c>
      <c r="C3171">
        <v>2017</v>
      </c>
      <c r="D3171" s="1">
        <v>300000</v>
      </c>
      <c r="E3171">
        <v>13000</v>
      </c>
      <c r="F3171" t="s">
        <v>9</v>
      </c>
      <c r="G3171" t="s">
        <v>10</v>
      </c>
      <c r="H3171" t="s">
        <v>11</v>
      </c>
      <c r="I3171" t="s">
        <v>18</v>
      </c>
      <c r="J3171">
        <f t="shared" si="98"/>
        <v>9</v>
      </c>
      <c r="K3171" t="str">
        <f t="shared" si="99"/>
        <v>Budget</v>
      </c>
    </row>
    <row r="3172" spans="2:11" x14ac:dyDescent="0.25">
      <c r="B3172" t="s">
        <v>1409</v>
      </c>
      <c r="C3172">
        <v>2016</v>
      </c>
      <c r="D3172" s="1">
        <v>1000000</v>
      </c>
      <c r="E3172">
        <v>60000</v>
      </c>
      <c r="F3172" t="s">
        <v>15</v>
      </c>
      <c r="G3172" t="s">
        <v>10</v>
      </c>
      <c r="H3172" t="s">
        <v>11</v>
      </c>
      <c r="I3172" t="s">
        <v>12</v>
      </c>
      <c r="J3172">
        <f t="shared" si="98"/>
        <v>10</v>
      </c>
      <c r="K3172" t="str">
        <f t="shared" si="99"/>
        <v>Mid Range</v>
      </c>
    </row>
    <row r="3173" spans="2:11" x14ac:dyDescent="0.25">
      <c r="B3173" t="s">
        <v>613</v>
      </c>
      <c r="C3173">
        <v>2012</v>
      </c>
      <c r="D3173" s="1">
        <v>1090000</v>
      </c>
      <c r="E3173">
        <v>120000</v>
      </c>
      <c r="F3173" t="s">
        <v>15</v>
      </c>
      <c r="G3173" t="s">
        <v>10</v>
      </c>
      <c r="H3173" t="s">
        <v>11</v>
      </c>
      <c r="I3173" t="s">
        <v>18</v>
      </c>
      <c r="J3173">
        <f t="shared" si="98"/>
        <v>14</v>
      </c>
      <c r="K3173" t="str">
        <f t="shared" si="99"/>
        <v>Premium</v>
      </c>
    </row>
    <row r="3174" spans="2:11" x14ac:dyDescent="0.25">
      <c r="B3174" t="s">
        <v>848</v>
      </c>
      <c r="C3174">
        <v>2012</v>
      </c>
      <c r="D3174" s="1">
        <v>450000</v>
      </c>
      <c r="E3174">
        <v>97000</v>
      </c>
      <c r="F3174" t="s">
        <v>15</v>
      </c>
      <c r="G3174" t="s">
        <v>10</v>
      </c>
      <c r="H3174" t="s">
        <v>11</v>
      </c>
      <c r="I3174" t="s">
        <v>18</v>
      </c>
      <c r="J3174">
        <f t="shared" si="98"/>
        <v>14</v>
      </c>
      <c r="K3174" t="str">
        <f t="shared" si="99"/>
        <v>Budget</v>
      </c>
    </row>
    <row r="3175" spans="2:11" x14ac:dyDescent="0.25">
      <c r="B3175" t="s">
        <v>504</v>
      </c>
      <c r="C3175">
        <v>2007</v>
      </c>
      <c r="D3175" s="1">
        <v>60000</v>
      </c>
      <c r="E3175">
        <v>130000</v>
      </c>
      <c r="F3175" t="s">
        <v>9</v>
      </c>
      <c r="G3175" t="s">
        <v>10</v>
      </c>
      <c r="H3175" t="s">
        <v>11</v>
      </c>
      <c r="I3175" t="s">
        <v>18</v>
      </c>
      <c r="J3175">
        <f t="shared" si="98"/>
        <v>19</v>
      </c>
      <c r="K3175" t="str">
        <f t="shared" si="99"/>
        <v>Budget</v>
      </c>
    </row>
    <row r="3176" spans="2:11" x14ac:dyDescent="0.25">
      <c r="B3176" t="s">
        <v>976</v>
      </c>
      <c r="C3176">
        <v>2013</v>
      </c>
      <c r="D3176" s="1">
        <v>500000</v>
      </c>
      <c r="E3176">
        <v>50000</v>
      </c>
      <c r="F3176" t="s">
        <v>9</v>
      </c>
      <c r="G3176" t="s">
        <v>10</v>
      </c>
      <c r="H3176" t="s">
        <v>11</v>
      </c>
      <c r="I3176" t="s">
        <v>12</v>
      </c>
      <c r="J3176">
        <f t="shared" si="98"/>
        <v>13</v>
      </c>
      <c r="K3176" t="str">
        <f t="shared" si="99"/>
        <v>Mid Range</v>
      </c>
    </row>
    <row r="3177" spans="2:11" x14ac:dyDescent="0.25">
      <c r="B3177" t="s">
        <v>159</v>
      </c>
      <c r="C3177">
        <v>2012</v>
      </c>
      <c r="D3177" s="1">
        <v>200000</v>
      </c>
      <c r="E3177">
        <v>120000</v>
      </c>
      <c r="F3177" t="s">
        <v>15</v>
      </c>
      <c r="G3177" t="s">
        <v>10</v>
      </c>
      <c r="H3177" t="s">
        <v>11</v>
      </c>
      <c r="I3177" t="s">
        <v>18</v>
      </c>
      <c r="J3177">
        <f t="shared" si="98"/>
        <v>14</v>
      </c>
      <c r="K3177" t="str">
        <f t="shared" si="99"/>
        <v>Budget</v>
      </c>
    </row>
    <row r="3178" spans="2:11" x14ac:dyDescent="0.25">
      <c r="B3178" t="s">
        <v>58</v>
      </c>
      <c r="C3178">
        <v>2006</v>
      </c>
      <c r="D3178" s="1">
        <v>60000</v>
      </c>
      <c r="E3178">
        <v>100000</v>
      </c>
      <c r="F3178" t="s">
        <v>9</v>
      </c>
      <c r="G3178" t="s">
        <v>10</v>
      </c>
      <c r="H3178" t="s">
        <v>11</v>
      </c>
      <c r="I3178" t="s">
        <v>18</v>
      </c>
      <c r="J3178">
        <f t="shared" si="98"/>
        <v>20</v>
      </c>
      <c r="K3178" t="str">
        <f t="shared" si="99"/>
        <v>Budget</v>
      </c>
    </row>
    <row r="3179" spans="2:11" x14ac:dyDescent="0.25">
      <c r="B3179" t="s">
        <v>1410</v>
      </c>
      <c r="C3179">
        <v>2012</v>
      </c>
      <c r="D3179" s="1">
        <v>185000</v>
      </c>
      <c r="E3179">
        <v>67000</v>
      </c>
      <c r="F3179" t="s">
        <v>24</v>
      </c>
      <c r="G3179" t="s">
        <v>27</v>
      </c>
      <c r="H3179" t="s">
        <v>11</v>
      </c>
      <c r="I3179" t="s">
        <v>18</v>
      </c>
      <c r="J3179">
        <f t="shared" si="98"/>
        <v>14</v>
      </c>
      <c r="K3179" t="str">
        <f t="shared" si="99"/>
        <v>Budget</v>
      </c>
    </row>
    <row r="3180" spans="2:11" x14ac:dyDescent="0.25">
      <c r="B3180" t="s">
        <v>170</v>
      </c>
      <c r="C3180">
        <v>2015</v>
      </c>
      <c r="D3180" s="1">
        <v>155000</v>
      </c>
      <c r="E3180">
        <v>60000</v>
      </c>
      <c r="F3180" t="s">
        <v>9</v>
      </c>
      <c r="G3180" t="s">
        <v>10</v>
      </c>
      <c r="H3180" t="s">
        <v>11</v>
      </c>
      <c r="I3180" t="s">
        <v>12</v>
      </c>
      <c r="J3180">
        <f t="shared" si="98"/>
        <v>11</v>
      </c>
      <c r="K3180" t="str">
        <f t="shared" si="99"/>
        <v>Budget</v>
      </c>
    </row>
    <row r="3181" spans="2:11" x14ac:dyDescent="0.25">
      <c r="B3181" t="s">
        <v>443</v>
      </c>
      <c r="C3181">
        <v>2019</v>
      </c>
      <c r="D3181" s="1">
        <v>600000</v>
      </c>
      <c r="E3181">
        <v>5000</v>
      </c>
      <c r="F3181" t="s">
        <v>9</v>
      </c>
      <c r="G3181" t="s">
        <v>10</v>
      </c>
      <c r="H3181" t="s">
        <v>11</v>
      </c>
      <c r="I3181" t="s">
        <v>12</v>
      </c>
      <c r="J3181">
        <f t="shared" si="98"/>
        <v>7</v>
      </c>
      <c r="K3181" t="str">
        <f t="shared" si="99"/>
        <v>Mid Range</v>
      </c>
    </row>
    <row r="3182" spans="2:11" x14ac:dyDescent="0.25">
      <c r="B3182" t="s">
        <v>1251</v>
      </c>
      <c r="C3182">
        <v>2016</v>
      </c>
      <c r="D3182" s="1">
        <v>300000</v>
      </c>
      <c r="E3182">
        <v>20000</v>
      </c>
      <c r="F3182" t="s">
        <v>9</v>
      </c>
      <c r="G3182" t="s">
        <v>10</v>
      </c>
      <c r="H3182" t="s">
        <v>11</v>
      </c>
      <c r="I3182" t="s">
        <v>12</v>
      </c>
      <c r="J3182">
        <f t="shared" si="98"/>
        <v>10</v>
      </c>
      <c r="K3182" t="str">
        <f t="shared" si="99"/>
        <v>Budget</v>
      </c>
    </row>
    <row r="3183" spans="2:11" x14ac:dyDescent="0.25">
      <c r="B3183" t="s">
        <v>1411</v>
      </c>
      <c r="C3183">
        <v>2018</v>
      </c>
      <c r="D3183" s="1">
        <v>850000</v>
      </c>
      <c r="E3183">
        <v>12500</v>
      </c>
      <c r="F3183" t="s">
        <v>9</v>
      </c>
      <c r="G3183" t="s">
        <v>10</v>
      </c>
      <c r="H3183" t="s">
        <v>11</v>
      </c>
      <c r="I3183" t="s">
        <v>12</v>
      </c>
      <c r="J3183">
        <f t="shared" si="98"/>
        <v>8</v>
      </c>
      <c r="K3183" t="str">
        <f t="shared" si="99"/>
        <v>Mid Range</v>
      </c>
    </row>
    <row r="3184" spans="2:11" x14ac:dyDescent="0.25">
      <c r="B3184" t="s">
        <v>1253</v>
      </c>
      <c r="C3184">
        <v>2019</v>
      </c>
      <c r="D3184" s="1">
        <v>470000</v>
      </c>
      <c r="E3184">
        <v>4000</v>
      </c>
      <c r="F3184" t="s">
        <v>24</v>
      </c>
      <c r="G3184" t="s">
        <v>10</v>
      </c>
      <c r="H3184" t="s">
        <v>11</v>
      </c>
      <c r="I3184" t="s">
        <v>12</v>
      </c>
      <c r="J3184">
        <f t="shared" si="98"/>
        <v>7</v>
      </c>
      <c r="K3184" t="str">
        <f t="shared" si="99"/>
        <v>Budget</v>
      </c>
    </row>
    <row r="3185" spans="2:11" x14ac:dyDescent="0.25">
      <c r="B3185" t="s">
        <v>379</v>
      </c>
      <c r="C3185">
        <v>2019</v>
      </c>
      <c r="D3185" s="1">
        <v>600000</v>
      </c>
      <c r="E3185">
        <v>25000</v>
      </c>
      <c r="F3185" t="s">
        <v>9</v>
      </c>
      <c r="G3185" t="s">
        <v>10</v>
      </c>
      <c r="H3185" t="s">
        <v>11</v>
      </c>
      <c r="I3185" t="s">
        <v>12</v>
      </c>
      <c r="J3185">
        <f t="shared" si="98"/>
        <v>7</v>
      </c>
      <c r="K3185" t="str">
        <f t="shared" si="99"/>
        <v>Mid Range</v>
      </c>
    </row>
    <row r="3186" spans="2:11" x14ac:dyDescent="0.25">
      <c r="B3186" t="s">
        <v>42</v>
      </c>
      <c r="C3186">
        <v>2013</v>
      </c>
      <c r="D3186" s="1">
        <v>700000</v>
      </c>
      <c r="E3186">
        <v>70000</v>
      </c>
      <c r="F3186" t="s">
        <v>15</v>
      </c>
      <c r="G3186" t="s">
        <v>10</v>
      </c>
      <c r="H3186" t="s">
        <v>11</v>
      </c>
      <c r="I3186" t="s">
        <v>18</v>
      </c>
      <c r="J3186">
        <f t="shared" si="98"/>
        <v>13</v>
      </c>
      <c r="K3186" t="str">
        <f t="shared" si="99"/>
        <v>Mid Range</v>
      </c>
    </row>
    <row r="3187" spans="2:11" x14ac:dyDescent="0.25">
      <c r="B3187" t="s">
        <v>950</v>
      </c>
      <c r="C3187">
        <v>2007</v>
      </c>
      <c r="D3187" s="1">
        <v>70000</v>
      </c>
      <c r="E3187">
        <v>162000</v>
      </c>
      <c r="F3187" t="s">
        <v>152</v>
      </c>
      <c r="G3187" t="s">
        <v>10</v>
      </c>
      <c r="H3187" t="s">
        <v>11</v>
      </c>
      <c r="I3187" t="s">
        <v>12</v>
      </c>
      <c r="J3187">
        <f t="shared" si="98"/>
        <v>19</v>
      </c>
      <c r="K3187" t="str">
        <f t="shared" si="99"/>
        <v>Budget</v>
      </c>
    </row>
    <row r="3188" spans="2:11" x14ac:dyDescent="0.25">
      <c r="B3188" t="s">
        <v>1314</v>
      </c>
      <c r="C3188">
        <v>2010</v>
      </c>
      <c r="D3188" s="1">
        <v>1250000</v>
      </c>
      <c r="E3188">
        <v>205000</v>
      </c>
      <c r="F3188" t="s">
        <v>15</v>
      </c>
      <c r="G3188" t="s">
        <v>10</v>
      </c>
      <c r="H3188" t="s">
        <v>11</v>
      </c>
      <c r="I3188" t="s">
        <v>18</v>
      </c>
      <c r="J3188">
        <f t="shared" si="98"/>
        <v>16</v>
      </c>
      <c r="K3188" t="str">
        <f t="shared" si="99"/>
        <v>Premium</v>
      </c>
    </row>
    <row r="3189" spans="2:11" x14ac:dyDescent="0.25">
      <c r="B3189" t="s">
        <v>1412</v>
      </c>
      <c r="C3189">
        <v>2008</v>
      </c>
      <c r="D3189" s="1">
        <v>650000</v>
      </c>
      <c r="E3189">
        <v>70000</v>
      </c>
      <c r="F3189" t="s">
        <v>9</v>
      </c>
      <c r="G3189" t="s">
        <v>10</v>
      </c>
      <c r="H3189" t="s">
        <v>28</v>
      </c>
      <c r="I3189" t="s">
        <v>49</v>
      </c>
      <c r="J3189">
        <f t="shared" si="98"/>
        <v>18</v>
      </c>
      <c r="K3189" t="str">
        <f t="shared" si="99"/>
        <v>Mid Range</v>
      </c>
    </row>
    <row r="3190" spans="2:11" x14ac:dyDescent="0.25">
      <c r="B3190" t="s">
        <v>1413</v>
      </c>
      <c r="C3190">
        <v>2018</v>
      </c>
      <c r="D3190" s="1">
        <v>450000</v>
      </c>
      <c r="E3190">
        <v>70000</v>
      </c>
      <c r="F3190" t="s">
        <v>15</v>
      </c>
      <c r="G3190" t="s">
        <v>10</v>
      </c>
      <c r="H3190" t="s">
        <v>11</v>
      </c>
      <c r="I3190" t="s">
        <v>18</v>
      </c>
      <c r="J3190">
        <f t="shared" si="98"/>
        <v>8</v>
      </c>
      <c r="K3190" t="str">
        <f t="shared" si="99"/>
        <v>Budget</v>
      </c>
    </row>
    <row r="3191" spans="2:11" x14ac:dyDescent="0.25">
      <c r="B3191" t="s">
        <v>90</v>
      </c>
      <c r="C3191">
        <v>2014</v>
      </c>
      <c r="D3191" s="1">
        <v>750000</v>
      </c>
      <c r="E3191">
        <v>100000</v>
      </c>
      <c r="F3191" t="s">
        <v>15</v>
      </c>
      <c r="G3191" t="s">
        <v>10</v>
      </c>
      <c r="H3191" t="s">
        <v>11</v>
      </c>
      <c r="I3191" t="s">
        <v>18</v>
      </c>
      <c r="J3191">
        <f t="shared" si="98"/>
        <v>12</v>
      </c>
      <c r="K3191" t="str">
        <f t="shared" si="99"/>
        <v>Mid Range</v>
      </c>
    </row>
    <row r="3192" spans="2:11" x14ac:dyDescent="0.25">
      <c r="B3192" t="s">
        <v>42</v>
      </c>
      <c r="C3192">
        <v>2013</v>
      </c>
      <c r="D3192" s="1">
        <v>775000</v>
      </c>
      <c r="E3192">
        <v>70000</v>
      </c>
      <c r="F3192" t="s">
        <v>15</v>
      </c>
      <c r="G3192" t="s">
        <v>10</v>
      </c>
      <c r="H3192" t="s">
        <v>11</v>
      </c>
      <c r="I3192" t="s">
        <v>18</v>
      </c>
      <c r="J3192">
        <f t="shared" si="98"/>
        <v>13</v>
      </c>
      <c r="K3192" t="str">
        <f t="shared" si="99"/>
        <v>Mid Range</v>
      </c>
    </row>
    <row r="3193" spans="2:11" x14ac:dyDescent="0.25">
      <c r="B3193" t="s">
        <v>1414</v>
      </c>
      <c r="C3193">
        <v>2011</v>
      </c>
      <c r="D3193" s="1">
        <v>800000</v>
      </c>
      <c r="E3193">
        <v>220000</v>
      </c>
      <c r="F3193" t="s">
        <v>15</v>
      </c>
      <c r="G3193" t="s">
        <v>10</v>
      </c>
      <c r="H3193" t="s">
        <v>11</v>
      </c>
      <c r="I3193" t="s">
        <v>12</v>
      </c>
      <c r="J3193">
        <f t="shared" si="98"/>
        <v>15</v>
      </c>
      <c r="K3193" t="str">
        <f t="shared" si="99"/>
        <v>Mid Range</v>
      </c>
    </row>
    <row r="3194" spans="2:11" x14ac:dyDescent="0.25">
      <c r="B3194" t="s">
        <v>1415</v>
      </c>
      <c r="C3194">
        <v>2015</v>
      </c>
      <c r="D3194" s="1">
        <v>360000</v>
      </c>
      <c r="E3194">
        <v>80000</v>
      </c>
      <c r="F3194" t="s">
        <v>9</v>
      </c>
      <c r="G3194" t="s">
        <v>10</v>
      </c>
      <c r="H3194" t="s">
        <v>11</v>
      </c>
      <c r="I3194" t="s">
        <v>18</v>
      </c>
      <c r="J3194">
        <f t="shared" si="98"/>
        <v>11</v>
      </c>
      <c r="K3194" t="str">
        <f t="shared" si="99"/>
        <v>Budget</v>
      </c>
    </row>
    <row r="3195" spans="2:11" x14ac:dyDescent="0.25">
      <c r="B3195" t="s">
        <v>71</v>
      </c>
      <c r="C3195">
        <v>2010</v>
      </c>
      <c r="D3195" s="1">
        <v>250000</v>
      </c>
      <c r="E3195">
        <v>120000</v>
      </c>
      <c r="F3195" t="s">
        <v>15</v>
      </c>
      <c r="G3195" t="s">
        <v>10</v>
      </c>
      <c r="H3195" t="s">
        <v>11</v>
      </c>
      <c r="I3195" t="s">
        <v>12</v>
      </c>
      <c r="J3195">
        <f t="shared" si="98"/>
        <v>16</v>
      </c>
      <c r="K3195" t="str">
        <f t="shared" si="99"/>
        <v>Budget</v>
      </c>
    </row>
    <row r="3196" spans="2:11" x14ac:dyDescent="0.25">
      <c r="B3196" t="s">
        <v>747</v>
      </c>
      <c r="C3196">
        <v>2017</v>
      </c>
      <c r="D3196" s="1">
        <v>1490000</v>
      </c>
      <c r="E3196">
        <v>22038</v>
      </c>
      <c r="F3196" t="s">
        <v>15</v>
      </c>
      <c r="G3196" t="s">
        <v>10</v>
      </c>
      <c r="H3196" t="s">
        <v>11</v>
      </c>
      <c r="I3196" t="s">
        <v>12</v>
      </c>
      <c r="J3196">
        <f t="shared" si="98"/>
        <v>9</v>
      </c>
      <c r="K3196" t="str">
        <f t="shared" si="99"/>
        <v>Premium</v>
      </c>
    </row>
    <row r="3197" spans="2:11" x14ac:dyDescent="0.25">
      <c r="B3197" t="s">
        <v>772</v>
      </c>
      <c r="C3197">
        <v>2013</v>
      </c>
      <c r="D3197" s="1">
        <v>600000</v>
      </c>
      <c r="E3197">
        <v>80000</v>
      </c>
      <c r="F3197" t="s">
        <v>15</v>
      </c>
      <c r="G3197" t="s">
        <v>10</v>
      </c>
      <c r="H3197" t="s">
        <v>11</v>
      </c>
      <c r="I3197" t="s">
        <v>12</v>
      </c>
      <c r="J3197">
        <f t="shared" si="98"/>
        <v>13</v>
      </c>
      <c r="K3197" t="str">
        <f t="shared" si="99"/>
        <v>Mid Range</v>
      </c>
    </row>
    <row r="3198" spans="2:11" x14ac:dyDescent="0.25">
      <c r="B3198" t="s">
        <v>172</v>
      </c>
      <c r="C3198">
        <v>2010</v>
      </c>
      <c r="D3198" s="1">
        <v>120000</v>
      </c>
      <c r="E3198">
        <v>90000</v>
      </c>
      <c r="F3198" t="s">
        <v>9</v>
      </c>
      <c r="G3198" t="s">
        <v>10</v>
      </c>
      <c r="H3198" t="s">
        <v>11</v>
      </c>
      <c r="I3198" t="s">
        <v>12</v>
      </c>
      <c r="J3198">
        <f t="shared" si="98"/>
        <v>16</v>
      </c>
      <c r="K3198" t="str">
        <f t="shared" si="99"/>
        <v>Budget</v>
      </c>
    </row>
    <row r="3199" spans="2:11" x14ac:dyDescent="0.25">
      <c r="B3199" t="s">
        <v>331</v>
      </c>
      <c r="C3199">
        <v>2012</v>
      </c>
      <c r="D3199" s="1">
        <v>320000</v>
      </c>
      <c r="E3199">
        <v>140000</v>
      </c>
      <c r="F3199" t="s">
        <v>15</v>
      </c>
      <c r="G3199" t="s">
        <v>10</v>
      </c>
      <c r="H3199" t="s">
        <v>11</v>
      </c>
      <c r="I3199" t="s">
        <v>18</v>
      </c>
      <c r="J3199">
        <f t="shared" si="98"/>
        <v>14</v>
      </c>
      <c r="K3199" t="str">
        <f t="shared" si="99"/>
        <v>Budget</v>
      </c>
    </row>
    <row r="3200" spans="2:11" x14ac:dyDescent="0.25">
      <c r="B3200" t="s">
        <v>1416</v>
      </c>
      <c r="C3200">
        <v>2011</v>
      </c>
      <c r="D3200" s="1">
        <v>400000</v>
      </c>
      <c r="E3200">
        <v>120000</v>
      </c>
      <c r="F3200" t="s">
        <v>15</v>
      </c>
      <c r="G3200" t="s">
        <v>10</v>
      </c>
      <c r="H3200" t="s">
        <v>11</v>
      </c>
      <c r="I3200" t="s">
        <v>18</v>
      </c>
      <c r="J3200">
        <f t="shared" si="98"/>
        <v>15</v>
      </c>
      <c r="K3200" t="str">
        <f t="shared" si="99"/>
        <v>Budget</v>
      </c>
    </row>
    <row r="3201" spans="2:11" x14ac:dyDescent="0.25">
      <c r="B3201" t="s">
        <v>366</v>
      </c>
      <c r="C3201">
        <v>2015</v>
      </c>
      <c r="D3201" s="1">
        <v>302000</v>
      </c>
      <c r="E3201">
        <v>60000</v>
      </c>
      <c r="F3201" t="s">
        <v>15</v>
      </c>
      <c r="G3201" t="s">
        <v>10</v>
      </c>
      <c r="H3201" t="s">
        <v>11</v>
      </c>
      <c r="I3201" t="s">
        <v>12</v>
      </c>
      <c r="J3201">
        <f t="shared" si="98"/>
        <v>11</v>
      </c>
      <c r="K3201" t="str">
        <f t="shared" si="99"/>
        <v>Budget</v>
      </c>
    </row>
    <row r="3202" spans="2:11" x14ac:dyDescent="0.25">
      <c r="B3202" t="s">
        <v>1417</v>
      </c>
      <c r="C3202">
        <v>2014</v>
      </c>
      <c r="D3202" s="1">
        <v>150000</v>
      </c>
      <c r="E3202">
        <v>60000</v>
      </c>
      <c r="F3202" t="s">
        <v>9</v>
      </c>
      <c r="G3202" t="s">
        <v>10</v>
      </c>
      <c r="H3202" t="s">
        <v>11</v>
      </c>
      <c r="I3202" t="s">
        <v>18</v>
      </c>
      <c r="J3202">
        <f t="shared" si="98"/>
        <v>12</v>
      </c>
      <c r="K3202" t="str">
        <f t="shared" si="99"/>
        <v>Budget</v>
      </c>
    </row>
    <row r="3203" spans="2:11" x14ac:dyDescent="0.25">
      <c r="B3203" t="s">
        <v>682</v>
      </c>
      <c r="C3203">
        <v>2012</v>
      </c>
      <c r="D3203" s="1">
        <v>200000</v>
      </c>
      <c r="E3203">
        <v>90000</v>
      </c>
      <c r="F3203" t="s">
        <v>15</v>
      </c>
      <c r="G3203" t="s">
        <v>10</v>
      </c>
      <c r="H3203" t="s">
        <v>11</v>
      </c>
      <c r="I3203" t="s">
        <v>18</v>
      </c>
      <c r="J3203">
        <f t="shared" si="98"/>
        <v>14</v>
      </c>
      <c r="K3203" t="str">
        <f t="shared" si="99"/>
        <v>Budget</v>
      </c>
    </row>
    <row r="3204" spans="2:11" x14ac:dyDescent="0.25">
      <c r="B3204" t="s">
        <v>122</v>
      </c>
      <c r="C3204">
        <v>2008</v>
      </c>
      <c r="D3204" s="1">
        <v>120000</v>
      </c>
      <c r="E3204">
        <v>175000</v>
      </c>
      <c r="F3204" t="s">
        <v>15</v>
      </c>
      <c r="G3204" t="s">
        <v>10</v>
      </c>
      <c r="H3204" t="s">
        <v>11</v>
      </c>
      <c r="I3204" t="s">
        <v>18</v>
      </c>
      <c r="J3204">
        <f t="shared" si="98"/>
        <v>18</v>
      </c>
      <c r="K3204" t="str">
        <f t="shared" si="99"/>
        <v>Budget</v>
      </c>
    </row>
    <row r="3205" spans="2:11" x14ac:dyDescent="0.25">
      <c r="B3205" t="s">
        <v>1293</v>
      </c>
      <c r="C3205">
        <v>2019</v>
      </c>
      <c r="D3205" s="1">
        <v>1400000</v>
      </c>
      <c r="E3205">
        <v>10000</v>
      </c>
      <c r="F3205" t="s">
        <v>15</v>
      </c>
      <c r="G3205" t="s">
        <v>10</v>
      </c>
      <c r="H3205" t="s">
        <v>11</v>
      </c>
      <c r="I3205" t="s">
        <v>12</v>
      </c>
      <c r="J3205">
        <f t="shared" si="98"/>
        <v>7</v>
      </c>
      <c r="K3205" t="str">
        <f t="shared" si="99"/>
        <v>Premium</v>
      </c>
    </row>
    <row r="3206" spans="2:11" x14ac:dyDescent="0.25">
      <c r="B3206" t="s">
        <v>1418</v>
      </c>
      <c r="C3206">
        <v>2017</v>
      </c>
      <c r="D3206" s="1">
        <v>620000</v>
      </c>
      <c r="E3206">
        <v>65000</v>
      </c>
      <c r="F3206" t="s">
        <v>9</v>
      </c>
      <c r="G3206" t="s">
        <v>10</v>
      </c>
      <c r="H3206" t="s">
        <v>11</v>
      </c>
      <c r="I3206" t="s">
        <v>12</v>
      </c>
      <c r="J3206">
        <f t="shared" ref="J3206:J3269" si="100">2026 - C3206</f>
        <v>9</v>
      </c>
      <c r="K3206" t="str">
        <f t="shared" ref="K3206:K3269" si="101">IF(D3206&lt;500000,"Budget",IF(D3206&lt;=1000000,"Mid Range","Premium"))</f>
        <v>Mid Range</v>
      </c>
    </row>
    <row r="3207" spans="2:11" x14ac:dyDescent="0.25">
      <c r="B3207" t="s">
        <v>1402</v>
      </c>
      <c r="C3207">
        <v>2012</v>
      </c>
      <c r="D3207" s="1">
        <v>449000</v>
      </c>
      <c r="E3207">
        <v>90000</v>
      </c>
      <c r="F3207" t="s">
        <v>15</v>
      </c>
      <c r="G3207" t="s">
        <v>10</v>
      </c>
      <c r="H3207" t="s">
        <v>11</v>
      </c>
      <c r="I3207" t="s">
        <v>12</v>
      </c>
      <c r="J3207">
        <f t="shared" si="100"/>
        <v>14</v>
      </c>
      <c r="K3207" t="str">
        <f t="shared" si="101"/>
        <v>Budget</v>
      </c>
    </row>
    <row r="3208" spans="2:11" x14ac:dyDescent="0.25">
      <c r="B3208" t="s">
        <v>58</v>
      </c>
      <c r="C3208">
        <v>2007</v>
      </c>
      <c r="D3208" s="1">
        <v>100000</v>
      </c>
      <c r="E3208">
        <v>70000</v>
      </c>
      <c r="F3208" t="s">
        <v>9</v>
      </c>
      <c r="G3208" t="s">
        <v>10</v>
      </c>
      <c r="H3208" t="s">
        <v>11</v>
      </c>
      <c r="I3208" t="s">
        <v>12</v>
      </c>
      <c r="J3208">
        <f t="shared" si="100"/>
        <v>19</v>
      </c>
      <c r="K3208" t="str">
        <f t="shared" si="101"/>
        <v>Budget</v>
      </c>
    </row>
    <row r="3209" spans="2:11" x14ac:dyDescent="0.25">
      <c r="B3209" t="s">
        <v>540</v>
      </c>
      <c r="C3209">
        <v>2018</v>
      </c>
      <c r="D3209" s="1">
        <v>600000</v>
      </c>
      <c r="E3209">
        <v>2500</v>
      </c>
      <c r="F3209" t="s">
        <v>9</v>
      </c>
      <c r="G3209" t="s">
        <v>10</v>
      </c>
      <c r="H3209" t="s">
        <v>11</v>
      </c>
      <c r="I3209" t="s">
        <v>12</v>
      </c>
      <c r="J3209">
        <f t="shared" si="100"/>
        <v>8</v>
      </c>
      <c r="K3209" t="str">
        <f t="shared" si="101"/>
        <v>Mid Range</v>
      </c>
    </row>
    <row r="3210" spans="2:11" x14ac:dyDescent="0.25">
      <c r="B3210" t="s">
        <v>185</v>
      </c>
      <c r="C3210">
        <v>2012</v>
      </c>
      <c r="D3210" s="1">
        <v>250000</v>
      </c>
      <c r="E3210">
        <v>40000</v>
      </c>
      <c r="F3210" t="s">
        <v>15</v>
      </c>
      <c r="G3210" t="s">
        <v>10</v>
      </c>
      <c r="H3210" t="s">
        <v>11</v>
      </c>
      <c r="I3210" t="s">
        <v>12</v>
      </c>
      <c r="J3210">
        <f t="shared" si="100"/>
        <v>14</v>
      </c>
      <c r="K3210" t="str">
        <f t="shared" si="101"/>
        <v>Budget</v>
      </c>
    </row>
    <row r="3211" spans="2:11" x14ac:dyDescent="0.25">
      <c r="B3211" t="s">
        <v>1419</v>
      </c>
      <c r="C3211">
        <v>2018</v>
      </c>
      <c r="D3211" s="1">
        <v>550000</v>
      </c>
      <c r="E3211">
        <v>63000</v>
      </c>
      <c r="F3211" t="s">
        <v>9</v>
      </c>
      <c r="G3211" t="s">
        <v>10</v>
      </c>
      <c r="H3211" t="s">
        <v>11</v>
      </c>
      <c r="I3211" t="s">
        <v>12</v>
      </c>
      <c r="J3211">
        <f t="shared" si="100"/>
        <v>8</v>
      </c>
      <c r="K3211" t="str">
        <f t="shared" si="101"/>
        <v>Mid Range</v>
      </c>
    </row>
    <row r="3212" spans="2:11" x14ac:dyDescent="0.25">
      <c r="B3212" t="s">
        <v>1370</v>
      </c>
      <c r="C3212">
        <v>2014</v>
      </c>
      <c r="D3212" s="1">
        <v>360000</v>
      </c>
      <c r="E3212">
        <v>70000</v>
      </c>
      <c r="F3212" t="s">
        <v>15</v>
      </c>
      <c r="G3212" t="s">
        <v>10</v>
      </c>
      <c r="H3212" t="s">
        <v>11</v>
      </c>
      <c r="I3212" t="s">
        <v>12</v>
      </c>
      <c r="J3212">
        <f t="shared" si="100"/>
        <v>12</v>
      </c>
      <c r="K3212" t="str">
        <f t="shared" si="101"/>
        <v>Budget</v>
      </c>
    </row>
    <row r="3213" spans="2:11" x14ac:dyDescent="0.25">
      <c r="B3213" t="s">
        <v>1420</v>
      </c>
      <c r="C3213">
        <v>2012</v>
      </c>
      <c r="D3213" s="1">
        <v>650000</v>
      </c>
      <c r="E3213">
        <v>60000</v>
      </c>
      <c r="F3213" t="s">
        <v>9</v>
      </c>
      <c r="G3213" t="s">
        <v>27</v>
      </c>
      <c r="H3213" t="s">
        <v>28</v>
      </c>
      <c r="I3213" t="s">
        <v>12</v>
      </c>
      <c r="J3213">
        <f t="shared" si="100"/>
        <v>14</v>
      </c>
      <c r="K3213" t="str">
        <f t="shared" si="101"/>
        <v>Mid Range</v>
      </c>
    </row>
    <row r="3214" spans="2:11" x14ac:dyDescent="0.25">
      <c r="B3214" t="s">
        <v>614</v>
      </c>
      <c r="C3214">
        <v>2012</v>
      </c>
      <c r="D3214" s="1">
        <v>199000</v>
      </c>
      <c r="E3214">
        <v>92000</v>
      </c>
      <c r="F3214" t="s">
        <v>15</v>
      </c>
      <c r="G3214" t="s">
        <v>27</v>
      </c>
      <c r="H3214" t="s">
        <v>11</v>
      </c>
      <c r="I3214" t="s">
        <v>49</v>
      </c>
      <c r="J3214">
        <f t="shared" si="100"/>
        <v>14</v>
      </c>
      <c r="K3214" t="str">
        <f t="shared" si="101"/>
        <v>Budget</v>
      </c>
    </row>
    <row r="3215" spans="2:11" x14ac:dyDescent="0.25">
      <c r="B3215" t="s">
        <v>732</v>
      </c>
      <c r="C3215">
        <v>2014</v>
      </c>
      <c r="D3215" s="1">
        <v>285000</v>
      </c>
      <c r="E3215">
        <v>89126</v>
      </c>
      <c r="F3215" t="s">
        <v>15</v>
      </c>
      <c r="G3215" t="s">
        <v>10</v>
      </c>
      <c r="H3215" t="s">
        <v>11</v>
      </c>
      <c r="I3215" t="s">
        <v>12</v>
      </c>
      <c r="J3215">
        <f t="shared" si="100"/>
        <v>12</v>
      </c>
      <c r="K3215" t="str">
        <f t="shared" si="101"/>
        <v>Budget</v>
      </c>
    </row>
    <row r="3216" spans="2:11" x14ac:dyDescent="0.25">
      <c r="B3216" t="s">
        <v>1421</v>
      </c>
      <c r="C3216">
        <v>2009</v>
      </c>
      <c r="D3216" s="1">
        <v>260000</v>
      </c>
      <c r="E3216">
        <v>134000</v>
      </c>
      <c r="F3216" t="s">
        <v>15</v>
      </c>
      <c r="G3216" t="s">
        <v>10</v>
      </c>
      <c r="H3216" t="s">
        <v>28</v>
      </c>
      <c r="I3216" t="s">
        <v>12</v>
      </c>
      <c r="J3216">
        <f t="shared" si="100"/>
        <v>17</v>
      </c>
      <c r="K3216" t="str">
        <f t="shared" si="101"/>
        <v>Budget</v>
      </c>
    </row>
    <row r="3217" spans="2:11" x14ac:dyDescent="0.25">
      <c r="B3217" t="s">
        <v>523</v>
      </c>
      <c r="C3217">
        <v>2019</v>
      </c>
      <c r="D3217" s="1">
        <v>869999</v>
      </c>
      <c r="E3217">
        <v>15000</v>
      </c>
      <c r="F3217" t="s">
        <v>9</v>
      </c>
      <c r="G3217" t="s">
        <v>27</v>
      </c>
      <c r="H3217" t="s">
        <v>28</v>
      </c>
      <c r="I3217" t="s">
        <v>12</v>
      </c>
      <c r="J3217">
        <f t="shared" si="100"/>
        <v>7</v>
      </c>
      <c r="K3217" t="str">
        <f t="shared" si="101"/>
        <v>Mid Range</v>
      </c>
    </row>
    <row r="3218" spans="2:11" x14ac:dyDescent="0.25">
      <c r="B3218" t="s">
        <v>784</v>
      </c>
      <c r="C3218">
        <v>2016</v>
      </c>
      <c r="D3218" s="1">
        <v>425000</v>
      </c>
      <c r="E3218">
        <v>42500</v>
      </c>
      <c r="F3218" t="s">
        <v>15</v>
      </c>
      <c r="G3218" t="s">
        <v>27</v>
      </c>
      <c r="H3218" t="s">
        <v>11</v>
      </c>
      <c r="I3218" t="s">
        <v>12</v>
      </c>
      <c r="J3218">
        <f t="shared" si="100"/>
        <v>10</v>
      </c>
      <c r="K3218" t="str">
        <f t="shared" si="101"/>
        <v>Budget</v>
      </c>
    </row>
    <row r="3219" spans="2:11" x14ac:dyDescent="0.25">
      <c r="B3219" t="s">
        <v>186</v>
      </c>
      <c r="C3219">
        <v>2012</v>
      </c>
      <c r="D3219" s="1">
        <v>490000</v>
      </c>
      <c r="E3219">
        <v>42000</v>
      </c>
      <c r="F3219" t="s">
        <v>15</v>
      </c>
      <c r="G3219" t="s">
        <v>27</v>
      </c>
      <c r="H3219" t="s">
        <v>28</v>
      </c>
      <c r="I3219" t="s">
        <v>12</v>
      </c>
      <c r="J3219">
        <f t="shared" si="100"/>
        <v>14</v>
      </c>
      <c r="K3219" t="str">
        <f t="shared" si="101"/>
        <v>Budget</v>
      </c>
    </row>
    <row r="3220" spans="2:11" x14ac:dyDescent="0.25">
      <c r="B3220" t="s">
        <v>1059</v>
      </c>
      <c r="C3220">
        <v>2015</v>
      </c>
      <c r="D3220" s="1">
        <v>750000</v>
      </c>
      <c r="E3220">
        <v>70000</v>
      </c>
      <c r="F3220" t="s">
        <v>15</v>
      </c>
      <c r="G3220" t="s">
        <v>10</v>
      </c>
      <c r="H3220" t="s">
        <v>28</v>
      </c>
      <c r="I3220" t="s">
        <v>18</v>
      </c>
      <c r="J3220">
        <f t="shared" si="100"/>
        <v>11</v>
      </c>
      <c r="K3220" t="str">
        <f t="shared" si="101"/>
        <v>Mid Range</v>
      </c>
    </row>
    <row r="3221" spans="2:11" x14ac:dyDescent="0.25">
      <c r="B3221" t="s">
        <v>178</v>
      </c>
      <c r="C3221">
        <v>2004</v>
      </c>
      <c r="D3221" s="1">
        <v>125000</v>
      </c>
      <c r="E3221">
        <v>110000</v>
      </c>
      <c r="F3221" t="s">
        <v>9</v>
      </c>
      <c r="G3221" t="s">
        <v>10</v>
      </c>
      <c r="H3221" t="s">
        <v>11</v>
      </c>
      <c r="I3221" t="s">
        <v>49</v>
      </c>
      <c r="J3221">
        <f t="shared" si="100"/>
        <v>22</v>
      </c>
      <c r="K3221" t="str">
        <f t="shared" si="101"/>
        <v>Budget</v>
      </c>
    </row>
    <row r="3222" spans="2:11" x14ac:dyDescent="0.25">
      <c r="B3222" t="s">
        <v>1222</v>
      </c>
      <c r="C3222">
        <v>2014</v>
      </c>
      <c r="D3222" s="1">
        <v>221000</v>
      </c>
      <c r="E3222">
        <v>131365</v>
      </c>
      <c r="F3222" t="s">
        <v>15</v>
      </c>
      <c r="G3222" t="s">
        <v>10</v>
      </c>
      <c r="H3222" t="s">
        <v>11</v>
      </c>
      <c r="I3222" t="s">
        <v>12</v>
      </c>
      <c r="J3222">
        <f t="shared" si="100"/>
        <v>12</v>
      </c>
      <c r="K3222" t="str">
        <f t="shared" si="101"/>
        <v>Budget</v>
      </c>
    </row>
    <row r="3223" spans="2:11" x14ac:dyDescent="0.25">
      <c r="B3223" t="s">
        <v>1422</v>
      </c>
      <c r="C3223">
        <v>2016</v>
      </c>
      <c r="D3223" s="1">
        <v>724000</v>
      </c>
      <c r="E3223">
        <v>48980</v>
      </c>
      <c r="F3223" t="s">
        <v>15</v>
      </c>
      <c r="G3223" t="s">
        <v>27</v>
      </c>
      <c r="H3223" t="s">
        <v>28</v>
      </c>
      <c r="I3223" t="s">
        <v>12</v>
      </c>
      <c r="J3223">
        <f t="shared" si="100"/>
        <v>10</v>
      </c>
      <c r="K3223" t="str">
        <f t="shared" si="101"/>
        <v>Mid Range</v>
      </c>
    </row>
    <row r="3224" spans="2:11" x14ac:dyDescent="0.25">
      <c r="B3224" t="s">
        <v>1423</v>
      </c>
      <c r="C3224">
        <v>2014</v>
      </c>
      <c r="D3224" s="1">
        <v>440000</v>
      </c>
      <c r="E3224">
        <v>46000</v>
      </c>
      <c r="F3224" t="s">
        <v>9</v>
      </c>
      <c r="G3224" t="s">
        <v>27</v>
      </c>
      <c r="H3224" t="s">
        <v>28</v>
      </c>
      <c r="I3224" t="s">
        <v>12</v>
      </c>
      <c r="J3224">
        <f t="shared" si="100"/>
        <v>12</v>
      </c>
      <c r="K3224" t="str">
        <f t="shared" si="101"/>
        <v>Budget</v>
      </c>
    </row>
    <row r="3225" spans="2:11" x14ac:dyDescent="0.25">
      <c r="B3225" t="s">
        <v>135</v>
      </c>
      <c r="C3225">
        <v>2009</v>
      </c>
      <c r="D3225" s="1">
        <v>70000</v>
      </c>
      <c r="E3225">
        <v>60000</v>
      </c>
      <c r="F3225" t="s">
        <v>9</v>
      </c>
      <c r="G3225" t="s">
        <v>10</v>
      </c>
      <c r="H3225" t="s">
        <v>11</v>
      </c>
      <c r="I3225" t="s">
        <v>49</v>
      </c>
      <c r="J3225">
        <f t="shared" si="100"/>
        <v>17</v>
      </c>
      <c r="K3225" t="str">
        <f t="shared" si="101"/>
        <v>Budget</v>
      </c>
    </row>
    <row r="3226" spans="2:11" x14ac:dyDescent="0.25">
      <c r="B3226" t="s">
        <v>1424</v>
      </c>
      <c r="C3226">
        <v>2015</v>
      </c>
      <c r="D3226" s="1">
        <v>511000</v>
      </c>
      <c r="E3226">
        <v>58000</v>
      </c>
      <c r="F3226" t="s">
        <v>15</v>
      </c>
      <c r="G3226" t="s">
        <v>27</v>
      </c>
      <c r="H3226" t="s">
        <v>11</v>
      </c>
      <c r="I3226" t="s">
        <v>12</v>
      </c>
      <c r="J3226">
        <f t="shared" si="100"/>
        <v>11</v>
      </c>
      <c r="K3226" t="str">
        <f t="shared" si="101"/>
        <v>Mid Range</v>
      </c>
    </row>
    <row r="3227" spans="2:11" x14ac:dyDescent="0.25">
      <c r="B3227" t="s">
        <v>1233</v>
      </c>
      <c r="C3227">
        <v>2016</v>
      </c>
      <c r="D3227" s="1">
        <v>790000</v>
      </c>
      <c r="E3227">
        <v>22000</v>
      </c>
      <c r="F3227" t="s">
        <v>15</v>
      </c>
      <c r="G3227" t="s">
        <v>27</v>
      </c>
      <c r="H3227" t="s">
        <v>11</v>
      </c>
      <c r="I3227" t="s">
        <v>12</v>
      </c>
      <c r="J3227">
        <f t="shared" si="100"/>
        <v>10</v>
      </c>
      <c r="K3227" t="str">
        <f t="shared" si="101"/>
        <v>Mid Range</v>
      </c>
    </row>
    <row r="3228" spans="2:11" x14ac:dyDescent="0.25">
      <c r="B3228" t="s">
        <v>1418</v>
      </c>
      <c r="C3228">
        <v>2017</v>
      </c>
      <c r="D3228" s="1">
        <v>640000</v>
      </c>
      <c r="E3228">
        <v>37000</v>
      </c>
      <c r="F3228" t="s">
        <v>9</v>
      </c>
      <c r="G3228" t="s">
        <v>10</v>
      </c>
      <c r="H3228" t="s">
        <v>11</v>
      </c>
      <c r="I3228" t="s">
        <v>12</v>
      </c>
      <c r="J3228">
        <f t="shared" si="100"/>
        <v>9</v>
      </c>
      <c r="K3228" t="str">
        <f t="shared" si="101"/>
        <v>Mid Range</v>
      </c>
    </row>
    <row r="3229" spans="2:11" x14ac:dyDescent="0.25">
      <c r="B3229" t="s">
        <v>56</v>
      </c>
      <c r="C3229">
        <v>2009</v>
      </c>
      <c r="D3229" s="1">
        <v>120000</v>
      </c>
      <c r="E3229">
        <v>70000</v>
      </c>
      <c r="F3229" t="s">
        <v>9</v>
      </c>
      <c r="G3229" t="s">
        <v>10</v>
      </c>
      <c r="H3229" t="s">
        <v>11</v>
      </c>
      <c r="I3229" t="s">
        <v>46</v>
      </c>
      <c r="J3229">
        <f t="shared" si="100"/>
        <v>17</v>
      </c>
      <c r="K3229" t="str">
        <f t="shared" si="101"/>
        <v>Budget</v>
      </c>
    </row>
    <row r="3230" spans="2:11" x14ac:dyDescent="0.25">
      <c r="B3230" t="s">
        <v>185</v>
      </c>
      <c r="C3230">
        <v>2012</v>
      </c>
      <c r="D3230" s="1">
        <v>126000</v>
      </c>
      <c r="E3230">
        <v>98900</v>
      </c>
      <c r="F3230" t="s">
        <v>15</v>
      </c>
      <c r="G3230" t="s">
        <v>10</v>
      </c>
      <c r="H3230" t="s">
        <v>11</v>
      </c>
      <c r="I3230" t="s">
        <v>49</v>
      </c>
      <c r="J3230">
        <f t="shared" si="100"/>
        <v>14</v>
      </c>
      <c r="K3230" t="str">
        <f t="shared" si="101"/>
        <v>Budget</v>
      </c>
    </row>
    <row r="3231" spans="2:11" x14ac:dyDescent="0.25">
      <c r="B3231" t="s">
        <v>185</v>
      </c>
      <c r="C3231">
        <v>2012</v>
      </c>
      <c r="D3231" s="1">
        <v>120000</v>
      </c>
      <c r="E3231">
        <v>125000</v>
      </c>
      <c r="F3231" t="s">
        <v>15</v>
      </c>
      <c r="G3231" t="s">
        <v>10</v>
      </c>
      <c r="H3231" t="s">
        <v>11</v>
      </c>
      <c r="I3231" t="s">
        <v>12</v>
      </c>
      <c r="J3231">
        <f t="shared" si="100"/>
        <v>14</v>
      </c>
      <c r="K3231" t="str">
        <f t="shared" si="101"/>
        <v>Budget</v>
      </c>
    </row>
    <row r="3232" spans="2:11" x14ac:dyDescent="0.25">
      <c r="B3232" t="s">
        <v>356</v>
      </c>
      <c r="C3232">
        <v>2017</v>
      </c>
      <c r="D3232" s="1">
        <v>650000</v>
      </c>
      <c r="E3232">
        <v>60000</v>
      </c>
      <c r="F3232" t="s">
        <v>15</v>
      </c>
      <c r="G3232" t="s">
        <v>10</v>
      </c>
      <c r="H3232" t="s">
        <v>11</v>
      </c>
      <c r="I3232" t="s">
        <v>12</v>
      </c>
      <c r="J3232">
        <f t="shared" si="100"/>
        <v>9</v>
      </c>
      <c r="K3232" t="str">
        <f t="shared" si="101"/>
        <v>Mid Range</v>
      </c>
    </row>
    <row r="3233" spans="2:11" x14ac:dyDescent="0.25">
      <c r="B3233" t="s">
        <v>580</v>
      </c>
      <c r="C3233">
        <v>2014</v>
      </c>
      <c r="D3233" s="1">
        <v>450000</v>
      </c>
      <c r="E3233">
        <v>80000</v>
      </c>
      <c r="F3233" t="s">
        <v>9</v>
      </c>
      <c r="G3233" t="s">
        <v>10</v>
      </c>
      <c r="H3233" t="s">
        <v>11</v>
      </c>
      <c r="I3233" t="s">
        <v>18</v>
      </c>
      <c r="J3233">
        <f t="shared" si="100"/>
        <v>12</v>
      </c>
      <c r="K3233" t="str">
        <f t="shared" si="101"/>
        <v>Budget</v>
      </c>
    </row>
    <row r="3234" spans="2:11" x14ac:dyDescent="0.25">
      <c r="B3234" t="s">
        <v>1243</v>
      </c>
      <c r="C3234">
        <v>2010</v>
      </c>
      <c r="D3234" s="1">
        <v>110000</v>
      </c>
      <c r="E3234">
        <v>80000</v>
      </c>
      <c r="F3234" t="s">
        <v>24</v>
      </c>
      <c r="G3234" t="s">
        <v>10</v>
      </c>
      <c r="H3234" t="s">
        <v>11</v>
      </c>
      <c r="I3234" t="s">
        <v>46</v>
      </c>
      <c r="J3234">
        <f t="shared" si="100"/>
        <v>16</v>
      </c>
      <c r="K3234" t="str">
        <f t="shared" si="101"/>
        <v>Budget</v>
      </c>
    </row>
    <row r="3235" spans="2:11" x14ac:dyDescent="0.25">
      <c r="B3235" t="s">
        <v>266</v>
      </c>
      <c r="C3235">
        <v>2017</v>
      </c>
      <c r="D3235" s="1">
        <v>600000</v>
      </c>
      <c r="E3235">
        <v>40000</v>
      </c>
      <c r="F3235" t="s">
        <v>15</v>
      </c>
      <c r="G3235" t="s">
        <v>10</v>
      </c>
      <c r="H3235" t="s">
        <v>11</v>
      </c>
      <c r="I3235" t="s">
        <v>12</v>
      </c>
      <c r="J3235">
        <f t="shared" si="100"/>
        <v>9</v>
      </c>
      <c r="K3235" t="str">
        <f t="shared" si="101"/>
        <v>Mid Range</v>
      </c>
    </row>
    <row r="3236" spans="2:11" x14ac:dyDescent="0.25">
      <c r="B3236" t="s">
        <v>495</v>
      </c>
      <c r="C3236">
        <v>2012</v>
      </c>
      <c r="D3236" s="1">
        <v>620000</v>
      </c>
      <c r="E3236">
        <v>80000</v>
      </c>
      <c r="F3236" t="s">
        <v>15</v>
      </c>
      <c r="G3236" t="s">
        <v>10</v>
      </c>
      <c r="H3236" t="s">
        <v>11</v>
      </c>
      <c r="I3236" t="s">
        <v>18</v>
      </c>
      <c r="J3236">
        <f t="shared" si="100"/>
        <v>14</v>
      </c>
      <c r="K3236" t="str">
        <f t="shared" si="101"/>
        <v>Mid Range</v>
      </c>
    </row>
    <row r="3237" spans="2:11" x14ac:dyDescent="0.25">
      <c r="B3237" t="s">
        <v>325</v>
      </c>
      <c r="C3237">
        <v>2014</v>
      </c>
      <c r="D3237" s="1">
        <v>600000</v>
      </c>
      <c r="E3237">
        <v>30000</v>
      </c>
      <c r="F3237" t="s">
        <v>15</v>
      </c>
      <c r="G3237" t="s">
        <v>10</v>
      </c>
      <c r="H3237" t="s">
        <v>11</v>
      </c>
      <c r="I3237" t="s">
        <v>12</v>
      </c>
      <c r="J3237">
        <f t="shared" si="100"/>
        <v>12</v>
      </c>
      <c r="K3237" t="str">
        <f t="shared" si="101"/>
        <v>Mid Range</v>
      </c>
    </row>
    <row r="3238" spans="2:11" x14ac:dyDescent="0.25">
      <c r="B3238" t="s">
        <v>890</v>
      </c>
      <c r="C3238">
        <v>2018</v>
      </c>
      <c r="D3238" s="1">
        <v>795000</v>
      </c>
      <c r="E3238">
        <v>35000</v>
      </c>
      <c r="F3238" t="s">
        <v>15</v>
      </c>
      <c r="G3238" t="s">
        <v>10</v>
      </c>
      <c r="H3238" t="s">
        <v>11</v>
      </c>
      <c r="I3238" t="s">
        <v>12</v>
      </c>
      <c r="J3238">
        <f t="shared" si="100"/>
        <v>8</v>
      </c>
      <c r="K3238" t="str">
        <f t="shared" si="101"/>
        <v>Mid Range</v>
      </c>
    </row>
    <row r="3239" spans="2:11" x14ac:dyDescent="0.25">
      <c r="B3239" t="s">
        <v>1425</v>
      </c>
      <c r="C3239">
        <v>2011</v>
      </c>
      <c r="D3239" s="1">
        <v>300000</v>
      </c>
      <c r="E3239">
        <v>180000</v>
      </c>
      <c r="F3239" t="s">
        <v>15</v>
      </c>
      <c r="G3239" t="s">
        <v>10</v>
      </c>
      <c r="H3239" t="s">
        <v>11</v>
      </c>
      <c r="I3239" t="s">
        <v>49</v>
      </c>
      <c r="J3239">
        <f t="shared" si="100"/>
        <v>15</v>
      </c>
      <c r="K3239" t="str">
        <f t="shared" si="101"/>
        <v>Budget</v>
      </c>
    </row>
    <row r="3240" spans="2:11" x14ac:dyDescent="0.25">
      <c r="B3240" t="s">
        <v>496</v>
      </c>
      <c r="C3240">
        <v>2015</v>
      </c>
      <c r="D3240" s="1">
        <v>495000</v>
      </c>
      <c r="E3240">
        <v>60000</v>
      </c>
      <c r="F3240" t="s">
        <v>15</v>
      </c>
      <c r="G3240" t="s">
        <v>10</v>
      </c>
      <c r="H3240" t="s">
        <v>11</v>
      </c>
      <c r="I3240" t="s">
        <v>12</v>
      </c>
      <c r="J3240">
        <f t="shared" si="100"/>
        <v>11</v>
      </c>
      <c r="K3240" t="str">
        <f t="shared" si="101"/>
        <v>Budget</v>
      </c>
    </row>
    <row r="3241" spans="2:11" x14ac:dyDescent="0.25">
      <c r="B3241" t="s">
        <v>553</v>
      </c>
      <c r="C3241">
        <v>2018</v>
      </c>
      <c r="D3241" s="1">
        <v>1350000</v>
      </c>
      <c r="E3241">
        <v>34000</v>
      </c>
      <c r="F3241" t="s">
        <v>15</v>
      </c>
      <c r="G3241" t="s">
        <v>10</v>
      </c>
      <c r="H3241" t="s">
        <v>28</v>
      </c>
      <c r="I3241" t="s">
        <v>12</v>
      </c>
      <c r="J3241">
        <f t="shared" si="100"/>
        <v>8</v>
      </c>
      <c r="K3241" t="str">
        <f t="shared" si="101"/>
        <v>Premium</v>
      </c>
    </row>
    <row r="3242" spans="2:11" x14ac:dyDescent="0.25">
      <c r="B3242" t="s">
        <v>108</v>
      </c>
      <c r="C3242">
        <v>2014</v>
      </c>
      <c r="D3242" s="1">
        <v>350000</v>
      </c>
      <c r="E3242">
        <v>145000</v>
      </c>
      <c r="F3242" t="s">
        <v>15</v>
      </c>
      <c r="G3242" t="s">
        <v>10</v>
      </c>
      <c r="H3242" t="s">
        <v>11</v>
      </c>
      <c r="I3242" t="s">
        <v>12</v>
      </c>
      <c r="J3242">
        <f t="shared" si="100"/>
        <v>12</v>
      </c>
      <c r="K3242" t="str">
        <f t="shared" si="101"/>
        <v>Budget</v>
      </c>
    </row>
    <row r="3243" spans="2:11" x14ac:dyDescent="0.25">
      <c r="B3243" t="s">
        <v>1426</v>
      </c>
      <c r="C3243">
        <v>2018</v>
      </c>
      <c r="D3243" s="1">
        <v>300000</v>
      </c>
      <c r="E3243">
        <v>25000</v>
      </c>
      <c r="F3243" t="s">
        <v>9</v>
      </c>
      <c r="G3243" t="s">
        <v>10</v>
      </c>
      <c r="H3243" t="s">
        <v>28</v>
      </c>
      <c r="I3243" t="s">
        <v>12</v>
      </c>
      <c r="J3243">
        <f t="shared" si="100"/>
        <v>8</v>
      </c>
      <c r="K3243" t="str">
        <f t="shared" si="101"/>
        <v>Budget</v>
      </c>
    </row>
    <row r="3244" spans="2:11" x14ac:dyDescent="0.25">
      <c r="B3244" t="s">
        <v>1427</v>
      </c>
      <c r="C3244">
        <v>2018</v>
      </c>
      <c r="D3244" s="1">
        <v>500000</v>
      </c>
      <c r="E3244">
        <v>70000</v>
      </c>
      <c r="F3244" t="s">
        <v>15</v>
      </c>
      <c r="G3244" t="s">
        <v>10</v>
      </c>
      <c r="H3244" t="s">
        <v>11</v>
      </c>
      <c r="I3244" t="s">
        <v>12</v>
      </c>
      <c r="J3244">
        <f t="shared" si="100"/>
        <v>8</v>
      </c>
      <c r="K3244" t="str">
        <f t="shared" si="101"/>
        <v>Mid Range</v>
      </c>
    </row>
    <row r="3245" spans="2:11" x14ac:dyDescent="0.25">
      <c r="B3245" t="s">
        <v>591</v>
      </c>
      <c r="C3245">
        <v>2017</v>
      </c>
      <c r="D3245" s="1">
        <v>2575000</v>
      </c>
      <c r="E3245">
        <v>36000</v>
      </c>
      <c r="F3245" t="s">
        <v>15</v>
      </c>
      <c r="G3245" t="s">
        <v>27</v>
      </c>
      <c r="H3245" t="s">
        <v>28</v>
      </c>
      <c r="I3245" t="s">
        <v>12</v>
      </c>
      <c r="J3245">
        <f t="shared" si="100"/>
        <v>9</v>
      </c>
      <c r="K3245" t="str">
        <f t="shared" si="101"/>
        <v>Premium</v>
      </c>
    </row>
    <row r="3246" spans="2:11" x14ac:dyDescent="0.25">
      <c r="B3246" t="s">
        <v>823</v>
      </c>
      <c r="C3246">
        <v>2014</v>
      </c>
      <c r="D3246" s="1">
        <v>345000</v>
      </c>
      <c r="E3246">
        <v>58000</v>
      </c>
      <c r="F3246" t="s">
        <v>9</v>
      </c>
      <c r="G3246" t="s">
        <v>27</v>
      </c>
      <c r="H3246" t="s">
        <v>11</v>
      </c>
      <c r="I3246" t="s">
        <v>12</v>
      </c>
      <c r="J3246">
        <f t="shared" si="100"/>
        <v>12</v>
      </c>
      <c r="K3246" t="str">
        <f t="shared" si="101"/>
        <v>Budget</v>
      </c>
    </row>
    <row r="3247" spans="2:11" x14ac:dyDescent="0.25">
      <c r="B3247" t="s">
        <v>159</v>
      </c>
      <c r="C3247">
        <v>2013</v>
      </c>
      <c r="D3247" s="1">
        <v>220000</v>
      </c>
      <c r="E3247">
        <v>100000</v>
      </c>
      <c r="F3247" t="s">
        <v>15</v>
      </c>
      <c r="G3247" t="s">
        <v>10</v>
      </c>
      <c r="H3247" t="s">
        <v>11</v>
      </c>
      <c r="I3247" t="s">
        <v>12</v>
      </c>
      <c r="J3247">
        <f t="shared" si="100"/>
        <v>13</v>
      </c>
      <c r="K3247" t="str">
        <f t="shared" si="101"/>
        <v>Budget</v>
      </c>
    </row>
    <row r="3248" spans="2:11" x14ac:dyDescent="0.25">
      <c r="B3248" t="s">
        <v>8</v>
      </c>
      <c r="C3248">
        <v>1999</v>
      </c>
      <c r="D3248" s="1">
        <v>50000</v>
      </c>
      <c r="E3248">
        <v>100000</v>
      </c>
      <c r="F3248" t="s">
        <v>9</v>
      </c>
      <c r="G3248" t="s">
        <v>10</v>
      </c>
      <c r="H3248" t="s">
        <v>11</v>
      </c>
      <c r="I3248" t="s">
        <v>18</v>
      </c>
      <c r="J3248">
        <f t="shared" si="100"/>
        <v>27</v>
      </c>
      <c r="K3248" t="str">
        <f t="shared" si="101"/>
        <v>Budget</v>
      </c>
    </row>
    <row r="3249" spans="2:11" x14ac:dyDescent="0.25">
      <c r="B3249" t="s">
        <v>1428</v>
      </c>
      <c r="C3249">
        <v>2017</v>
      </c>
      <c r="D3249" s="1">
        <v>585000</v>
      </c>
      <c r="E3249">
        <v>14000</v>
      </c>
      <c r="F3249" t="s">
        <v>9</v>
      </c>
      <c r="G3249" t="s">
        <v>27</v>
      </c>
      <c r="H3249" t="s">
        <v>11</v>
      </c>
      <c r="I3249" t="s">
        <v>12</v>
      </c>
      <c r="J3249">
        <f t="shared" si="100"/>
        <v>9</v>
      </c>
      <c r="K3249" t="str">
        <f t="shared" si="101"/>
        <v>Mid Range</v>
      </c>
    </row>
    <row r="3250" spans="2:11" x14ac:dyDescent="0.25">
      <c r="B3250" t="s">
        <v>1429</v>
      </c>
      <c r="C3250">
        <v>2018</v>
      </c>
      <c r="D3250" s="1">
        <v>625000</v>
      </c>
      <c r="E3250">
        <v>13800</v>
      </c>
      <c r="F3250" t="s">
        <v>9</v>
      </c>
      <c r="G3250" t="s">
        <v>10</v>
      </c>
      <c r="H3250" t="s">
        <v>28</v>
      </c>
      <c r="I3250" t="s">
        <v>12</v>
      </c>
      <c r="J3250">
        <f t="shared" si="100"/>
        <v>8</v>
      </c>
      <c r="K3250" t="str">
        <f t="shared" si="101"/>
        <v>Mid Range</v>
      </c>
    </row>
    <row r="3251" spans="2:11" x14ac:dyDescent="0.25">
      <c r="B3251" t="s">
        <v>1430</v>
      </c>
      <c r="C3251">
        <v>2017</v>
      </c>
      <c r="D3251" s="1">
        <v>1035000</v>
      </c>
      <c r="E3251">
        <v>23000</v>
      </c>
      <c r="F3251" t="s">
        <v>9</v>
      </c>
      <c r="G3251" t="s">
        <v>27</v>
      </c>
      <c r="H3251" t="s">
        <v>28</v>
      </c>
      <c r="I3251" t="s">
        <v>12</v>
      </c>
      <c r="J3251">
        <f t="shared" si="100"/>
        <v>9</v>
      </c>
      <c r="K3251" t="str">
        <f t="shared" si="101"/>
        <v>Premium</v>
      </c>
    </row>
    <row r="3252" spans="2:11" x14ac:dyDescent="0.25">
      <c r="B3252" t="s">
        <v>108</v>
      </c>
      <c r="C3252">
        <v>2017</v>
      </c>
      <c r="D3252" s="1">
        <v>600000</v>
      </c>
      <c r="E3252">
        <v>99700</v>
      </c>
      <c r="F3252" t="s">
        <v>15</v>
      </c>
      <c r="G3252" t="s">
        <v>10</v>
      </c>
      <c r="H3252" t="s">
        <v>11</v>
      </c>
      <c r="I3252" t="s">
        <v>12</v>
      </c>
      <c r="J3252">
        <f t="shared" si="100"/>
        <v>9</v>
      </c>
      <c r="K3252" t="str">
        <f t="shared" si="101"/>
        <v>Mid Range</v>
      </c>
    </row>
    <row r="3253" spans="2:11" x14ac:dyDescent="0.25">
      <c r="B3253" t="s">
        <v>398</v>
      </c>
      <c r="C3253">
        <v>2019</v>
      </c>
      <c r="D3253" s="1">
        <v>3100000</v>
      </c>
      <c r="E3253">
        <v>5000</v>
      </c>
      <c r="F3253" t="s">
        <v>15</v>
      </c>
      <c r="G3253" t="s">
        <v>10</v>
      </c>
      <c r="H3253" t="s">
        <v>28</v>
      </c>
      <c r="I3253" t="s">
        <v>12</v>
      </c>
      <c r="J3253">
        <f t="shared" si="100"/>
        <v>7</v>
      </c>
      <c r="K3253" t="str">
        <f t="shared" si="101"/>
        <v>Premium</v>
      </c>
    </row>
    <row r="3254" spans="2:11" x14ac:dyDescent="0.25">
      <c r="B3254" t="s">
        <v>265</v>
      </c>
      <c r="C3254">
        <v>2014</v>
      </c>
      <c r="D3254" s="1">
        <v>650000</v>
      </c>
      <c r="E3254">
        <v>49654</v>
      </c>
      <c r="F3254" t="s">
        <v>15</v>
      </c>
      <c r="G3254" t="s">
        <v>27</v>
      </c>
      <c r="H3254" t="s">
        <v>11</v>
      </c>
      <c r="I3254" t="s">
        <v>12</v>
      </c>
      <c r="J3254">
        <f t="shared" si="100"/>
        <v>12</v>
      </c>
      <c r="K3254" t="str">
        <f t="shared" si="101"/>
        <v>Mid Range</v>
      </c>
    </row>
    <row r="3255" spans="2:11" x14ac:dyDescent="0.25">
      <c r="B3255" t="s">
        <v>580</v>
      </c>
      <c r="C3255">
        <v>2016</v>
      </c>
      <c r="D3255" s="1">
        <v>550000</v>
      </c>
      <c r="E3255">
        <v>45457</v>
      </c>
      <c r="F3255" t="s">
        <v>9</v>
      </c>
      <c r="G3255" t="s">
        <v>27</v>
      </c>
      <c r="H3255" t="s">
        <v>11</v>
      </c>
      <c r="I3255" t="s">
        <v>12</v>
      </c>
      <c r="J3255">
        <f t="shared" si="100"/>
        <v>10</v>
      </c>
      <c r="K3255" t="str">
        <f t="shared" si="101"/>
        <v>Mid Range</v>
      </c>
    </row>
    <row r="3256" spans="2:11" x14ac:dyDescent="0.25">
      <c r="B3256" t="s">
        <v>126</v>
      </c>
      <c r="C3256">
        <v>2017</v>
      </c>
      <c r="D3256" s="1">
        <v>1260000</v>
      </c>
      <c r="E3256">
        <v>39221</v>
      </c>
      <c r="F3256" t="s">
        <v>15</v>
      </c>
      <c r="G3256" t="s">
        <v>27</v>
      </c>
      <c r="H3256" t="s">
        <v>11</v>
      </c>
      <c r="I3256" t="s">
        <v>12</v>
      </c>
      <c r="J3256">
        <f t="shared" si="100"/>
        <v>9</v>
      </c>
      <c r="K3256" t="str">
        <f t="shared" si="101"/>
        <v>Premium</v>
      </c>
    </row>
    <row r="3257" spans="2:11" x14ac:dyDescent="0.25">
      <c r="B3257" t="s">
        <v>429</v>
      </c>
      <c r="C3257">
        <v>2016</v>
      </c>
      <c r="D3257" s="1">
        <v>660000</v>
      </c>
      <c r="E3257">
        <v>48220</v>
      </c>
      <c r="F3257" t="s">
        <v>9</v>
      </c>
      <c r="G3257" t="s">
        <v>27</v>
      </c>
      <c r="H3257" t="s">
        <v>11</v>
      </c>
      <c r="I3257" t="s">
        <v>12</v>
      </c>
      <c r="J3257">
        <f t="shared" si="100"/>
        <v>10</v>
      </c>
      <c r="K3257" t="str">
        <f t="shared" si="101"/>
        <v>Mid Range</v>
      </c>
    </row>
    <row r="3258" spans="2:11" x14ac:dyDescent="0.25">
      <c r="B3258" t="s">
        <v>429</v>
      </c>
      <c r="C3258">
        <v>2017</v>
      </c>
      <c r="D3258" s="1">
        <v>700000</v>
      </c>
      <c r="E3258">
        <v>11114</v>
      </c>
      <c r="F3258" t="s">
        <v>9</v>
      </c>
      <c r="G3258" t="s">
        <v>27</v>
      </c>
      <c r="H3258" t="s">
        <v>11</v>
      </c>
      <c r="I3258" t="s">
        <v>12</v>
      </c>
      <c r="J3258">
        <f t="shared" si="100"/>
        <v>9</v>
      </c>
      <c r="K3258" t="str">
        <f t="shared" si="101"/>
        <v>Mid Range</v>
      </c>
    </row>
    <row r="3259" spans="2:11" x14ac:dyDescent="0.25">
      <c r="B3259" t="s">
        <v>1053</v>
      </c>
      <c r="C3259">
        <v>2008</v>
      </c>
      <c r="D3259" s="1">
        <v>235000</v>
      </c>
      <c r="E3259">
        <v>60208</v>
      </c>
      <c r="F3259" t="s">
        <v>15</v>
      </c>
      <c r="G3259" t="s">
        <v>27</v>
      </c>
      <c r="H3259" t="s">
        <v>11</v>
      </c>
      <c r="I3259" t="s">
        <v>12</v>
      </c>
      <c r="J3259">
        <f t="shared" si="100"/>
        <v>18</v>
      </c>
      <c r="K3259" t="str">
        <f t="shared" si="101"/>
        <v>Budget</v>
      </c>
    </row>
    <row r="3260" spans="2:11" x14ac:dyDescent="0.25">
      <c r="B3260" t="s">
        <v>733</v>
      </c>
      <c r="C3260">
        <v>2013</v>
      </c>
      <c r="D3260" s="1">
        <v>475000</v>
      </c>
      <c r="E3260">
        <v>80000</v>
      </c>
      <c r="F3260" t="s">
        <v>15</v>
      </c>
      <c r="G3260" t="s">
        <v>27</v>
      </c>
      <c r="H3260" t="s">
        <v>11</v>
      </c>
      <c r="I3260" t="s">
        <v>12</v>
      </c>
      <c r="J3260">
        <f t="shared" si="100"/>
        <v>13</v>
      </c>
      <c r="K3260" t="str">
        <f t="shared" si="101"/>
        <v>Budget</v>
      </c>
    </row>
    <row r="3261" spans="2:11" x14ac:dyDescent="0.25">
      <c r="B3261" t="s">
        <v>1431</v>
      </c>
      <c r="C3261">
        <v>2008</v>
      </c>
      <c r="D3261" s="1">
        <v>795000</v>
      </c>
      <c r="E3261">
        <v>98600</v>
      </c>
      <c r="F3261" t="s">
        <v>15</v>
      </c>
      <c r="G3261" t="s">
        <v>27</v>
      </c>
      <c r="H3261" t="s">
        <v>28</v>
      </c>
      <c r="I3261" t="s">
        <v>12</v>
      </c>
      <c r="J3261">
        <f t="shared" si="100"/>
        <v>18</v>
      </c>
      <c r="K3261" t="str">
        <f t="shared" si="101"/>
        <v>Mid Range</v>
      </c>
    </row>
    <row r="3262" spans="2:11" x14ac:dyDescent="0.25">
      <c r="B3262" t="s">
        <v>1432</v>
      </c>
      <c r="C3262">
        <v>2016</v>
      </c>
      <c r="D3262" s="1">
        <v>8900000</v>
      </c>
      <c r="E3262">
        <v>13000</v>
      </c>
      <c r="F3262" t="s">
        <v>9</v>
      </c>
      <c r="G3262" t="s">
        <v>27</v>
      </c>
      <c r="H3262" t="s">
        <v>28</v>
      </c>
      <c r="I3262" t="s">
        <v>12</v>
      </c>
      <c r="J3262">
        <f t="shared" si="100"/>
        <v>10</v>
      </c>
      <c r="K3262" t="str">
        <f t="shared" si="101"/>
        <v>Premium</v>
      </c>
    </row>
    <row r="3263" spans="2:11" x14ac:dyDescent="0.25">
      <c r="B3263" t="s">
        <v>1063</v>
      </c>
      <c r="C3263">
        <v>2015</v>
      </c>
      <c r="D3263" s="1">
        <v>3200000</v>
      </c>
      <c r="E3263">
        <v>30000</v>
      </c>
      <c r="F3263" t="s">
        <v>15</v>
      </c>
      <c r="G3263" t="s">
        <v>27</v>
      </c>
      <c r="H3263" t="s">
        <v>28</v>
      </c>
      <c r="I3263" t="s">
        <v>12</v>
      </c>
      <c r="J3263">
        <f t="shared" si="100"/>
        <v>11</v>
      </c>
      <c r="K3263" t="str">
        <f t="shared" si="101"/>
        <v>Premium</v>
      </c>
    </row>
    <row r="3264" spans="2:11" x14ac:dyDescent="0.25">
      <c r="B3264" t="s">
        <v>1433</v>
      </c>
      <c r="C3264">
        <v>2019</v>
      </c>
      <c r="D3264" s="1">
        <v>1860000</v>
      </c>
      <c r="E3264">
        <v>18000</v>
      </c>
      <c r="F3264" t="s">
        <v>9</v>
      </c>
      <c r="G3264" t="s">
        <v>27</v>
      </c>
      <c r="H3264" t="s">
        <v>28</v>
      </c>
      <c r="I3264" t="s">
        <v>12</v>
      </c>
      <c r="J3264">
        <f t="shared" si="100"/>
        <v>7</v>
      </c>
      <c r="K3264" t="str">
        <f t="shared" si="101"/>
        <v>Premium</v>
      </c>
    </row>
    <row r="3265" spans="2:11" x14ac:dyDescent="0.25">
      <c r="B3265" t="s">
        <v>1434</v>
      </c>
      <c r="C3265">
        <v>2010</v>
      </c>
      <c r="D3265" s="1">
        <v>4200000</v>
      </c>
      <c r="E3265">
        <v>100000</v>
      </c>
      <c r="F3265" t="s">
        <v>15</v>
      </c>
      <c r="G3265" t="s">
        <v>27</v>
      </c>
      <c r="H3265" t="s">
        <v>28</v>
      </c>
      <c r="I3265" t="s">
        <v>12</v>
      </c>
      <c r="J3265">
        <f t="shared" si="100"/>
        <v>16</v>
      </c>
      <c r="K3265" t="str">
        <f t="shared" si="101"/>
        <v>Premium</v>
      </c>
    </row>
    <row r="3266" spans="2:11" x14ac:dyDescent="0.25">
      <c r="B3266" t="s">
        <v>1435</v>
      </c>
      <c r="C3266">
        <v>2015</v>
      </c>
      <c r="D3266" s="1">
        <v>850000</v>
      </c>
      <c r="E3266">
        <v>58000</v>
      </c>
      <c r="F3266" t="s">
        <v>9</v>
      </c>
      <c r="G3266" t="s">
        <v>27</v>
      </c>
      <c r="H3266" t="s">
        <v>28</v>
      </c>
      <c r="I3266" t="s">
        <v>12</v>
      </c>
      <c r="J3266">
        <f t="shared" si="100"/>
        <v>11</v>
      </c>
      <c r="K3266" t="str">
        <f t="shared" si="101"/>
        <v>Mid Range</v>
      </c>
    </row>
    <row r="3267" spans="2:11" x14ac:dyDescent="0.25">
      <c r="B3267" t="s">
        <v>108</v>
      </c>
      <c r="C3267">
        <v>2017</v>
      </c>
      <c r="D3267" s="1">
        <v>585000</v>
      </c>
      <c r="E3267">
        <v>85441</v>
      </c>
      <c r="F3267" t="s">
        <v>15</v>
      </c>
      <c r="G3267" t="s">
        <v>27</v>
      </c>
      <c r="H3267" t="s">
        <v>11</v>
      </c>
      <c r="I3267" t="s">
        <v>12</v>
      </c>
      <c r="J3267">
        <f t="shared" si="100"/>
        <v>9</v>
      </c>
      <c r="K3267" t="str">
        <f t="shared" si="101"/>
        <v>Mid Range</v>
      </c>
    </row>
    <row r="3268" spans="2:11" x14ac:dyDescent="0.25">
      <c r="B3268" t="s">
        <v>432</v>
      </c>
      <c r="C3268">
        <v>2015</v>
      </c>
      <c r="D3268" s="1">
        <v>380000</v>
      </c>
      <c r="E3268">
        <v>64541</v>
      </c>
      <c r="F3268" t="s">
        <v>15</v>
      </c>
      <c r="G3268" t="s">
        <v>27</v>
      </c>
      <c r="H3268" t="s">
        <v>11</v>
      </c>
      <c r="I3268" t="s">
        <v>12</v>
      </c>
      <c r="J3268">
        <f t="shared" si="100"/>
        <v>11</v>
      </c>
      <c r="K3268" t="str">
        <f t="shared" si="101"/>
        <v>Budget</v>
      </c>
    </row>
    <row r="3269" spans="2:11" x14ac:dyDescent="0.25">
      <c r="B3269" t="s">
        <v>114</v>
      </c>
      <c r="C3269">
        <v>2019</v>
      </c>
      <c r="D3269" s="1">
        <v>650000</v>
      </c>
      <c r="E3269">
        <v>35000</v>
      </c>
      <c r="F3269" t="s">
        <v>15</v>
      </c>
      <c r="G3269" t="s">
        <v>10</v>
      </c>
      <c r="H3269" t="s">
        <v>11</v>
      </c>
      <c r="I3269" t="s">
        <v>12</v>
      </c>
      <c r="J3269">
        <f t="shared" si="100"/>
        <v>7</v>
      </c>
      <c r="K3269" t="str">
        <f t="shared" si="101"/>
        <v>Mid Range</v>
      </c>
    </row>
    <row r="3270" spans="2:11" x14ac:dyDescent="0.25">
      <c r="B3270" t="s">
        <v>1385</v>
      </c>
      <c r="C3270">
        <v>2017</v>
      </c>
      <c r="D3270" s="1">
        <v>434999</v>
      </c>
      <c r="E3270">
        <v>16267</v>
      </c>
      <c r="F3270" t="s">
        <v>9</v>
      </c>
      <c r="G3270" t="s">
        <v>27</v>
      </c>
      <c r="H3270" t="s">
        <v>11</v>
      </c>
      <c r="I3270" t="s">
        <v>12</v>
      </c>
      <c r="J3270">
        <f t="shared" ref="J3270:J3333" si="102">2026 - C3270</f>
        <v>9</v>
      </c>
      <c r="K3270" t="str">
        <f t="shared" ref="K3270:K3333" si="103">IF(D3270&lt;500000,"Budget",IF(D3270&lt;=1000000,"Mid Range","Premium"))</f>
        <v>Budget</v>
      </c>
    </row>
    <row r="3271" spans="2:11" x14ac:dyDescent="0.25">
      <c r="B3271" t="s">
        <v>733</v>
      </c>
      <c r="C3271">
        <v>2013</v>
      </c>
      <c r="D3271" s="1">
        <v>525000</v>
      </c>
      <c r="E3271">
        <v>71500</v>
      </c>
      <c r="F3271" t="s">
        <v>15</v>
      </c>
      <c r="G3271" t="s">
        <v>27</v>
      </c>
      <c r="H3271" t="s">
        <v>11</v>
      </c>
      <c r="I3271" t="s">
        <v>12</v>
      </c>
      <c r="J3271">
        <f t="shared" si="102"/>
        <v>13</v>
      </c>
      <c r="K3271" t="str">
        <f t="shared" si="103"/>
        <v>Mid Range</v>
      </c>
    </row>
    <row r="3272" spans="2:11" x14ac:dyDescent="0.25">
      <c r="B3272" t="s">
        <v>188</v>
      </c>
      <c r="C3272">
        <v>2019</v>
      </c>
      <c r="D3272" s="1">
        <v>4800000</v>
      </c>
      <c r="E3272">
        <v>12999</v>
      </c>
      <c r="F3272" t="s">
        <v>15</v>
      </c>
      <c r="G3272" t="s">
        <v>27</v>
      </c>
      <c r="H3272" t="s">
        <v>28</v>
      </c>
      <c r="I3272" t="s">
        <v>12</v>
      </c>
      <c r="J3272">
        <f t="shared" si="102"/>
        <v>7</v>
      </c>
      <c r="K3272" t="str">
        <f t="shared" si="103"/>
        <v>Premium</v>
      </c>
    </row>
    <row r="3273" spans="2:11" x14ac:dyDescent="0.25">
      <c r="B3273" t="s">
        <v>448</v>
      </c>
      <c r="C3273">
        <v>2008</v>
      </c>
      <c r="D3273" s="1">
        <v>160000</v>
      </c>
      <c r="E3273">
        <v>80000</v>
      </c>
      <c r="F3273" t="s">
        <v>9</v>
      </c>
      <c r="G3273" t="s">
        <v>10</v>
      </c>
      <c r="H3273" t="s">
        <v>11</v>
      </c>
      <c r="I3273" t="s">
        <v>12</v>
      </c>
      <c r="J3273">
        <f t="shared" si="102"/>
        <v>18</v>
      </c>
      <c r="K3273" t="str">
        <f t="shared" si="103"/>
        <v>Budget</v>
      </c>
    </row>
    <row r="3274" spans="2:11" x14ac:dyDescent="0.25">
      <c r="B3274" t="s">
        <v>767</v>
      </c>
      <c r="C3274">
        <v>2007</v>
      </c>
      <c r="D3274" s="1">
        <v>160000</v>
      </c>
      <c r="E3274">
        <v>90000</v>
      </c>
      <c r="F3274" t="s">
        <v>9</v>
      </c>
      <c r="G3274" t="s">
        <v>10</v>
      </c>
      <c r="H3274" t="s">
        <v>11</v>
      </c>
      <c r="I3274" t="s">
        <v>18</v>
      </c>
      <c r="J3274">
        <f t="shared" si="102"/>
        <v>19</v>
      </c>
      <c r="K3274" t="str">
        <f t="shared" si="103"/>
        <v>Budget</v>
      </c>
    </row>
    <row r="3275" spans="2:11" x14ac:dyDescent="0.25">
      <c r="B3275" t="s">
        <v>22</v>
      </c>
      <c r="C3275">
        <v>2017</v>
      </c>
      <c r="D3275" s="1">
        <v>900000</v>
      </c>
      <c r="E3275">
        <v>14700</v>
      </c>
      <c r="F3275" t="s">
        <v>9</v>
      </c>
      <c r="G3275" t="s">
        <v>10</v>
      </c>
      <c r="H3275" t="s">
        <v>11</v>
      </c>
      <c r="I3275" t="s">
        <v>12</v>
      </c>
      <c r="J3275">
        <f t="shared" si="102"/>
        <v>9</v>
      </c>
      <c r="K3275" t="str">
        <f t="shared" si="103"/>
        <v>Mid Range</v>
      </c>
    </row>
    <row r="3276" spans="2:11" x14ac:dyDescent="0.25">
      <c r="B3276" t="s">
        <v>172</v>
      </c>
      <c r="C3276">
        <v>2000</v>
      </c>
      <c r="D3276" s="1">
        <v>61000</v>
      </c>
      <c r="E3276">
        <v>90000</v>
      </c>
      <c r="F3276" t="s">
        <v>9</v>
      </c>
      <c r="G3276" t="s">
        <v>10</v>
      </c>
      <c r="H3276" t="s">
        <v>11</v>
      </c>
      <c r="I3276" t="s">
        <v>18</v>
      </c>
      <c r="J3276">
        <f t="shared" si="102"/>
        <v>26</v>
      </c>
      <c r="K3276" t="str">
        <f t="shared" si="103"/>
        <v>Budget</v>
      </c>
    </row>
    <row r="3277" spans="2:11" x14ac:dyDescent="0.25">
      <c r="B3277" t="s">
        <v>500</v>
      </c>
      <c r="C3277">
        <v>2017</v>
      </c>
      <c r="D3277" s="1">
        <v>400000</v>
      </c>
      <c r="E3277">
        <v>50000</v>
      </c>
      <c r="F3277" t="s">
        <v>9</v>
      </c>
      <c r="G3277" t="s">
        <v>10</v>
      </c>
      <c r="H3277" t="s">
        <v>11</v>
      </c>
      <c r="I3277" t="s">
        <v>12</v>
      </c>
      <c r="J3277">
        <f t="shared" si="102"/>
        <v>9</v>
      </c>
      <c r="K3277" t="str">
        <f t="shared" si="103"/>
        <v>Budget</v>
      </c>
    </row>
    <row r="3278" spans="2:11" x14ac:dyDescent="0.25">
      <c r="B3278" t="s">
        <v>663</v>
      </c>
      <c r="C3278">
        <v>2009</v>
      </c>
      <c r="D3278" s="1">
        <v>150000</v>
      </c>
      <c r="E3278">
        <v>100000</v>
      </c>
      <c r="F3278" t="s">
        <v>9</v>
      </c>
      <c r="G3278" t="s">
        <v>10</v>
      </c>
      <c r="H3278" t="s">
        <v>11</v>
      </c>
      <c r="I3278" t="s">
        <v>18</v>
      </c>
      <c r="J3278">
        <f t="shared" si="102"/>
        <v>17</v>
      </c>
      <c r="K3278" t="str">
        <f t="shared" si="103"/>
        <v>Budget</v>
      </c>
    </row>
    <row r="3279" spans="2:11" x14ac:dyDescent="0.25">
      <c r="B3279" t="s">
        <v>1436</v>
      </c>
      <c r="C3279">
        <v>2019</v>
      </c>
      <c r="D3279" s="1">
        <v>950000</v>
      </c>
      <c r="E3279">
        <v>24000</v>
      </c>
      <c r="F3279" t="s">
        <v>9</v>
      </c>
      <c r="G3279" t="s">
        <v>10</v>
      </c>
      <c r="H3279" t="s">
        <v>28</v>
      </c>
      <c r="I3279" t="s">
        <v>12</v>
      </c>
      <c r="J3279">
        <f t="shared" si="102"/>
        <v>7</v>
      </c>
      <c r="K3279" t="str">
        <f t="shared" si="103"/>
        <v>Mid Range</v>
      </c>
    </row>
    <row r="3280" spans="2:11" x14ac:dyDescent="0.25">
      <c r="B3280" t="s">
        <v>1028</v>
      </c>
      <c r="C3280">
        <v>2007</v>
      </c>
      <c r="D3280" s="1">
        <v>110000</v>
      </c>
      <c r="E3280">
        <v>90000</v>
      </c>
      <c r="F3280" t="s">
        <v>9</v>
      </c>
      <c r="G3280" t="s">
        <v>10</v>
      </c>
      <c r="H3280" t="s">
        <v>11</v>
      </c>
      <c r="I3280" t="s">
        <v>12</v>
      </c>
      <c r="J3280">
        <f t="shared" si="102"/>
        <v>19</v>
      </c>
      <c r="K3280" t="str">
        <f t="shared" si="103"/>
        <v>Budget</v>
      </c>
    </row>
    <row r="3281" spans="2:11" x14ac:dyDescent="0.25">
      <c r="B3281" t="s">
        <v>1437</v>
      </c>
      <c r="C3281">
        <v>2015</v>
      </c>
      <c r="D3281" s="1">
        <v>375000</v>
      </c>
      <c r="E3281">
        <v>30000</v>
      </c>
      <c r="F3281" t="s">
        <v>9</v>
      </c>
      <c r="G3281" t="s">
        <v>10</v>
      </c>
      <c r="H3281" t="s">
        <v>11</v>
      </c>
      <c r="I3281" t="s">
        <v>12</v>
      </c>
      <c r="J3281">
        <f t="shared" si="102"/>
        <v>11</v>
      </c>
      <c r="K3281" t="str">
        <f t="shared" si="103"/>
        <v>Budget</v>
      </c>
    </row>
    <row r="3282" spans="2:11" x14ac:dyDescent="0.25">
      <c r="B3282" t="s">
        <v>1438</v>
      </c>
      <c r="C3282">
        <v>2017</v>
      </c>
      <c r="D3282" s="1">
        <v>350000</v>
      </c>
      <c r="E3282">
        <v>80000</v>
      </c>
      <c r="F3282" t="s">
        <v>9</v>
      </c>
      <c r="G3282" t="s">
        <v>10</v>
      </c>
      <c r="H3282" t="s">
        <v>11</v>
      </c>
      <c r="I3282" t="s">
        <v>12</v>
      </c>
      <c r="J3282">
        <f t="shared" si="102"/>
        <v>9</v>
      </c>
      <c r="K3282" t="str">
        <f t="shared" si="103"/>
        <v>Budget</v>
      </c>
    </row>
    <row r="3283" spans="2:11" x14ac:dyDescent="0.25">
      <c r="B3283" t="s">
        <v>200</v>
      </c>
      <c r="C3283">
        <v>2012</v>
      </c>
      <c r="D3283" s="1">
        <v>310000</v>
      </c>
      <c r="E3283">
        <v>92686</v>
      </c>
      <c r="F3283" t="s">
        <v>15</v>
      </c>
      <c r="G3283" t="s">
        <v>27</v>
      </c>
      <c r="H3283" t="s">
        <v>11</v>
      </c>
      <c r="I3283" t="s">
        <v>18</v>
      </c>
      <c r="J3283">
        <f t="shared" si="102"/>
        <v>14</v>
      </c>
      <c r="K3283" t="str">
        <f t="shared" si="103"/>
        <v>Budget</v>
      </c>
    </row>
    <row r="3284" spans="2:11" x14ac:dyDescent="0.25">
      <c r="B3284" t="s">
        <v>504</v>
      </c>
      <c r="C3284">
        <v>2010</v>
      </c>
      <c r="D3284" s="1">
        <v>90000</v>
      </c>
      <c r="E3284">
        <v>300000</v>
      </c>
      <c r="F3284" t="s">
        <v>9</v>
      </c>
      <c r="G3284" t="s">
        <v>10</v>
      </c>
      <c r="H3284" t="s">
        <v>11</v>
      </c>
      <c r="I3284" t="s">
        <v>49</v>
      </c>
      <c r="J3284">
        <f t="shared" si="102"/>
        <v>16</v>
      </c>
      <c r="K3284" t="str">
        <f t="shared" si="103"/>
        <v>Budget</v>
      </c>
    </row>
    <row r="3285" spans="2:11" x14ac:dyDescent="0.25">
      <c r="B3285" t="s">
        <v>1320</v>
      </c>
      <c r="C3285">
        <v>2011</v>
      </c>
      <c r="D3285" s="1">
        <v>350000</v>
      </c>
      <c r="E3285">
        <v>90000</v>
      </c>
      <c r="F3285" t="s">
        <v>9</v>
      </c>
      <c r="G3285" t="s">
        <v>10</v>
      </c>
      <c r="H3285" t="s">
        <v>11</v>
      </c>
      <c r="I3285" t="s">
        <v>18</v>
      </c>
      <c r="J3285">
        <f t="shared" si="102"/>
        <v>15</v>
      </c>
      <c r="K3285" t="str">
        <f t="shared" si="103"/>
        <v>Budget</v>
      </c>
    </row>
    <row r="3286" spans="2:11" x14ac:dyDescent="0.25">
      <c r="B3286" t="s">
        <v>1007</v>
      </c>
      <c r="C3286">
        <v>2003</v>
      </c>
      <c r="D3286" s="1">
        <v>100000</v>
      </c>
      <c r="E3286">
        <v>60000</v>
      </c>
      <c r="F3286" t="s">
        <v>9</v>
      </c>
      <c r="G3286" t="s">
        <v>10</v>
      </c>
      <c r="H3286" t="s">
        <v>11</v>
      </c>
      <c r="I3286" t="s">
        <v>12</v>
      </c>
      <c r="J3286">
        <f t="shared" si="102"/>
        <v>23</v>
      </c>
      <c r="K3286" t="str">
        <f t="shared" si="103"/>
        <v>Budget</v>
      </c>
    </row>
    <row r="3287" spans="2:11" x14ac:dyDescent="0.25">
      <c r="B3287" t="s">
        <v>1439</v>
      </c>
      <c r="C3287">
        <v>2017</v>
      </c>
      <c r="D3287" s="1">
        <v>1300000</v>
      </c>
      <c r="E3287">
        <v>40000</v>
      </c>
      <c r="F3287" t="s">
        <v>15</v>
      </c>
      <c r="G3287" t="s">
        <v>10</v>
      </c>
      <c r="H3287" t="s">
        <v>28</v>
      </c>
      <c r="I3287" t="s">
        <v>12</v>
      </c>
      <c r="J3287">
        <f t="shared" si="102"/>
        <v>9</v>
      </c>
      <c r="K3287" t="str">
        <f t="shared" si="103"/>
        <v>Premium</v>
      </c>
    </row>
    <row r="3288" spans="2:11" x14ac:dyDescent="0.25">
      <c r="B3288" t="s">
        <v>1440</v>
      </c>
      <c r="C3288">
        <v>2014</v>
      </c>
      <c r="D3288" s="1">
        <v>280000</v>
      </c>
      <c r="E3288">
        <v>55000</v>
      </c>
      <c r="F3288" t="s">
        <v>9</v>
      </c>
      <c r="G3288" t="s">
        <v>10</v>
      </c>
      <c r="H3288" t="s">
        <v>11</v>
      </c>
      <c r="I3288" t="s">
        <v>12</v>
      </c>
      <c r="J3288">
        <f t="shared" si="102"/>
        <v>12</v>
      </c>
      <c r="K3288" t="str">
        <f t="shared" si="103"/>
        <v>Budget</v>
      </c>
    </row>
    <row r="3289" spans="2:11" x14ac:dyDescent="0.25">
      <c r="B3289" t="s">
        <v>68</v>
      </c>
      <c r="C3289">
        <v>2018</v>
      </c>
      <c r="D3289" s="1">
        <v>360000</v>
      </c>
      <c r="E3289">
        <v>6000</v>
      </c>
      <c r="F3289" t="s">
        <v>9</v>
      </c>
      <c r="G3289" t="s">
        <v>10</v>
      </c>
      <c r="H3289" t="s">
        <v>11</v>
      </c>
      <c r="I3289" t="s">
        <v>12</v>
      </c>
      <c r="J3289">
        <f t="shared" si="102"/>
        <v>8</v>
      </c>
      <c r="K3289" t="str">
        <f t="shared" si="103"/>
        <v>Budget</v>
      </c>
    </row>
    <row r="3290" spans="2:11" x14ac:dyDescent="0.25">
      <c r="B3290" t="s">
        <v>58</v>
      </c>
      <c r="C3290">
        <v>2011</v>
      </c>
      <c r="D3290" s="1">
        <v>150000</v>
      </c>
      <c r="E3290">
        <v>40000</v>
      </c>
      <c r="F3290" t="s">
        <v>9</v>
      </c>
      <c r="G3290" t="s">
        <v>10</v>
      </c>
      <c r="H3290" t="s">
        <v>11</v>
      </c>
      <c r="I3290" t="s">
        <v>18</v>
      </c>
      <c r="J3290">
        <f t="shared" si="102"/>
        <v>15</v>
      </c>
      <c r="K3290" t="str">
        <f t="shared" si="103"/>
        <v>Budget</v>
      </c>
    </row>
    <row r="3291" spans="2:11" x14ac:dyDescent="0.25">
      <c r="B3291" t="s">
        <v>1441</v>
      </c>
      <c r="C3291">
        <v>2017</v>
      </c>
      <c r="D3291" s="1">
        <v>900000</v>
      </c>
      <c r="E3291">
        <v>15000</v>
      </c>
      <c r="F3291" t="s">
        <v>9</v>
      </c>
      <c r="G3291" t="s">
        <v>10</v>
      </c>
      <c r="H3291" t="s">
        <v>28</v>
      </c>
      <c r="I3291" t="s">
        <v>12</v>
      </c>
      <c r="J3291">
        <f t="shared" si="102"/>
        <v>9</v>
      </c>
      <c r="K3291" t="str">
        <f t="shared" si="103"/>
        <v>Mid Range</v>
      </c>
    </row>
    <row r="3292" spans="2:11" x14ac:dyDescent="0.25">
      <c r="B3292" t="s">
        <v>1442</v>
      </c>
      <c r="C3292">
        <v>2005</v>
      </c>
      <c r="D3292" s="1">
        <v>120000</v>
      </c>
      <c r="E3292">
        <v>50000</v>
      </c>
      <c r="F3292" t="s">
        <v>15</v>
      </c>
      <c r="G3292" t="s">
        <v>10</v>
      </c>
      <c r="H3292" t="s">
        <v>11</v>
      </c>
      <c r="I3292" t="s">
        <v>18</v>
      </c>
      <c r="J3292">
        <f t="shared" si="102"/>
        <v>21</v>
      </c>
      <c r="K3292" t="str">
        <f t="shared" si="103"/>
        <v>Budget</v>
      </c>
    </row>
    <row r="3293" spans="2:11" x14ac:dyDescent="0.25">
      <c r="B3293" t="s">
        <v>190</v>
      </c>
      <c r="C3293">
        <v>2010</v>
      </c>
      <c r="D3293" s="1">
        <v>215000</v>
      </c>
      <c r="E3293">
        <v>90000</v>
      </c>
      <c r="F3293" t="s">
        <v>9</v>
      </c>
      <c r="G3293" t="s">
        <v>10</v>
      </c>
      <c r="H3293" t="s">
        <v>11</v>
      </c>
      <c r="I3293" t="s">
        <v>18</v>
      </c>
      <c r="J3293">
        <f t="shared" si="102"/>
        <v>16</v>
      </c>
      <c r="K3293" t="str">
        <f t="shared" si="103"/>
        <v>Budget</v>
      </c>
    </row>
    <row r="3294" spans="2:11" x14ac:dyDescent="0.25">
      <c r="B3294" t="s">
        <v>826</v>
      </c>
      <c r="C3294">
        <v>2013</v>
      </c>
      <c r="D3294" s="1">
        <v>550000</v>
      </c>
      <c r="E3294">
        <v>38500</v>
      </c>
      <c r="F3294" t="s">
        <v>15</v>
      </c>
      <c r="G3294" t="s">
        <v>10</v>
      </c>
      <c r="H3294" t="s">
        <v>11</v>
      </c>
      <c r="I3294" t="s">
        <v>12</v>
      </c>
      <c r="J3294">
        <f t="shared" si="102"/>
        <v>13</v>
      </c>
      <c r="K3294" t="str">
        <f t="shared" si="103"/>
        <v>Mid Range</v>
      </c>
    </row>
    <row r="3295" spans="2:11" x14ac:dyDescent="0.25">
      <c r="B3295" t="s">
        <v>967</v>
      </c>
      <c r="C3295">
        <v>2018</v>
      </c>
      <c r="D3295" s="1">
        <v>775000</v>
      </c>
      <c r="E3295">
        <v>35000</v>
      </c>
      <c r="F3295" t="s">
        <v>9</v>
      </c>
      <c r="G3295" t="s">
        <v>10</v>
      </c>
      <c r="H3295" t="s">
        <v>11</v>
      </c>
      <c r="I3295" t="s">
        <v>12</v>
      </c>
      <c r="J3295">
        <f t="shared" si="102"/>
        <v>8</v>
      </c>
      <c r="K3295" t="str">
        <f t="shared" si="103"/>
        <v>Mid Range</v>
      </c>
    </row>
    <row r="3296" spans="2:11" x14ac:dyDescent="0.25">
      <c r="B3296" t="s">
        <v>1443</v>
      </c>
      <c r="C3296">
        <v>2001</v>
      </c>
      <c r="D3296" s="1">
        <v>409999</v>
      </c>
      <c r="E3296">
        <v>49359</v>
      </c>
      <c r="F3296" t="s">
        <v>9</v>
      </c>
      <c r="G3296" t="s">
        <v>10</v>
      </c>
      <c r="H3296" t="s">
        <v>11</v>
      </c>
      <c r="I3296" t="s">
        <v>49</v>
      </c>
      <c r="J3296">
        <f t="shared" si="102"/>
        <v>25</v>
      </c>
      <c r="K3296" t="str">
        <f t="shared" si="103"/>
        <v>Budget</v>
      </c>
    </row>
    <row r="3297" spans="2:11" x14ac:dyDescent="0.25">
      <c r="B3297" t="s">
        <v>1378</v>
      </c>
      <c r="C3297">
        <v>2005</v>
      </c>
      <c r="D3297" s="1">
        <v>65000</v>
      </c>
      <c r="E3297">
        <v>70000</v>
      </c>
      <c r="F3297" t="s">
        <v>9</v>
      </c>
      <c r="G3297" t="s">
        <v>10</v>
      </c>
      <c r="H3297" t="s">
        <v>11</v>
      </c>
      <c r="I3297" t="s">
        <v>18</v>
      </c>
      <c r="J3297">
        <f t="shared" si="102"/>
        <v>21</v>
      </c>
      <c r="K3297" t="str">
        <f t="shared" si="103"/>
        <v>Budget</v>
      </c>
    </row>
    <row r="3298" spans="2:11" x14ac:dyDescent="0.25">
      <c r="B3298" t="s">
        <v>13</v>
      </c>
      <c r="C3298">
        <v>2008</v>
      </c>
      <c r="D3298" s="1">
        <v>200000</v>
      </c>
      <c r="E3298">
        <v>90000</v>
      </c>
      <c r="F3298" t="s">
        <v>9</v>
      </c>
      <c r="G3298" t="s">
        <v>10</v>
      </c>
      <c r="H3298" t="s">
        <v>11</v>
      </c>
      <c r="I3298" t="s">
        <v>18</v>
      </c>
      <c r="J3298">
        <f t="shared" si="102"/>
        <v>18</v>
      </c>
      <c r="K3298" t="str">
        <f t="shared" si="103"/>
        <v>Budget</v>
      </c>
    </row>
    <row r="3299" spans="2:11" x14ac:dyDescent="0.25">
      <c r="B3299" t="s">
        <v>54</v>
      </c>
      <c r="C3299">
        <v>2010</v>
      </c>
      <c r="D3299" s="1">
        <v>240000</v>
      </c>
      <c r="E3299">
        <v>50000</v>
      </c>
      <c r="F3299" t="s">
        <v>9</v>
      </c>
      <c r="G3299" t="s">
        <v>10</v>
      </c>
      <c r="H3299" t="s">
        <v>11</v>
      </c>
      <c r="I3299" t="s">
        <v>18</v>
      </c>
      <c r="J3299">
        <f t="shared" si="102"/>
        <v>16</v>
      </c>
      <c r="K3299" t="str">
        <f t="shared" si="103"/>
        <v>Budget</v>
      </c>
    </row>
    <row r="3300" spans="2:11" x14ac:dyDescent="0.25">
      <c r="B3300" t="s">
        <v>656</v>
      </c>
      <c r="C3300">
        <v>2012</v>
      </c>
      <c r="D3300" s="1">
        <v>800000</v>
      </c>
      <c r="E3300">
        <v>108731</v>
      </c>
      <c r="F3300" t="s">
        <v>15</v>
      </c>
      <c r="G3300" t="s">
        <v>10</v>
      </c>
      <c r="H3300" t="s">
        <v>11</v>
      </c>
      <c r="I3300" t="s">
        <v>12</v>
      </c>
      <c r="J3300">
        <f t="shared" si="102"/>
        <v>14</v>
      </c>
      <c r="K3300" t="str">
        <f t="shared" si="103"/>
        <v>Mid Range</v>
      </c>
    </row>
    <row r="3301" spans="2:11" x14ac:dyDescent="0.25">
      <c r="B3301" t="s">
        <v>1444</v>
      </c>
      <c r="C3301">
        <v>2010</v>
      </c>
      <c r="D3301" s="1">
        <v>400000</v>
      </c>
      <c r="E3301">
        <v>120000</v>
      </c>
      <c r="F3301" t="s">
        <v>15</v>
      </c>
      <c r="G3301" t="s">
        <v>10</v>
      </c>
      <c r="H3301" t="s">
        <v>11</v>
      </c>
      <c r="I3301" t="s">
        <v>12</v>
      </c>
      <c r="J3301">
        <f t="shared" si="102"/>
        <v>16</v>
      </c>
      <c r="K3301" t="str">
        <f t="shared" si="103"/>
        <v>Budget</v>
      </c>
    </row>
    <row r="3302" spans="2:11" x14ac:dyDescent="0.25">
      <c r="B3302" t="s">
        <v>1407</v>
      </c>
      <c r="C3302">
        <v>2016</v>
      </c>
      <c r="D3302" s="1">
        <v>500000</v>
      </c>
      <c r="E3302">
        <v>60000</v>
      </c>
      <c r="F3302" t="s">
        <v>15</v>
      </c>
      <c r="G3302" t="s">
        <v>10</v>
      </c>
      <c r="H3302" t="s">
        <v>11</v>
      </c>
      <c r="I3302" t="s">
        <v>12</v>
      </c>
      <c r="J3302">
        <f t="shared" si="102"/>
        <v>10</v>
      </c>
      <c r="K3302" t="str">
        <f t="shared" si="103"/>
        <v>Mid Range</v>
      </c>
    </row>
    <row r="3303" spans="2:11" x14ac:dyDescent="0.25">
      <c r="B3303" t="s">
        <v>1445</v>
      </c>
      <c r="C3303">
        <v>2007</v>
      </c>
      <c r="D3303" s="1">
        <v>150000</v>
      </c>
      <c r="E3303">
        <v>90000</v>
      </c>
      <c r="F3303" t="s">
        <v>15</v>
      </c>
      <c r="G3303" t="s">
        <v>10</v>
      </c>
      <c r="H3303" t="s">
        <v>11</v>
      </c>
      <c r="I3303" t="s">
        <v>49</v>
      </c>
      <c r="J3303">
        <f t="shared" si="102"/>
        <v>19</v>
      </c>
      <c r="K3303" t="str">
        <f t="shared" si="103"/>
        <v>Budget</v>
      </c>
    </row>
    <row r="3304" spans="2:11" x14ac:dyDescent="0.25">
      <c r="B3304" t="s">
        <v>69</v>
      </c>
      <c r="C3304">
        <v>2014</v>
      </c>
      <c r="D3304" s="1">
        <v>500000</v>
      </c>
      <c r="E3304">
        <v>140000</v>
      </c>
      <c r="F3304" t="s">
        <v>15</v>
      </c>
      <c r="G3304" t="s">
        <v>10</v>
      </c>
      <c r="H3304" t="s">
        <v>11</v>
      </c>
      <c r="I3304" t="s">
        <v>18</v>
      </c>
      <c r="J3304">
        <f t="shared" si="102"/>
        <v>12</v>
      </c>
      <c r="K3304" t="str">
        <f t="shared" si="103"/>
        <v>Mid Range</v>
      </c>
    </row>
    <row r="3305" spans="2:11" x14ac:dyDescent="0.25">
      <c r="B3305" t="s">
        <v>68</v>
      </c>
      <c r="C3305">
        <v>2014</v>
      </c>
      <c r="D3305" s="1">
        <v>320000</v>
      </c>
      <c r="E3305">
        <v>80000</v>
      </c>
      <c r="F3305" t="s">
        <v>9</v>
      </c>
      <c r="G3305" t="s">
        <v>10</v>
      </c>
      <c r="H3305" t="s">
        <v>11</v>
      </c>
      <c r="I3305" t="s">
        <v>12</v>
      </c>
      <c r="J3305">
        <f t="shared" si="102"/>
        <v>12</v>
      </c>
      <c r="K3305" t="str">
        <f t="shared" si="103"/>
        <v>Budget</v>
      </c>
    </row>
    <row r="3306" spans="2:11" x14ac:dyDescent="0.25">
      <c r="B3306" t="s">
        <v>1207</v>
      </c>
      <c r="C3306">
        <v>2013</v>
      </c>
      <c r="D3306" s="1">
        <v>300000</v>
      </c>
      <c r="E3306">
        <v>90000</v>
      </c>
      <c r="F3306" t="s">
        <v>15</v>
      </c>
      <c r="G3306" t="s">
        <v>10</v>
      </c>
      <c r="H3306" t="s">
        <v>11</v>
      </c>
      <c r="I3306" t="s">
        <v>12</v>
      </c>
      <c r="J3306">
        <f t="shared" si="102"/>
        <v>13</v>
      </c>
      <c r="K3306" t="str">
        <f t="shared" si="103"/>
        <v>Budget</v>
      </c>
    </row>
    <row r="3307" spans="2:11" x14ac:dyDescent="0.25">
      <c r="B3307" t="s">
        <v>249</v>
      </c>
      <c r="C3307">
        <v>2018</v>
      </c>
      <c r="D3307" s="1">
        <v>285000</v>
      </c>
      <c r="E3307">
        <v>14000</v>
      </c>
      <c r="F3307" t="s">
        <v>9</v>
      </c>
      <c r="G3307" t="s">
        <v>10</v>
      </c>
      <c r="H3307" t="s">
        <v>11</v>
      </c>
      <c r="I3307" t="s">
        <v>12</v>
      </c>
      <c r="J3307">
        <f t="shared" si="102"/>
        <v>8</v>
      </c>
      <c r="K3307" t="str">
        <f t="shared" si="103"/>
        <v>Budget</v>
      </c>
    </row>
    <row r="3308" spans="2:11" x14ac:dyDescent="0.25">
      <c r="B3308" t="s">
        <v>1446</v>
      </c>
      <c r="C3308">
        <v>2012</v>
      </c>
      <c r="D3308" s="1">
        <v>360000</v>
      </c>
      <c r="E3308">
        <v>70000</v>
      </c>
      <c r="F3308" t="s">
        <v>15</v>
      </c>
      <c r="G3308" t="s">
        <v>10</v>
      </c>
      <c r="H3308" t="s">
        <v>11</v>
      </c>
      <c r="I3308" t="s">
        <v>18</v>
      </c>
      <c r="J3308">
        <f t="shared" si="102"/>
        <v>14</v>
      </c>
      <c r="K3308" t="str">
        <f t="shared" si="103"/>
        <v>Budget</v>
      </c>
    </row>
    <row r="3309" spans="2:11" x14ac:dyDescent="0.25">
      <c r="B3309" t="s">
        <v>347</v>
      </c>
      <c r="C3309">
        <v>2009</v>
      </c>
      <c r="D3309" s="1">
        <v>450000</v>
      </c>
      <c r="E3309">
        <v>55000</v>
      </c>
      <c r="F3309" t="s">
        <v>9</v>
      </c>
      <c r="G3309" t="s">
        <v>10</v>
      </c>
      <c r="H3309" t="s">
        <v>11</v>
      </c>
      <c r="I3309" t="s">
        <v>18</v>
      </c>
      <c r="J3309">
        <f t="shared" si="102"/>
        <v>17</v>
      </c>
      <c r="K3309" t="str">
        <f t="shared" si="103"/>
        <v>Budget</v>
      </c>
    </row>
    <row r="3310" spans="2:11" x14ac:dyDescent="0.25">
      <c r="B3310" t="s">
        <v>58</v>
      </c>
      <c r="C3310">
        <v>2011</v>
      </c>
      <c r="D3310" s="1">
        <v>175000</v>
      </c>
      <c r="E3310">
        <v>60000</v>
      </c>
      <c r="F3310" t="s">
        <v>9</v>
      </c>
      <c r="G3310" t="s">
        <v>10</v>
      </c>
      <c r="H3310" t="s">
        <v>11</v>
      </c>
      <c r="I3310" t="s">
        <v>49</v>
      </c>
      <c r="J3310">
        <f t="shared" si="102"/>
        <v>15</v>
      </c>
      <c r="K3310" t="str">
        <f t="shared" si="103"/>
        <v>Budget</v>
      </c>
    </row>
    <row r="3311" spans="2:11" x14ac:dyDescent="0.25">
      <c r="B3311" t="s">
        <v>1143</v>
      </c>
      <c r="C3311">
        <v>2011</v>
      </c>
      <c r="D3311" s="1">
        <v>350000</v>
      </c>
      <c r="E3311">
        <v>74000</v>
      </c>
      <c r="F3311" t="s">
        <v>15</v>
      </c>
      <c r="G3311" t="s">
        <v>10</v>
      </c>
      <c r="H3311" t="s">
        <v>11</v>
      </c>
      <c r="I3311" t="s">
        <v>18</v>
      </c>
      <c r="J3311">
        <f t="shared" si="102"/>
        <v>15</v>
      </c>
      <c r="K3311" t="str">
        <f t="shared" si="103"/>
        <v>Budget</v>
      </c>
    </row>
    <row r="3312" spans="2:11" x14ac:dyDescent="0.25">
      <c r="B3312" t="s">
        <v>281</v>
      </c>
      <c r="C3312">
        <v>2020</v>
      </c>
      <c r="D3312" s="1">
        <v>530000</v>
      </c>
      <c r="E3312">
        <v>45000</v>
      </c>
      <c r="F3312" t="s">
        <v>15</v>
      </c>
      <c r="G3312" t="s">
        <v>27</v>
      </c>
      <c r="H3312" t="s">
        <v>11</v>
      </c>
      <c r="I3312" t="s">
        <v>12</v>
      </c>
      <c r="J3312">
        <f t="shared" si="102"/>
        <v>6</v>
      </c>
      <c r="K3312" t="str">
        <f t="shared" si="103"/>
        <v>Mid Range</v>
      </c>
    </row>
    <row r="3313" spans="2:11" x14ac:dyDescent="0.25">
      <c r="B3313" t="s">
        <v>1447</v>
      </c>
      <c r="C3313">
        <v>2017</v>
      </c>
      <c r="D3313" s="1">
        <v>1025000</v>
      </c>
      <c r="E3313">
        <v>38000</v>
      </c>
      <c r="F3313" t="s">
        <v>15</v>
      </c>
      <c r="G3313" t="s">
        <v>27</v>
      </c>
      <c r="H3313" t="s">
        <v>11</v>
      </c>
      <c r="I3313" t="s">
        <v>12</v>
      </c>
      <c r="J3313">
        <f t="shared" si="102"/>
        <v>9</v>
      </c>
      <c r="K3313" t="str">
        <f t="shared" si="103"/>
        <v>Premium</v>
      </c>
    </row>
    <row r="3314" spans="2:11" x14ac:dyDescent="0.25">
      <c r="B3314" t="s">
        <v>1050</v>
      </c>
      <c r="C3314">
        <v>2017</v>
      </c>
      <c r="D3314" s="1">
        <v>950000</v>
      </c>
      <c r="E3314">
        <v>24000</v>
      </c>
      <c r="F3314" t="s">
        <v>15</v>
      </c>
      <c r="G3314" t="s">
        <v>27</v>
      </c>
      <c r="H3314" t="s">
        <v>11</v>
      </c>
      <c r="I3314" t="s">
        <v>12</v>
      </c>
      <c r="J3314">
        <f t="shared" si="102"/>
        <v>9</v>
      </c>
      <c r="K3314" t="str">
        <f t="shared" si="103"/>
        <v>Mid Range</v>
      </c>
    </row>
    <row r="3315" spans="2:11" x14ac:dyDescent="0.25">
      <c r="B3315" t="s">
        <v>508</v>
      </c>
      <c r="C3315">
        <v>2017</v>
      </c>
      <c r="D3315" s="1">
        <v>725000</v>
      </c>
      <c r="E3315">
        <v>29976</v>
      </c>
      <c r="F3315" t="s">
        <v>9</v>
      </c>
      <c r="G3315" t="s">
        <v>27</v>
      </c>
      <c r="H3315" t="s">
        <v>11</v>
      </c>
      <c r="I3315" t="s">
        <v>12</v>
      </c>
      <c r="J3315">
        <f t="shared" si="102"/>
        <v>9</v>
      </c>
      <c r="K3315" t="str">
        <f t="shared" si="103"/>
        <v>Mid Range</v>
      </c>
    </row>
    <row r="3316" spans="2:11" x14ac:dyDescent="0.25">
      <c r="B3316" t="s">
        <v>1448</v>
      </c>
      <c r="C3316">
        <v>2017</v>
      </c>
      <c r="D3316" s="1">
        <v>919999</v>
      </c>
      <c r="E3316">
        <v>41000</v>
      </c>
      <c r="F3316" t="s">
        <v>9</v>
      </c>
      <c r="G3316" t="s">
        <v>27</v>
      </c>
      <c r="H3316" t="s">
        <v>11</v>
      </c>
      <c r="I3316" t="s">
        <v>12</v>
      </c>
      <c r="J3316">
        <f t="shared" si="102"/>
        <v>9</v>
      </c>
      <c r="K3316" t="str">
        <f t="shared" si="103"/>
        <v>Mid Range</v>
      </c>
    </row>
    <row r="3317" spans="2:11" x14ac:dyDescent="0.25">
      <c r="B3317" t="s">
        <v>1449</v>
      </c>
      <c r="C3317">
        <v>2018</v>
      </c>
      <c r="D3317" s="1">
        <v>700000</v>
      </c>
      <c r="E3317">
        <v>15000</v>
      </c>
      <c r="F3317" t="s">
        <v>15</v>
      </c>
      <c r="G3317" t="s">
        <v>27</v>
      </c>
      <c r="H3317" t="s">
        <v>11</v>
      </c>
      <c r="I3317" t="s">
        <v>12</v>
      </c>
      <c r="J3317">
        <f t="shared" si="102"/>
        <v>8</v>
      </c>
      <c r="K3317" t="str">
        <f t="shared" si="103"/>
        <v>Mid Range</v>
      </c>
    </row>
    <row r="3318" spans="2:11" x14ac:dyDescent="0.25">
      <c r="B3318" t="s">
        <v>630</v>
      </c>
      <c r="C3318">
        <v>2017</v>
      </c>
      <c r="D3318" s="1">
        <v>725000</v>
      </c>
      <c r="E3318">
        <v>36000</v>
      </c>
      <c r="F3318" t="s">
        <v>15</v>
      </c>
      <c r="G3318" t="s">
        <v>27</v>
      </c>
      <c r="H3318" t="s">
        <v>11</v>
      </c>
      <c r="I3318" t="s">
        <v>12</v>
      </c>
      <c r="J3318">
        <f t="shared" si="102"/>
        <v>9</v>
      </c>
      <c r="K3318" t="str">
        <f t="shared" si="103"/>
        <v>Mid Range</v>
      </c>
    </row>
    <row r="3319" spans="2:11" x14ac:dyDescent="0.25">
      <c r="B3319" t="s">
        <v>1030</v>
      </c>
      <c r="C3319">
        <v>2017</v>
      </c>
      <c r="D3319" s="1">
        <v>840000</v>
      </c>
      <c r="E3319">
        <v>30646</v>
      </c>
      <c r="F3319" t="s">
        <v>9</v>
      </c>
      <c r="G3319" t="s">
        <v>27</v>
      </c>
      <c r="H3319" t="s">
        <v>11</v>
      </c>
      <c r="I3319" t="s">
        <v>12</v>
      </c>
      <c r="J3319">
        <f t="shared" si="102"/>
        <v>9</v>
      </c>
      <c r="K3319" t="str">
        <f t="shared" si="103"/>
        <v>Mid Range</v>
      </c>
    </row>
    <row r="3320" spans="2:11" x14ac:dyDescent="0.25">
      <c r="B3320" t="s">
        <v>54</v>
      </c>
      <c r="C3320">
        <v>2015</v>
      </c>
      <c r="D3320" s="1">
        <v>365000</v>
      </c>
      <c r="E3320">
        <v>23600</v>
      </c>
      <c r="F3320" t="s">
        <v>9</v>
      </c>
      <c r="G3320" t="s">
        <v>27</v>
      </c>
      <c r="H3320" t="s">
        <v>11</v>
      </c>
      <c r="I3320" t="s">
        <v>12</v>
      </c>
      <c r="J3320">
        <f t="shared" si="102"/>
        <v>11</v>
      </c>
      <c r="K3320" t="str">
        <f t="shared" si="103"/>
        <v>Budget</v>
      </c>
    </row>
    <row r="3321" spans="2:11" x14ac:dyDescent="0.25">
      <c r="B3321" t="s">
        <v>764</v>
      </c>
      <c r="C3321">
        <v>2014</v>
      </c>
      <c r="D3321" s="1">
        <v>665000</v>
      </c>
      <c r="E3321">
        <v>71318</v>
      </c>
      <c r="F3321" t="s">
        <v>15</v>
      </c>
      <c r="G3321" t="s">
        <v>27</v>
      </c>
      <c r="H3321" t="s">
        <v>11</v>
      </c>
      <c r="I3321" t="s">
        <v>12</v>
      </c>
      <c r="J3321">
        <f t="shared" si="102"/>
        <v>12</v>
      </c>
      <c r="K3321" t="str">
        <f t="shared" si="103"/>
        <v>Mid Range</v>
      </c>
    </row>
    <row r="3322" spans="2:11" x14ac:dyDescent="0.25">
      <c r="B3322" t="s">
        <v>134</v>
      </c>
      <c r="C3322">
        <v>2003</v>
      </c>
      <c r="D3322" s="1">
        <v>50000</v>
      </c>
      <c r="E3322">
        <v>78098</v>
      </c>
      <c r="F3322" t="s">
        <v>9</v>
      </c>
      <c r="G3322" t="s">
        <v>10</v>
      </c>
      <c r="H3322" t="s">
        <v>11</v>
      </c>
      <c r="I3322" t="s">
        <v>12</v>
      </c>
      <c r="J3322">
        <f t="shared" si="102"/>
        <v>23</v>
      </c>
      <c r="K3322" t="str">
        <f t="shared" si="103"/>
        <v>Budget</v>
      </c>
    </row>
    <row r="3323" spans="2:11" x14ac:dyDescent="0.25">
      <c r="B3323" t="s">
        <v>136</v>
      </c>
      <c r="C3323">
        <v>2014</v>
      </c>
      <c r="D3323" s="1">
        <v>225000</v>
      </c>
      <c r="E3323">
        <v>30000</v>
      </c>
      <c r="F3323" t="s">
        <v>9</v>
      </c>
      <c r="G3323" t="s">
        <v>10</v>
      </c>
      <c r="H3323" t="s">
        <v>11</v>
      </c>
      <c r="I3323" t="s">
        <v>12</v>
      </c>
      <c r="J3323">
        <f t="shared" si="102"/>
        <v>12</v>
      </c>
      <c r="K3323" t="str">
        <f t="shared" si="103"/>
        <v>Budget</v>
      </c>
    </row>
    <row r="3324" spans="2:11" x14ac:dyDescent="0.25">
      <c r="B3324" t="s">
        <v>212</v>
      </c>
      <c r="C3324">
        <v>2012</v>
      </c>
      <c r="D3324" s="1">
        <v>229999</v>
      </c>
      <c r="E3324">
        <v>45000</v>
      </c>
      <c r="F3324" t="s">
        <v>9</v>
      </c>
      <c r="G3324" t="s">
        <v>10</v>
      </c>
      <c r="H3324" t="s">
        <v>11</v>
      </c>
      <c r="I3324" t="s">
        <v>18</v>
      </c>
      <c r="J3324">
        <f t="shared" si="102"/>
        <v>14</v>
      </c>
      <c r="K3324" t="str">
        <f t="shared" si="103"/>
        <v>Budget</v>
      </c>
    </row>
    <row r="3325" spans="2:11" x14ac:dyDescent="0.25">
      <c r="B3325" t="s">
        <v>1048</v>
      </c>
      <c r="C3325">
        <v>2008</v>
      </c>
      <c r="D3325" s="1">
        <v>145000</v>
      </c>
      <c r="E3325">
        <v>67000</v>
      </c>
      <c r="F3325" t="s">
        <v>9</v>
      </c>
      <c r="G3325" t="s">
        <v>10</v>
      </c>
      <c r="H3325" t="s">
        <v>11</v>
      </c>
      <c r="I3325" t="s">
        <v>12</v>
      </c>
      <c r="J3325">
        <f t="shared" si="102"/>
        <v>18</v>
      </c>
      <c r="K3325" t="str">
        <f t="shared" si="103"/>
        <v>Budget</v>
      </c>
    </row>
    <row r="3326" spans="2:11" x14ac:dyDescent="0.25">
      <c r="B3326" t="s">
        <v>1450</v>
      </c>
      <c r="C3326">
        <v>2017</v>
      </c>
      <c r="D3326" s="1">
        <v>750000</v>
      </c>
      <c r="E3326">
        <v>18054</v>
      </c>
      <c r="F3326" t="s">
        <v>9</v>
      </c>
      <c r="G3326" t="s">
        <v>27</v>
      </c>
      <c r="H3326" t="s">
        <v>11</v>
      </c>
      <c r="I3326" t="s">
        <v>12</v>
      </c>
      <c r="J3326">
        <f t="shared" si="102"/>
        <v>9</v>
      </c>
      <c r="K3326" t="str">
        <f t="shared" si="103"/>
        <v>Mid Range</v>
      </c>
    </row>
    <row r="3327" spans="2:11" x14ac:dyDescent="0.25">
      <c r="B3327" t="s">
        <v>66</v>
      </c>
      <c r="C3327">
        <v>2015</v>
      </c>
      <c r="D3327" s="1">
        <v>785000</v>
      </c>
      <c r="E3327">
        <v>40000</v>
      </c>
      <c r="F3327" t="s">
        <v>15</v>
      </c>
      <c r="G3327" t="s">
        <v>10</v>
      </c>
      <c r="H3327" t="s">
        <v>11</v>
      </c>
      <c r="I3327" t="s">
        <v>12</v>
      </c>
      <c r="J3327">
        <f t="shared" si="102"/>
        <v>11</v>
      </c>
      <c r="K3327" t="str">
        <f t="shared" si="103"/>
        <v>Mid Range</v>
      </c>
    </row>
    <row r="3328" spans="2:11" x14ac:dyDescent="0.25">
      <c r="B3328" t="s">
        <v>992</v>
      </c>
      <c r="C3328">
        <v>2011</v>
      </c>
      <c r="D3328" s="1">
        <v>225000</v>
      </c>
      <c r="E3328">
        <v>30000</v>
      </c>
      <c r="F3328" t="s">
        <v>9</v>
      </c>
      <c r="G3328" t="s">
        <v>10</v>
      </c>
      <c r="H3328" t="s">
        <v>11</v>
      </c>
      <c r="I3328" t="s">
        <v>12</v>
      </c>
      <c r="J3328">
        <f t="shared" si="102"/>
        <v>15</v>
      </c>
      <c r="K3328" t="str">
        <f t="shared" si="103"/>
        <v>Budget</v>
      </c>
    </row>
    <row r="3329" spans="2:11" x14ac:dyDescent="0.25">
      <c r="B3329" t="s">
        <v>292</v>
      </c>
      <c r="C3329">
        <v>2017</v>
      </c>
      <c r="D3329" s="1">
        <v>300000</v>
      </c>
      <c r="E3329">
        <v>80000</v>
      </c>
      <c r="F3329" t="s">
        <v>15</v>
      </c>
      <c r="G3329" t="s">
        <v>10</v>
      </c>
      <c r="H3329" t="s">
        <v>11</v>
      </c>
      <c r="I3329" t="s">
        <v>12</v>
      </c>
      <c r="J3329">
        <f t="shared" si="102"/>
        <v>9</v>
      </c>
      <c r="K3329" t="str">
        <f t="shared" si="103"/>
        <v>Budget</v>
      </c>
    </row>
    <row r="3330" spans="2:11" x14ac:dyDescent="0.25">
      <c r="B3330" t="s">
        <v>144</v>
      </c>
      <c r="C3330">
        <v>2016</v>
      </c>
      <c r="D3330" s="1">
        <v>680000</v>
      </c>
      <c r="E3330">
        <v>20000</v>
      </c>
      <c r="F3330" t="s">
        <v>15</v>
      </c>
      <c r="G3330" t="s">
        <v>10</v>
      </c>
      <c r="H3330" t="s">
        <v>11</v>
      </c>
      <c r="I3330" t="s">
        <v>12</v>
      </c>
      <c r="J3330">
        <f t="shared" si="102"/>
        <v>10</v>
      </c>
      <c r="K3330" t="str">
        <f t="shared" si="103"/>
        <v>Mid Range</v>
      </c>
    </row>
    <row r="3331" spans="2:11" x14ac:dyDescent="0.25">
      <c r="B3331" t="s">
        <v>1100</v>
      </c>
      <c r="C3331">
        <v>2016</v>
      </c>
      <c r="D3331" s="1">
        <v>700000</v>
      </c>
      <c r="E3331">
        <v>40000</v>
      </c>
      <c r="F3331" t="s">
        <v>15</v>
      </c>
      <c r="G3331" t="s">
        <v>10</v>
      </c>
      <c r="H3331" t="s">
        <v>11</v>
      </c>
      <c r="I3331" t="s">
        <v>12</v>
      </c>
      <c r="J3331">
        <f t="shared" si="102"/>
        <v>10</v>
      </c>
      <c r="K3331" t="str">
        <f t="shared" si="103"/>
        <v>Mid Range</v>
      </c>
    </row>
    <row r="3332" spans="2:11" x14ac:dyDescent="0.25">
      <c r="B3332" t="s">
        <v>1451</v>
      </c>
      <c r="C3332">
        <v>2011</v>
      </c>
      <c r="D3332" s="1">
        <v>180000</v>
      </c>
      <c r="E3332">
        <v>120000</v>
      </c>
      <c r="F3332" t="s">
        <v>15</v>
      </c>
      <c r="G3332" t="s">
        <v>10</v>
      </c>
      <c r="H3332" t="s">
        <v>11</v>
      </c>
      <c r="I3332" t="s">
        <v>12</v>
      </c>
      <c r="J3332">
        <f t="shared" si="102"/>
        <v>15</v>
      </c>
      <c r="K3332" t="str">
        <f t="shared" si="103"/>
        <v>Budget</v>
      </c>
    </row>
    <row r="3333" spans="2:11" x14ac:dyDescent="0.25">
      <c r="B3333" t="s">
        <v>1452</v>
      </c>
      <c r="C3333">
        <v>2008</v>
      </c>
      <c r="D3333" s="1">
        <v>270000</v>
      </c>
      <c r="E3333">
        <v>120000</v>
      </c>
      <c r="F3333" t="s">
        <v>15</v>
      </c>
      <c r="G3333" t="s">
        <v>10</v>
      </c>
      <c r="H3333" t="s">
        <v>11</v>
      </c>
      <c r="I3333" t="s">
        <v>18</v>
      </c>
      <c r="J3333">
        <f t="shared" si="102"/>
        <v>18</v>
      </c>
      <c r="K3333" t="str">
        <f t="shared" si="103"/>
        <v>Budget</v>
      </c>
    </row>
    <row r="3334" spans="2:11" x14ac:dyDescent="0.25">
      <c r="B3334" t="s">
        <v>539</v>
      </c>
      <c r="C3334">
        <v>2010</v>
      </c>
      <c r="D3334" s="1">
        <v>370000</v>
      </c>
      <c r="E3334">
        <v>97000</v>
      </c>
      <c r="F3334" t="s">
        <v>9</v>
      </c>
      <c r="G3334" t="s">
        <v>10</v>
      </c>
      <c r="H3334" t="s">
        <v>11</v>
      </c>
      <c r="I3334" t="s">
        <v>18</v>
      </c>
      <c r="J3334">
        <f t="shared" ref="J3334:J3397" si="104">2026 - C3334</f>
        <v>16</v>
      </c>
      <c r="K3334" t="str">
        <f t="shared" ref="K3334:K3397" si="105">IF(D3334&lt;500000,"Budget",IF(D3334&lt;=1000000,"Mid Range","Premium"))</f>
        <v>Budget</v>
      </c>
    </row>
    <row r="3335" spans="2:11" x14ac:dyDescent="0.25">
      <c r="B3335" t="s">
        <v>1453</v>
      </c>
      <c r="C3335">
        <v>2018</v>
      </c>
      <c r="D3335" s="1">
        <v>1100000</v>
      </c>
      <c r="E3335">
        <v>70000</v>
      </c>
      <c r="F3335" t="s">
        <v>15</v>
      </c>
      <c r="G3335" t="s">
        <v>10</v>
      </c>
      <c r="H3335" t="s">
        <v>11</v>
      </c>
      <c r="I3335" t="s">
        <v>12</v>
      </c>
      <c r="J3335">
        <f t="shared" si="104"/>
        <v>8</v>
      </c>
      <c r="K3335" t="str">
        <f t="shared" si="105"/>
        <v>Premium</v>
      </c>
    </row>
    <row r="3336" spans="2:11" x14ac:dyDescent="0.25">
      <c r="B3336" t="s">
        <v>594</v>
      </c>
      <c r="C3336">
        <v>2004</v>
      </c>
      <c r="D3336" s="1">
        <v>120000</v>
      </c>
      <c r="E3336">
        <v>120000</v>
      </c>
      <c r="F3336" t="s">
        <v>15</v>
      </c>
      <c r="G3336" t="s">
        <v>10</v>
      </c>
      <c r="H3336" t="s">
        <v>11</v>
      </c>
      <c r="I3336" t="s">
        <v>18</v>
      </c>
      <c r="J3336">
        <f t="shared" si="104"/>
        <v>22</v>
      </c>
      <c r="K3336" t="str">
        <f t="shared" si="105"/>
        <v>Budget</v>
      </c>
    </row>
    <row r="3337" spans="2:11" x14ac:dyDescent="0.25">
      <c r="B3337" t="s">
        <v>1454</v>
      </c>
      <c r="C3337">
        <v>2013</v>
      </c>
      <c r="D3337" s="1">
        <v>430000</v>
      </c>
      <c r="E3337">
        <v>88000</v>
      </c>
      <c r="F3337" t="s">
        <v>15</v>
      </c>
      <c r="G3337" t="s">
        <v>10</v>
      </c>
      <c r="H3337" t="s">
        <v>11</v>
      </c>
      <c r="I3337" t="s">
        <v>18</v>
      </c>
      <c r="J3337">
        <f t="shared" si="104"/>
        <v>13</v>
      </c>
      <c r="K3337" t="str">
        <f t="shared" si="105"/>
        <v>Budget</v>
      </c>
    </row>
    <row r="3338" spans="2:11" x14ac:dyDescent="0.25">
      <c r="B3338" t="s">
        <v>1095</v>
      </c>
      <c r="C3338">
        <v>2014</v>
      </c>
      <c r="D3338" s="1">
        <v>550000</v>
      </c>
      <c r="E3338">
        <v>38406</v>
      </c>
      <c r="F3338" t="s">
        <v>15</v>
      </c>
      <c r="G3338" t="s">
        <v>27</v>
      </c>
      <c r="H3338" t="s">
        <v>11</v>
      </c>
      <c r="I3338" t="s">
        <v>12</v>
      </c>
      <c r="J3338">
        <f t="shared" si="104"/>
        <v>12</v>
      </c>
      <c r="K3338" t="str">
        <f t="shared" si="105"/>
        <v>Mid Range</v>
      </c>
    </row>
    <row r="3339" spans="2:11" x14ac:dyDescent="0.25">
      <c r="B3339" t="s">
        <v>56</v>
      </c>
      <c r="C3339">
        <v>2014</v>
      </c>
      <c r="D3339" s="1">
        <v>320000</v>
      </c>
      <c r="E3339">
        <v>54350</v>
      </c>
      <c r="F3339" t="s">
        <v>9</v>
      </c>
      <c r="G3339" t="s">
        <v>27</v>
      </c>
      <c r="H3339" t="s">
        <v>11</v>
      </c>
      <c r="I3339" t="s">
        <v>12</v>
      </c>
      <c r="J3339">
        <f t="shared" si="104"/>
        <v>12</v>
      </c>
      <c r="K3339" t="str">
        <f t="shared" si="105"/>
        <v>Budget</v>
      </c>
    </row>
    <row r="3340" spans="2:11" x14ac:dyDescent="0.25">
      <c r="B3340" t="s">
        <v>54</v>
      </c>
      <c r="C3340">
        <v>2015</v>
      </c>
      <c r="D3340" s="1">
        <v>390000</v>
      </c>
      <c r="E3340">
        <v>32260</v>
      </c>
      <c r="F3340" t="s">
        <v>9</v>
      </c>
      <c r="G3340" t="s">
        <v>27</v>
      </c>
      <c r="H3340" t="s">
        <v>11</v>
      </c>
      <c r="I3340" t="s">
        <v>12</v>
      </c>
      <c r="J3340">
        <f t="shared" si="104"/>
        <v>11</v>
      </c>
      <c r="K3340" t="str">
        <f t="shared" si="105"/>
        <v>Budget</v>
      </c>
    </row>
    <row r="3341" spans="2:11" x14ac:dyDescent="0.25">
      <c r="B3341" t="s">
        <v>344</v>
      </c>
      <c r="C3341">
        <v>2014</v>
      </c>
      <c r="D3341" s="1">
        <v>550000</v>
      </c>
      <c r="E3341">
        <v>58231</v>
      </c>
      <c r="F3341" t="s">
        <v>15</v>
      </c>
      <c r="G3341" t="s">
        <v>27</v>
      </c>
      <c r="H3341" t="s">
        <v>11</v>
      </c>
      <c r="I3341" t="s">
        <v>12</v>
      </c>
      <c r="J3341">
        <f t="shared" si="104"/>
        <v>12</v>
      </c>
      <c r="K3341" t="str">
        <f t="shared" si="105"/>
        <v>Mid Range</v>
      </c>
    </row>
    <row r="3342" spans="2:11" x14ac:dyDescent="0.25">
      <c r="B3342" t="s">
        <v>443</v>
      </c>
      <c r="C3342">
        <v>2012</v>
      </c>
      <c r="D3342" s="1">
        <v>370000</v>
      </c>
      <c r="E3342">
        <v>59858</v>
      </c>
      <c r="F3342" t="s">
        <v>9</v>
      </c>
      <c r="G3342" t="s">
        <v>27</v>
      </c>
      <c r="H3342" t="s">
        <v>11</v>
      </c>
      <c r="I3342" t="s">
        <v>12</v>
      </c>
      <c r="J3342">
        <f t="shared" si="104"/>
        <v>14</v>
      </c>
      <c r="K3342" t="str">
        <f t="shared" si="105"/>
        <v>Budget</v>
      </c>
    </row>
    <row r="3343" spans="2:11" x14ac:dyDescent="0.25">
      <c r="B3343" t="s">
        <v>211</v>
      </c>
      <c r="C3343">
        <v>2010</v>
      </c>
      <c r="D3343" s="1">
        <v>190000</v>
      </c>
      <c r="E3343">
        <v>73350</v>
      </c>
      <c r="F3343" t="s">
        <v>9</v>
      </c>
      <c r="G3343" t="s">
        <v>27</v>
      </c>
      <c r="H3343" t="s">
        <v>11</v>
      </c>
      <c r="I3343" t="s">
        <v>12</v>
      </c>
      <c r="J3343">
        <f t="shared" si="104"/>
        <v>16</v>
      </c>
      <c r="K3343" t="str">
        <f t="shared" si="105"/>
        <v>Budget</v>
      </c>
    </row>
    <row r="3344" spans="2:11" x14ac:dyDescent="0.25">
      <c r="B3344" t="s">
        <v>163</v>
      </c>
      <c r="C3344">
        <v>2013</v>
      </c>
      <c r="D3344" s="1">
        <v>509999</v>
      </c>
      <c r="E3344">
        <v>88473</v>
      </c>
      <c r="F3344" t="s">
        <v>15</v>
      </c>
      <c r="G3344" t="s">
        <v>27</v>
      </c>
      <c r="H3344" t="s">
        <v>11</v>
      </c>
      <c r="I3344" t="s">
        <v>12</v>
      </c>
      <c r="J3344">
        <f t="shared" si="104"/>
        <v>13</v>
      </c>
      <c r="K3344" t="str">
        <f t="shared" si="105"/>
        <v>Mid Range</v>
      </c>
    </row>
    <row r="3345" spans="2:11" x14ac:dyDescent="0.25">
      <c r="B3345" t="s">
        <v>654</v>
      </c>
      <c r="C3345">
        <v>2013</v>
      </c>
      <c r="D3345" s="1">
        <v>450000</v>
      </c>
      <c r="E3345">
        <v>96987</v>
      </c>
      <c r="F3345" t="s">
        <v>9</v>
      </c>
      <c r="G3345" t="s">
        <v>27</v>
      </c>
      <c r="H3345" t="s">
        <v>11</v>
      </c>
      <c r="I3345" t="s">
        <v>12</v>
      </c>
      <c r="J3345">
        <f t="shared" si="104"/>
        <v>13</v>
      </c>
      <c r="K3345" t="str">
        <f t="shared" si="105"/>
        <v>Budget</v>
      </c>
    </row>
    <row r="3346" spans="2:11" x14ac:dyDescent="0.25">
      <c r="B3346" t="s">
        <v>1455</v>
      </c>
      <c r="C3346">
        <v>2016</v>
      </c>
      <c r="D3346" s="1">
        <v>5500000</v>
      </c>
      <c r="E3346">
        <v>77350</v>
      </c>
      <c r="F3346" t="s">
        <v>15</v>
      </c>
      <c r="G3346" t="s">
        <v>27</v>
      </c>
      <c r="H3346" t="s">
        <v>28</v>
      </c>
      <c r="I3346" t="s">
        <v>12</v>
      </c>
      <c r="J3346">
        <f t="shared" si="104"/>
        <v>10</v>
      </c>
      <c r="K3346" t="str">
        <f t="shared" si="105"/>
        <v>Premium</v>
      </c>
    </row>
    <row r="3347" spans="2:11" x14ac:dyDescent="0.25">
      <c r="B3347" t="s">
        <v>114</v>
      </c>
      <c r="C3347">
        <v>2015</v>
      </c>
      <c r="D3347" s="1">
        <v>550000</v>
      </c>
      <c r="E3347">
        <v>61187</v>
      </c>
      <c r="F3347" t="s">
        <v>15</v>
      </c>
      <c r="G3347" t="s">
        <v>27</v>
      </c>
      <c r="H3347" t="s">
        <v>11</v>
      </c>
      <c r="I3347" t="s">
        <v>12</v>
      </c>
      <c r="J3347">
        <f t="shared" si="104"/>
        <v>11</v>
      </c>
      <c r="K3347" t="str">
        <f t="shared" si="105"/>
        <v>Mid Range</v>
      </c>
    </row>
    <row r="3348" spans="2:11" x14ac:dyDescent="0.25">
      <c r="B3348" t="s">
        <v>1456</v>
      </c>
      <c r="C3348">
        <v>2009</v>
      </c>
      <c r="D3348" s="1">
        <v>400000</v>
      </c>
      <c r="E3348">
        <v>68350</v>
      </c>
      <c r="F3348" t="s">
        <v>15</v>
      </c>
      <c r="G3348" t="s">
        <v>27</v>
      </c>
      <c r="H3348" t="s">
        <v>11</v>
      </c>
      <c r="I3348" t="s">
        <v>12</v>
      </c>
      <c r="J3348">
        <f t="shared" si="104"/>
        <v>17</v>
      </c>
      <c r="K3348" t="str">
        <f t="shared" si="105"/>
        <v>Budget</v>
      </c>
    </row>
    <row r="3349" spans="2:11" x14ac:dyDescent="0.25">
      <c r="B3349" t="s">
        <v>381</v>
      </c>
      <c r="C3349">
        <v>2015</v>
      </c>
      <c r="D3349" s="1">
        <v>585000</v>
      </c>
      <c r="E3349">
        <v>81150</v>
      </c>
      <c r="F3349" t="s">
        <v>15</v>
      </c>
      <c r="G3349" t="s">
        <v>27</v>
      </c>
      <c r="H3349" t="s">
        <v>11</v>
      </c>
      <c r="I3349" t="s">
        <v>12</v>
      </c>
      <c r="J3349">
        <f t="shared" si="104"/>
        <v>11</v>
      </c>
      <c r="K3349" t="str">
        <f t="shared" si="105"/>
        <v>Mid Range</v>
      </c>
    </row>
    <row r="3350" spans="2:11" x14ac:dyDescent="0.25">
      <c r="B3350" t="s">
        <v>57</v>
      </c>
      <c r="C3350">
        <v>2019</v>
      </c>
      <c r="D3350" s="1">
        <v>500000</v>
      </c>
      <c r="E3350">
        <v>30000</v>
      </c>
      <c r="F3350" t="s">
        <v>9</v>
      </c>
      <c r="G3350" t="s">
        <v>10</v>
      </c>
      <c r="H3350" t="s">
        <v>11</v>
      </c>
      <c r="I3350" t="s">
        <v>12</v>
      </c>
      <c r="J3350">
        <f t="shared" si="104"/>
        <v>7</v>
      </c>
      <c r="K3350" t="str">
        <f t="shared" si="105"/>
        <v>Mid Range</v>
      </c>
    </row>
    <row r="3351" spans="2:11" x14ac:dyDescent="0.25">
      <c r="B3351" t="s">
        <v>673</v>
      </c>
      <c r="C3351">
        <v>2015</v>
      </c>
      <c r="D3351" s="1">
        <v>800000</v>
      </c>
      <c r="E3351">
        <v>30000</v>
      </c>
      <c r="F3351" t="s">
        <v>9</v>
      </c>
      <c r="G3351" t="s">
        <v>10</v>
      </c>
      <c r="H3351" t="s">
        <v>11</v>
      </c>
      <c r="I3351" t="s">
        <v>12</v>
      </c>
      <c r="J3351">
        <f t="shared" si="104"/>
        <v>11</v>
      </c>
      <c r="K3351" t="str">
        <f t="shared" si="105"/>
        <v>Mid Range</v>
      </c>
    </row>
    <row r="3352" spans="2:11" x14ac:dyDescent="0.25">
      <c r="B3352" t="s">
        <v>122</v>
      </c>
      <c r="C3352">
        <v>2009</v>
      </c>
      <c r="D3352" s="1">
        <v>265000</v>
      </c>
      <c r="E3352">
        <v>120000</v>
      </c>
      <c r="F3352" t="s">
        <v>15</v>
      </c>
      <c r="G3352" t="s">
        <v>10</v>
      </c>
      <c r="H3352" t="s">
        <v>11</v>
      </c>
      <c r="I3352" t="s">
        <v>18</v>
      </c>
      <c r="J3352">
        <f t="shared" si="104"/>
        <v>17</v>
      </c>
      <c r="K3352" t="str">
        <f t="shared" si="105"/>
        <v>Budget</v>
      </c>
    </row>
    <row r="3353" spans="2:11" x14ac:dyDescent="0.25">
      <c r="B3353" t="s">
        <v>180</v>
      </c>
      <c r="C3353">
        <v>2012</v>
      </c>
      <c r="D3353" s="1">
        <v>175000</v>
      </c>
      <c r="E3353">
        <v>180000</v>
      </c>
      <c r="F3353" t="s">
        <v>15</v>
      </c>
      <c r="G3353" t="s">
        <v>10</v>
      </c>
      <c r="H3353" t="s">
        <v>11</v>
      </c>
      <c r="I3353" t="s">
        <v>12</v>
      </c>
      <c r="J3353">
        <f t="shared" si="104"/>
        <v>14</v>
      </c>
      <c r="K3353" t="str">
        <f t="shared" si="105"/>
        <v>Budget</v>
      </c>
    </row>
    <row r="3354" spans="2:11" x14ac:dyDescent="0.25">
      <c r="B3354" t="s">
        <v>1457</v>
      </c>
      <c r="C3354">
        <v>2007</v>
      </c>
      <c r="D3354" s="1">
        <v>125000</v>
      </c>
      <c r="E3354">
        <v>50000</v>
      </c>
      <c r="F3354" t="s">
        <v>9</v>
      </c>
      <c r="G3354" t="s">
        <v>10</v>
      </c>
      <c r="H3354" t="s">
        <v>11</v>
      </c>
      <c r="I3354" t="s">
        <v>18</v>
      </c>
      <c r="J3354">
        <f t="shared" si="104"/>
        <v>19</v>
      </c>
      <c r="K3354" t="str">
        <f t="shared" si="105"/>
        <v>Budget</v>
      </c>
    </row>
    <row r="3355" spans="2:11" x14ac:dyDescent="0.25">
      <c r="B3355" t="s">
        <v>806</v>
      </c>
      <c r="C3355">
        <v>2010</v>
      </c>
      <c r="D3355" s="1">
        <v>165000</v>
      </c>
      <c r="E3355">
        <v>80000</v>
      </c>
      <c r="F3355" t="s">
        <v>15</v>
      </c>
      <c r="G3355" t="s">
        <v>10</v>
      </c>
      <c r="H3355" t="s">
        <v>11</v>
      </c>
      <c r="I3355" t="s">
        <v>12</v>
      </c>
      <c r="J3355">
        <f t="shared" si="104"/>
        <v>16</v>
      </c>
      <c r="K3355" t="str">
        <f t="shared" si="105"/>
        <v>Budget</v>
      </c>
    </row>
    <row r="3356" spans="2:11" x14ac:dyDescent="0.25">
      <c r="B3356" t="s">
        <v>1315</v>
      </c>
      <c r="C3356">
        <v>2011</v>
      </c>
      <c r="D3356" s="1">
        <v>150000</v>
      </c>
      <c r="E3356">
        <v>280000</v>
      </c>
      <c r="F3356" t="s">
        <v>15</v>
      </c>
      <c r="G3356" t="s">
        <v>10</v>
      </c>
      <c r="H3356" t="s">
        <v>11</v>
      </c>
      <c r="I3356" t="s">
        <v>12</v>
      </c>
      <c r="J3356">
        <f t="shared" si="104"/>
        <v>15</v>
      </c>
      <c r="K3356" t="str">
        <f t="shared" si="105"/>
        <v>Budget</v>
      </c>
    </row>
    <row r="3357" spans="2:11" x14ac:dyDescent="0.25">
      <c r="B3357" t="s">
        <v>582</v>
      </c>
      <c r="C3357">
        <v>2015</v>
      </c>
      <c r="D3357" s="1">
        <v>1025000</v>
      </c>
      <c r="E3357">
        <v>90000</v>
      </c>
      <c r="F3357" t="s">
        <v>15</v>
      </c>
      <c r="G3357" t="s">
        <v>10</v>
      </c>
      <c r="H3357" t="s">
        <v>11</v>
      </c>
      <c r="I3357" t="s">
        <v>18</v>
      </c>
      <c r="J3357">
        <f t="shared" si="104"/>
        <v>11</v>
      </c>
      <c r="K3357" t="str">
        <f t="shared" si="105"/>
        <v>Premium</v>
      </c>
    </row>
    <row r="3358" spans="2:11" x14ac:dyDescent="0.25">
      <c r="B3358" t="s">
        <v>221</v>
      </c>
      <c r="C3358">
        <v>2014</v>
      </c>
      <c r="D3358" s="1">
        <v>1030000</v>
      </c>
      <c r="E3358">
        <v>250000</v>
      </c>
      <c r="F3358" t="s">
        <v>15</v>
      </c>
      <c r="G3358" t="s">
        <v>10</v>
      </c>
      <c r="H3358" t="s">
        <v>11</v>
      </c>
      <c r="I3358" t="s">
        <v>18</v>
      </c>
      <c r="J3358">
        <f t="shared" si="104"/>
        <v>12</v>
      </c>
      <c r="K3358" t="str">
        <f t="shared" si="105"/>
        <v>Premium</v>
      </c>
    </row>
    <row r="3359" spans="2:11" x14ac:dyDescent="0.25">
      <c r="B3359" t="s">
        <v>1143</v>
      </c>
      <c r="C3359">
        <v>2012</v>
      </c>
      <c r="D3359" s="1">
        <v>380000</v>
      </c>
      <c r="E3359">
        <v>90000</v>
      </c>
      <c r="F3359" t="s">
        <v>15</v>
      </c>
      <c r="G3359" t="s">
        <v>10</v>
      </c>
      <c r="H3359" t="s">
        <v>11</v>
      </c>
      <c r="I3359" t="s">
        <v>46</v>
      </c>
      <c r="J3359">
        <f t="shared" si="104"/>
        <v>14</v>
      </c>
      <c r="K3359" t="str">
        <f t="shared" si="105"/>
        <v>Budget</v>
      </c>
    </row>
    <row r="3360" spans="2:11" x14ac:dyDescent="0.25">
      <c r="B3360" t="s">
        <v>1279</v>
      </c>
      <c r="C3360">
        <v>2010</v>
      </c>
      <c r="D3360" s="1">
        <v>250000</v>
      </c>
      <c r="E3360">
        <v>110000</v>
      </c>
      <c r="F3360" t="s">
        <v>15</v>
      </c>
      <c r="G3360" t="s">
        <v>10</v>
      </c>
      <c r="H3360" t="s">
        <v>11</v>
      </c>
      <c r="I3360" t="s">
        <v>49</v>
      </c>
      <c r="J3360">
        <f t="shared" si="104"/>
        <v>16</v>
      </c>
      <c r="K3360" t="str">
        <f t="shared" si="105"/>
        <v>Budget</v>
      </c>
    </row>
    <row r="3361" spans="2:11" x14ac:dyDescent="0.25">
      <c r="B3361" t="s">
        <v>120</v>
      </c>
      <c r="C3361">
        <v>2000</v>
      </c>
      <c r="D3361" s="1">
        <v>85000</v>
      </c>
      <c r="E3361">
        <v>80000</v>
      </c>
      <c r="F3361" t="s">
        <v>9</v>
      </c>
      <c r="G3361" t="s">
        <v>10</v>
      </c>
      <c r="H3361" t="s">
        <v>11</v>
      </c>
      <c r="I3361" t="s">
        <v>18</v>
      </c>
      <c r="J3361">
        <f t="shared" si="104"/>
        <v>26</v>
      </c>
      <c r="K3361" t="str">
        <f t="shared" si="105"/>
        <v>Budget</v>
      </c>
    </row>
    <row r="3362" spans="2:11" x14ac:dyDescent="0.25">
      <c r="B3362" t="s">
        <v>1458</v>
      </c>
      <c r="C3362">
        <v>2016</v>
      </c>
      <c r="D3362" s="1">
        <v>500000</v>
      </c>
      <c r="E3362">
        <v>35000</v>
      </c>
      <c r="F3362" t="s">
        <v>15</v>
      </c>
      <c r="G3362" t="s">
        <v>10</v>
      </c>
      <c r="H3362" t="s">
        <v>11</v>
      </c>
      <c r="I3362" t="s">
        <v>12</v>
      </c>
      <c r="J3362">
        <f t="shared" si="104"/>
        <v>10</v>
      </c>
      <c r="K3362" t="str">
        <f t="shared" si="105"/>
        <v>Mid Range</v>
      </c>
    </row>
    <row r="3363" spans="2:11" x14ac:dyDescent="0.25">
      <c r="B3363" t="s">
        <v>136</v>
      </c>
      <c r="C3363">
        <v>2018</v>
      </c>
      <c r="D3363" s="1">
        <v>350000</v>
      </c>
      <c r="E3363">
        <v>15000</v>
      </c>
      <c r="F3363" t="s">
        <v>9</v>
      </c>
      <c r="G3363" t="s">
        <v>10</v>
      </c>
      <c r="H3363" t="s">
        <v>11</v>
      </c>
      <c r="I3363" t="s">
        <v>12</v>
      </c>
      <c r="J3363">
        <f t="shared" si="104"/>
        <v>8</v>
      </c>
      <c r="K3363" t="str">
        <f t="shared" si="105"/>
        <v>Budget</v>
      </c>
    </row>
    <row r="3364" spans="2:11" x14ac:dyDescent="0.25">
      <c r="B3364" t="s">
        <v>211</v>
      </c>
      <c r="C3364">
        <v>2010</v>
      </c>
      <c r="D3364" s="1">
        <v>190000</v>
      </c>
      <c r="E3364">
        <v>52000</v>
      </c>
      <c r="F3364" t="s">
        <v>9</v>
      </c>
      <c r="G3364" t="s">
        <v>10</v>
      </c>
      <c r="H3364" t="s">
        <v>11</v>
      </c>
      <c r="I3364" t="s">
        <v>18</v>
      </c>
      <c r="J3364">
        <f t="shared" si="104"/>
        <v>16</v>
      </c>
      <c r="K3364" t="str">
        <f t="shared" si="105"/>
        <v>Budget</v>
      </c>
    </row>
    <row r="3365" spans="2:11" x14ac:dyDescent="0.25">
      <c r="B3365" t="s">
        <v>1459</v>
      </c>
      <c r="C3365">
        <v>2009</v>
      </c>
      <c r="D3365" s="1">
        <v>940000</v>
      </c>
      <c r="E3365">
        <v>140000</v>
      </c>
      <c r="F3365" t="s">
        <v>15</v>
      </c>
      <c r="G3365" t="s">
        <v>10</v>
      </c>
      <c r="H3365" t="s">
        <v>11</v>
      </c>
      <c r="I3365" t="s">
        <v>12</v>
      </c>
      <c r="J3365">
        <f t="shared" si="104"/>
        <v>17</v>
      </c>
      <c r="K3365" t="str">
        <f t="shared" si="105"/>
        <v>Mid Range</v>
      </c>
    </row>
    <row r="3366" spans="2:11" x14ac:dyDescent="0.25">
      <c r="B3366" t="s">
        <v>443</v>
      </c>
      <c r="C3366">
        <v>2013</v>
      </c>
      <c r="D3366" s="1">
        <v>475000</v>
      </c>
      <c r="E3366">
        <v>60000</v>
      </c>
      <c r="F3366" t="s">
        <v>9</v>
      </c>
      <c r="G3366" t="s">
        <v>10</v>
      </c>
      <c r="H3366" t="s">
        <v>11</v>
      </c>
      <c r="I3366" t="s">
        <v>18</v>
      </c>
      <c r="J3366">
        <f t="shared" si="104"/>
        <v>13</v>
      </c>
      <c r="K3366" t="str">
        <f t="shared" si="105"/>
        <v>Budget</v>
      </c>
    </row>
    <row r="3367" spans="2:11" x14ac:dyDescent="0.25">
      <c r="B3367" t="s">
        <v>249</v>
      </c>
      <c r="C3367">
        <v>2018</v>
      </c>
      <c r="D3367" s="1">
        <v>300000</v>
      </c>
      <c r="E3367">
        <v>17000</v>
      </c>
      <c r="F3367" t="s">
        <v>9</v>
      </c>
      <c r="G3367" t="s">
        <v>10</v>
      </c>
      <c r="H3367" t="s">
        <v>11</v>
      </c>
      <c r="I3367" t="s">
        <v>12</v>
      </c>
      <c r="J3367">
        <f t="shared" si="104"/>
        <v>8</v>
      </c>
      <c r="K3367" t="str">
        <f t="shared" si="105"/>
        <v>Budget</v>
      </c>
    </row>
    <row r="3368" spans="2:11" x14ac:dyDescent="0.25">
      <c r="B3368" t="s">
        <v>353</v>
      </c>
      <c r="C3368">
        <v>2016</v>
      </c>
      <c r="D3368" s="1">
        <v>250000</v>
      </c>
      <c r="E3368">
        <v>70000</v>
      </c>
      <c r="F3368" t="s">
        <v>9</v>
      </c>
      <c r="G3368" t="s">
        <v>10</v>
      </c>
      <c r="H3368" t="s">
        <v>11</v>
      </c>
      <c r="I3368" t="s">
        <v>49</v>
      </c>
      <c r="J3368">
        <f t="shared" si="104"/>
        <v>10</v>
      </c>
      <c r="K3368" t="str">
        <f t="shared" si="105"/>
        <v>Budget</v>
      </c>
    </row>
    <row r="3369" spans="2:11" x14ac:dyDescent="0.25">
      <c r="B3369" t="s">
        <v>120</v>
      </c>
      <c r="C3369">
        <v>2001</v>
      </c>
      <c r="D3369" s="1">
        <v>93000</v>
      </c>
      <c r="E3369">
        <v>97000</v>
      </c>
      <c r="F3369" t="s">
        <v>9</v>
      </c>
      <c r="G3369" t="s">
        <v>10</v>
      </c>
      <c r="H3369" t="s">
        <v>11</v>
      </c>
      <c r="I3369" t="s">
        <v>46</v>
      </c>
      <c r="J3369">
        <f t="shared" si="104"/>
        <v>25</v>
      </c>
      <c r="K3369" t="str">
        <f t="shared" si="105"/>
        <v>Budget</v>
      </c>
    </row>
    <row r="3370" spans="2:11" x14ac:dyDescent="0.25">
      <c r="B3370" t="s">
        <v>367</v>
      </c>
      <c r="C3370">
        <v>2012</v>
      </c>
      <c r="D3370" s="1">
        <v>290000</v>
      </c>
      <c r="E3370">
        <v>125000</v>
      </c>
      <c r="F3370" t="s">
        <v>15</v>
      </c>
      <c r="G3370" t="s">
        <v>10</v>
      </c>
      <c r="H3370" t="s">
        <v>11</v>
      </c>
      <c r="I3370" t="s">
        <v>18</v>
      </c>
      <c r="J3370">
        <f t="shared" si="104"/>
        <v>14</v>
      </c>
      <c r="K3370" t="str">
        <f t="shared" si="105"/>
        <v>Budget</v>
      </c>
    </row>
    <row r="3371" spans="2:11" x14ac:dyDescent="0.25">
      <c r="B3371" t="s">
        <v>504</v>
      </c>
      <c r="C3371">
        <v>2010</v>
      </c>
      <c r="D3371" s="1">
        <v>75000</v>
      </c>
      <c r="E3371">
        <v>300000</v>
      </c>
      <c r="F3371" t="s">
        <v>9</v>
      </c>
      <c r="G3371" t="s">
        <v>10</v>
      </c>
      <c r="H3371" t="s">
        <v>11</v>
      </c>
      <c r="I3371" t="s">
        <v>49</v>
      </c>
      <c r="J3371">
        <f t="shared" si="104"/>
        <v>16</v>
      </c>
      <c r="K3371" t="str">
        <f t="shared" si="105"/>
        <v>Budget</v>
      </c>
    </row>
    <row r="3372" spans="2:11" x14ac:dyDescent="0.25">
      <c r="B3372" t="s">
        <v>90</v>
      </c>
      <c r="C3372">
        <v>2015</v>
      </c>
      <c r="D3372" s="1">
        <v>1000000</v>
      </c>
      <c r="E3372">
        <v>120000</v>
      </c>
      <c r="F3372" t="s">
        <v>15</v>
      </c>
      <c r="G3372" t="s">
        <v>10</v>
      </c>
      <c r="H3372" t="s">
        <v>11</v>
      </c>
      <c r="I3372" t="s">
        <v>18</v>
      </c>
      <c r="J3372">
        <f t="shared" si="104"/>
        <v>11</v>
      </c>
      <c r="K3372" t="str">
        <f t="shared" si="105"/>
        <v>Mid Range</v>
      </c>
    </row>
    <row r="3373" spans="2:11" x14ac:dyDescent="0.25">
      <c r="B3373" t="s">
        <v>144</v>
      </c>
      <c r="C3373">
        <v>2015</v>
      </c>
      <c r="D3373" s="1">
        <v>550000</v>
      </c>
      <c r="E3373">
        <v>87000</v>
      </c>
      <c r="F3373" t="s">
        <v>15</v>
      </c>
      <c r="G3373" t="s">
        <v>10</v>
      </c>
      <c r="H3373" t="s">
        <v>11</v>
      </c>
      <c r="I3373" t="s">
        <v>12</v>
      </c>
      <c r="J3373">
        <f t="shared" si="104"/>
        <v>11</v>
      </c>
      <c r="K3373" t="str">
        <f t="shared" si="105"/>
        <v>Mid Range</v>
      </c>
    </row>
    <row r="3374" spans="2:11" x14ac:dyDescent="0.25">
      <c r="B3374" t="s">
        <v>386</v>
      </c>
      <c r="C3374">
        <v>2010</v>
      </c>
      <c r="D3374" s="1">
        <v>285000</v>
      </c>
      <c r="E3374">
        <v>75000</v>
      </c>
      <c r="F3374" t="s">
        <v>15</v>
      </c>
      <c r="G3374" t="s">
        <v>10</v>
      </c>
      <c r="H3374" t="s">
        <v>11</v>
      </c>
      <c r="I3374" t="s">
        <v>49</v>
      </c>
      <c r="J3374">
        <f t="shared" si="104"/>
        <v>16</v>
      </c>
      <c r="K3374" t="str">
        <f t="shared" si="105"/>
        <v>Budget</v>
      </c>
    </row>
    <row r="3375" spans="2:11" x14ac:dyDescent="0.25">
      <c r="B3375" t="s">
        <v>680</v>
      </c>
      <c r="C3375">
        <v>2012</v>
      </c>
      <c r="D3375" s="1">
        <v>229999</v>
      </c>
      <c r="E3375">
        <v>40000</v>
      </c>
      <c r="F3375" t="s">
        <v>9</v>
      </c>
      <c r="G3375" t="s">
        <v>10</v>
      </c>
      <c r="H3375" t="s">
        <v>11</v>
      </c>
      <c r="I3375" t="s">
        <v>18</v>
      </c>
      <c r="J3375">
        <f t="shared" si="104"/>
        <v>14</v>
      </c>
      <c r="K3375" t="str">
        <f t="shared" si="105"/>
        <v>Budget</v>
      </c>
    </row>
    <row r="3376" spans="2:11" x14ac:dyDescent="0.25">
      <c r="B3376" t="s">
        <v>325</v>
      </c>
      <c r="C3376">
        <v>2014</v>
      </c>
      <c r="D3376" s="1">
        <v>580000</v>
      </c>
      <c r="E3376">
        <v>120000</v>
      </c>
      <c r="F3376" t="s">
        <v>15</v>
      </c>
      <c r="G3376" t="s">
        <v>10</v>
      </c>
      <c r="H3376" t="s">
        <v>11</v>
      </c>
      <c r="I3376" t="s">
        <v>12</v>
      </c>
      <c r="J3376">
        <f t="shared" si="104"/>
        <v>12</v>
      </c>
      <c r="K3376" t="str">
        <f t="shared" si="105"/>
        <v>Mid Range</v>
      </c>
    </row>
    <row r="3377" spans="2:11" x14ac:dyDescent="0.25">
      <c r="B3377" t="s">
        <v>1460</v>
      </c>
      <c r="C3377">
        <v>2005</v>
      </c>
      <c r="D3377" s="1">
        <v>175000</v>
      </c>
      <c r="E3377">
        <v>100000</v>
      </c>
      <c r="F3377" t="s">
        <v>9</v>
      </c>
      <c r="G3377" t="s">
        <v>10</v>
      </c>
      <c r="H3377" t="s">
        <v>11</v>
      </c>
      <c r="I3377" t="s">
        <v>46</v>
      </c>
      <c r="J3377">
        <f t="shared" si="104"/>
        <v>21</v>
      </c>
      <c r="K3377" t="str">
        <f t="shared" si="105"/>
        <v>Budget</v>
      </c>
    </row>
    <row r="3378" spans="2:11" x14ac:dyDescent="0.25">
      <c r="B3378" t="s">
        <v>295</v>
      </c>
      <c r="C3378">
        <v>2012</v>
      </c>
      <c r="D3378" s="1">
        <v>250000</v>
      </c>
      <c r="E3378">
        <v>110000</v>
      </c>
      <c r="F3378" t="s">
        <v>15</v>
      </c>
      <c r="G3378" t="s">
        <v>10</v>
      </c>
      <c r="H3378" t="s">
        <v>11</v>
      </c>
      <c r="I3378" t="s">
        <v>46</v>
      </c>
      <c r="J3378">
        <f t="shared" si="104"/>
        <v>14</v>
      </c>
      <c r="K3378" t="str">
        <f t="shared" si="105"/>
        <v>Budget</v>
      </c>
    </row>
    <row r="3379" spans="2:11" x14ac:dyDescent="0.25">
      <c r="B3379" t="s">
        <v>1461</v>
      </c>
      <c r="C3379">
        <v>2006</v>
      </c>
      <c r="D3379" s="1">
        <v>70000</v>
      </c>
      <c r="E3379">
        <v>105700</v>
      </c>
      <c r="F3379" t="s">
        <v>9</v>
      </c>
      <c r="G3379" t="s">
        <v>10</v>
      </c>
      <c r="H3379" t="s">
        <v>11</v>
      </c>
      <c r="I3379" t="s">
        <v>12</v>
      </c>
      <c r="J3379">
        <f t="shared" si="104"/>
        <v>20</v>
      </c>
      <c r="K3379" t="str">
        <f t="shared" si="105"/>
        <v>Budget</v>
      </c>
    </row>
    <row r="3380" spans="2:11" x14ac:dyDescent="0.25">
      <c r="B3380" t="s">
        <v>1462</v>
      </c>
      <c r="C3380">
        <v>2017</v>
      </c>
      <c r="D3380" s="1">
        <v>430999</v>
      </c>
      <c r="E3380">
        <v>14000</v>
      </c>
      <c r="F3380" t="s">
        <v>9</v>
      </c>
      <c r="G3380" t="s">
        <v>27</v>
      </c>
      <c r="H3380" t="s">
        <v>11</v>
      </c>
      <c r="I3380" t="s">
        <v>12</v>
      </c>
      <c r="J3380">
        <f t="shared" si="104"/>
        <v>9</v>
      </c>
      <c r="K3380" t="str">
        <f t="shared" si="105"/>
        <v>Budget</v>
      </c>
    </row>
    <row r="3381" spans="2:11" x14ac:dyDescent="0.25">
      <c r="B3381" t="s">
        <v>308</v>
      </c>
      <c r="C3381">
        <v>2010</v>
      </c>
      <c r="D3381" s="1">
        <v>80000</v>
      </c>
      <c r="E3381">
        <v>70000</v>
      </c>
      <c r="F3381" t="s">
        <v>9</v>
      </c>
      <c r="G3381" t="s">
        <v>10</v>
      </c>
      <c r="H3381" t="s">
        <v>11</v>
      </c>
      <c r="I3381" t="s">
        <v>12</v>
      </c>
      <c r="J3381">
        <f t="shared" si="104"/>
        <v>16</v>
      </c>
      <c r="K3381" t="str">
        <f t="shared" si="105"/>
        <v>Budget</v>
      </c>
    </row>
    <row r="3382" spans="2:11" x14ac:dyDescent="0.25">
      <c r="B3382" t="s">
        <v>1463</v>
      </c>
      <c r="C3382">
        <v>2019</v>
      </c>
      <c r="D3382" s="1">
        <v>335000</v>
      </c>
      <c r="E3382">
        <v>28000</v>
      </c>
      <c r="F3382" t="s">
        <v>9</v>
      </c>
      <c r="G3382" t="s">
        <v>27</v>
      </c>
      <c r="H3382" t="s">
        <v>11</v>
      </c>
      <c r="I3382" t="s">
        <v>12</v>
      </c>
      <c r="J3382">
        <f t="shared" si="104"/>
        <v>7</v>
      </c>
      <c r="K3382" t="str">
        <f t="shared" si="105"/>
        <v>Budget</v>
      </c>
    </row>
    <row r="3383" spans="2:11" x14ac:dyDescent="0.25">
      <c r="B3383" t="s">
        <v>177</v>
      </c>
      <c r="C3383">
        <v>2017</v>
      </c>
      <c r="D3383" s="1">
        <v>350000</v>
      </c>
      <c r="E3383">
        <v>51000</v>
      </c>
      <c r="F3383" t="s">
        <v>9</v>
      </c>
      <c r="G3383" t="s">
        <v>27</v>
      </c>
      <c r="H3383" t="s">
        <v>11</v>
      </c>
      <c r="I3383" t="s">
        <v>12</v>
      </c>
      <c r="J3383">
        <f t="shared" si="104"/>
        <v>9</v>
      </c>
      <c r="K3383" t="str">
        <f t="shared" si="105"/>
        <v>Budget</v>
      </c>
    </row>
    <row r="3384" spans="2:11" x14ac:dyDescent="0.25">
      <c r="B3384" t="s">
        <v>1464</v>
      </c>
      <c r="C3384">
        <v>2018</v>
      </c>
      <c r="D3384" s="1">
        <v>315000</v>
      </c>
      <c r="E3384">
        <v>56000</v>
      </c>
      <c r="F3384" t="s">
        <v>9</v>
      </c>
      <c r="G3384" t="s">
        <v>27</v>
      </c>
      <c r="H3384" t="s">
        <v>11</v>
      </c>
      <c r="I3384" t="s">
        <v>12</v>
      </c>
      <c r="J3384">
        <f t="shared" si="104"/>
        <v>8</v>
      </c>
      <c r="K3384" t="str">
        <f t="shared" si="105"/>
        <v>Budget</v>
      </c>
    </row>
    <row r="3385" spans="2:11" x14ac:dyDescent="0.25">
      <c r="B3385" t="s">
        <v>1465</v>
      </c>
      <c r="C3385">
        <v>2019</v>
      </c>
      <c r="D3385" s="1">
        <v>1100000</v>
      </c>
      <c r="E3385">
        <v>35000</v>
      </c>
      <c r="F3385" t="s">
        <v>15</v>
      </c>
      <c r="G3385" t="s">
        <v>10</v>
      </c>
      <c r="H3385" t="s">
        <v>28</v>
      </c>
      <c r="I3385" t="s">
        <v>12</v>
      </c>
      <c r="J3385">
        <f t="shared" si="104"/>
        <v>7</v>
      </c>
      <c r="K3385" t="str">
        <f t="shared" si="105"/>
        <v>Premium</v>
      </c>
    </row>
    <row r="3386" spans="2:11" x14ac:dyDescent="0.25">
      <c r="B3386" t="s">
        <v>879</v>
      </c>
      <c r="C3386">
        <v>2005</v>
      </c>
      <c r="D3386" s="1">
        <v>80000</v>
      </c>
      <c r="E3386">
        <v>24000</v>
      </c>
      <c r="F3386" t="s">
        <v>9</v>
      </c>
      <c r="G3386" t="s">
        <v>10</v>
      </c>
      <c r="H3386" t="s">
        <v>11</v>
      </c>
      <c r="I3386" t="s">
        <v>12</v>
      </c>
      <c r="J3386">
        <f t="shared" si="104"/>
        <v>21</v>
      </c>
      <c r="K3386" t="str">
        <f t="shared" si="105"/>
        <v>Budget</v>
      </c>
    </row>
    <row r="3387" spans="2:11" x14ac:dyDescent="0.25">
      <c r="B3387" t="s">
        <v>1466</v>
      </c>
      <c r="C3387">
        <v>2014</v>
      </c>
      <c r="D3387" s="1">
        <v>285000</v>
      </c>
      <c r="E3387">
        <v>64000</v>
      </c>
      <c r="F3387" t="s">
        <v>9</v>
      </c>
      <c r="G3387" t="s">
        <v>27</v>
      </c>
      <c r="H3387" t="s">
        <v>11</v>
      </c>
      <c r="I3387" t="s">
        <v>18</v>
      </c>
      <c r="J3387">
        <f t="shared" si="104"/>
        <v>12</v>
      </c>
      <c r="K3387" t="str">
        <f t="shared" si="105"/>
        <v>Budget</v>
      </c>
    </row>
    <row r="3388" spans="2:11" x14ac:dyDescent="0.25">
      <c r="B3388" t="s">
        <v>1040</v>
      </c>
      <c r="C3388">
        <v>2009</v>
      </c>
      <c r="D3388" s="1">
        <v>100000</v>
      </c>
      <c r="E3388">
        <v>120000</v>
      </c>
      <c r="F3388" t="s">
        <v>15</v>
      </c>
      <c r="G3388" t="s">
        <v>10</v>
      </c>
      <c r="H3388" t="s">
        <v>11</v>
      </c>
      <c r="I3388" t="s">
        <v>49</v>
      </c>
      <c r="J3388">
        <f t="shared" si="104"/>
        <v>17</v>
      </c>
      <c r="K3388" t="str">
        <f t="shared" si="105"/>
        <v>Budget</v>
      </c>
    </row>
    <row r="3389" spans="2:11" x14ac:dyDescent="0.25">
      <c r="B3389" t="s">
        <v>58</v>
      </c>
      <c r="C3389">
        <v>2011</v>
      </c>
      <c r="D3389" s="1">
        <v>225000</v>
      </c>
      <c r="E3389">
        <v>37091</v>
      </c>
      <c r="F3389" t="s">
        <v>9</v>
      </c>
      <c r="G3389" t="s">
        <v>10</v>
      </c>
      <c r="H3389" t="s">
        <v>11</v>
      </c>
      <c r="I3389" t="s">
        <v>12</v>
      </c>
      <c r="J3389">
        <f t="shared" si="104"/>
        <v>15</v>
      </c>
      <c r="K3389" t="str">
        <f t="shared" si="105"/>
        <v>Budget</v>
      </c>
    </row>
    <row r="3390" spans="2:11" x14ac:dyDescent="0.25">
      <c r="B3390" t="s">
        <v>1467</v>
      </c>
      <c r="C3390">
        <v>2017</v>
      </c>
      <c r="D3390" s="1">
        <v>4500000</v>
      </c>
      <c r="E3390">
        <v>80000</v>
      </c>
      <c r="F3390" t="s">
        <v>15</v>
      </c>
      <c r="G3390" t="s">
        <v>10</v>
      </c>
      <c r="H3390" t="s">
        <v>28</v>
      </c>
      <c r="I3390" t="s">
        <v>12</v>
      </c>
      <c r="J3390">
        <f t="shared" si="104"/>
        <v>9</v>
      </c>
      <c r="K3390" t="str">
        <f t="shared" si="105"/>
        <v>Premium</v>
      </c>
    </row>
    <row r="3391" spans="2:11" x14ac:dyDescent="0.25">
      <c r="B3391" t="s">
        <v>170</v>
      </c>
      <c r="C3391">
        <v>2018</v>
      </c>
      <c r="D3391" s="1">
        <v>320000</v>
      </c>
      <c r="E3391">
        <v>38900</v>
      </c>
      <c r="F3391" t="s">
        <v>9</v>
      </c>
      <c r="G3391" t="s">
        <v>10</v>
      </c>
      <c r="H3391" t="s">
        <v>11</v>
      </c>
      <c r="I3391" t="s">
        <v>49</v>
      </c>
      <c r="J3391">
        <f t="shared" si="104"/>
        <v>8</v>
      </c>
      <c r="K3391" t="str">
        <f t="shared" si="105"/>
        <v>Budget</v>
      </c>
    </row>
    <row r="3392" spans="2:11" x14ac:dyDescent="0.25">
      <c r="B3392" t="s">
        <v>395</v>
      </c>
      <c r="C3392">
        <v>2016</v>
      </c>
      <c r="D3392" s="1">
        <v>1249000</v>
      </c>
      <c r="E3392">
        <v>60000</v>
      </c>
      <c r="F3392" t="s">
        <v>15</v>
      </c>
      <c r="G3392" t="s">
        <v>10</v>
      </c>
      <c r="H3392" t="s">
        <v>11</v>
      </c>
      <c r="I3392" t="s">
        <v>49</v>
      </c>
      <c r="J3392">
        <f t="shared" si="104"/>
        <v>10</v>
      </c>
      <c r="K3392" t="str">
        <f t="shared" si="105"/>
        <v>Premium</v>
      </c>
    </row>
    <row r="3393" spans="2:11" x14ac:dyDescent="0.25">
      <c r="B3393" t="s">
        <v>13</v>
      </c>
      <c r="C3393">
        <v>2008</v>
      </c>
      <c r="D3393" s="1">
        <v>120000</v>
      </c>
      <c r="E3393">
        <v>110000</v>
      </c>
      <c r="F3393" t="s">
        <v>9</v>
      </c>
      <c r="G3393" t="s">
        <v>10</v>
      </c>
      <c r="H3393" t="s">
        <v>11</v>
      </c>
      <c r="I3393" t="s">
        <v>49</v>
      </c>
      <c r="J3393">
        <f t="shared" si="104"/>
        <v>18</v>
      </c>
      <c r="K3393" t="str">
        <f t="shared" si="105"/>
        <v>Budget</v>
      </c>
    </row>
    <row r="3394" spans="2:11" x14ac:dyDescent="0.25">
      <c r="B3394" t="s">
        <v>1278</v>
      </c>
      <c r="C3394">
        <v>2011</v>
      </c>
      <c r="D3394" s="1">
        <v>200000</v>
      </c>
      <c r="E3394">
        <v>100000</v>
      </c>
      <c r="F3394" t="s">
        <v>15</v>
      </c>
      <c r="G3394" t="s">
        <v>10</v>
      </c>
      <c r="H3394" t="s">
        <v>11</v>
      </c>
      <c r="I3394" t="s">
        <v>18</v>
      </c>
      <c r="J3394">
        <f t="shared" si="104"/>
        <v>15</v>
      </c>
      <c r="K3394" t="str">
        <f t="shared" si="105"/>
        <v>Budget</v>
      </c>
    </row>
    <row r="3395" spans="2:11" x14ac:dyDescent="0.25">
      <c r="B3395" t="s">
        <v>126</v>
      </c>
      <c r="C3395">
        <v>2016</v>
      </c>
      <c r="D3395" s="1">
        <v>1151000</v>
      </c>
      <c r="E3395">
        <v>85000</v>
      </c>
      <c r="F3395" t="s">
        <v>15</v>
      </c>
      <c r="G3395" t="s">
        <v>10</v>
      </c>
      <c r="H3395" t="s">
        <v>11</v>
      </c>
      <c r="I3395" t="s">
        <v>12</v>
      </c>
      <c r="J3395">
        <f t="shared" si="104"/>
        <v>10</v>
      </c>
      <c r="K3395" t="str">
        <f t="shared" si="105"/>
        <v>Premium</v>
      </c>
    </row>
    <row r="3396" spans="2:11" x14ac:dyDescent="0.25">
      <c r="B3396" t="s">
        <v>75</v>
      </c>
      <c r="C3396">
        <v>2012</v>
      </c>
      <c r="D3396" s="1">
        <v>120000</v>
      </c>
      <c r="E3396">
        <v>140000</v>
      </c>
      <c r="F3396" t="s">
        <v>15</v>
      </c>
      <c r="G3396" t="s">
        <v>10</v>
      </c>
      <c r="H3396" t="s">
        <v>11</v>
      </c>
      <c r="I3396" t="s">
        <v>12</v>
      </c>
      <c r="J3396">
        <f t="shared" si="104"/>
        <v>14</v>
      </c>
      <c r="K3396" t="str">
        <f t="shared" si="105"/>
        <v>Budget</v>
      </c>
    </row>
    <row r="3397" spans="2:11" x14ac:dyDescent="0.25">
      <c r="B3397" t="s">
        <v>110</v>
      </c>
      <c r="C3397">
        <v>2017</v>
      </c>
      <c r="D3397" s="1">
        <v>220000</v>
      </c>
      <c r="E3397">
        <v>20000</v>
      </c>
      <c r="F3397" t="s">
        <v>9</v>
      </c>
      <c r="G3397" t="s">
        <v>10</v>
      </c>
      <c r="H3397" t="s">
        <v>11</v>
      </c>
      <c r="I3397" t="s">
        <v>12</v>
      </c>
      <c r="J3397">
        <f t="shared" si="104"/>
        <v>9</v>
      </c>
      <c r="K3397" t="str">
        <f t="shared" si="105"/>
        <v>Budget</v>
      </c>
    </row>
    <row r="3398" spans="2:11" x14ac:dyDescent="0.25">
      <c r="B3398" t="s">
        <v>1468</v>
      </c>
      <c r="C3398">
        <v>2018</v>
      </c>
      <c r="D3398" s="1">
        <v>784000</v>
      </c>
      <c r="E3398">
        <v>40000</v>
      </c>
      <c r="F3398" t="s">
        <v>15</v>
      </c>
      <c r="G3398" t="s">
        <v>10</v>
      </c>
      <c r="H3398" t="s">
        <v>11</v>
      </c>
      <c r="I3398" t="s">
        <v>12</v>
      </c>
      <c r="J3398">
        <f t="shared" ref="J3398:J3461" si="106">2026 - C3398</f>
        <v>8</v>
      </c>
      <c r="K3398" t="str">
        <f t="shared" ref="K3398:K3461" si="107">IF(D3398&lt;500000,"Budget",IF(D3398&lt;=1000000,"Mid Range","Premium"))</f>
        <v>Mid Range</v>
      </c>
    </row>
    <row r="3399" spans="2:11" x14ac:dyDescent="0.25">
      <c r="B3399" t="s">
        <v>1469</v>
      </c>
      <c r="C3399">
        <v>2017</v>
      </c>
      <c r="D3399" s="1">
        <v>500000</v>
      </c>
      <c r="E3399">
        <v>50000</v>
      </c>
      <c r="F3399" t="s">
        <v>9</v>
      </c>
      <c r="G3399" t="s">
        <v>10</v>
      </c>
      <c r="H3399" t="s">
        <v>11</v>
      </c>
      <c r="I3399" t="s">
        <v>12</v>
      </c>
      <c r="J3399">
        <f t="shared" si="106"/>
        <v>9</v>
      </c>
      <c r="K3399" t="str">
        <f t="shared" si="107"/>
        <v>Mid Range</v>
      </c>
    </row>
    <row r="3400" spans="2:11" x14ac:dyDescent="0.25">
      <c r="B3400" t="s">
        <v>136</v>
      </c>
      <c r="C3400">
        <v>2018</v>
      </c>
      <c r="D3400" s="1">
        <v>350000</v>
      </c>
      <c r="E3400">
        <v>20000</v>
      </c>
      <c r="F3400" t="s">
        <v>9</v>
      </c>
      <c r="G3400" t="s">
        <v>10</v>
      </c>
      <c r="H3400" t="s">
        <v>11</v>
      </c>
      <c r="I3400" t="s">
        <v>12</v>
      </c>
      <c r="J3400">
        <f t="shared" si="106"/>
        <v>8</v>
      </c>
      <c r="K3400" t="str">
        <f t="shared" si="107"/>
        <v>Budget</v>
      </c>
    </row>
    <row r="3401" spans="2:11" x14ac:dyDescent="0.25">
      <c r="B3401" t="s">
        <v>1470</v>
      </c>
      <c r="C3401">
        <v>2018</v>
      </c>
      <c r="D3401" s="1">
        <v>1400000</v>
      </c>
      <c r="E3401">
        <v>50000</v>
      </c>
      <c r="F3401" t="s">
        <v>15</v>
      </c>
      <c r="G3401" t="s">
        <v>10</v>
      </c>
      <c r="H3401" t="s">
        <v>28</v>
      </c>
      <c r="I3401" t="s">
        <v>12</v>
      </c>
      <c r="J3401">
        <f t="shared" si="106"/>
        <v>8</v>
      </c>
      <c r="K3401" t="str">
        <f t="shared" si="107"/>
        <v>Premium</v>
      </c>
    </row>
    <row r="3402" spans="2:11" x14ac:dyDescent="0.25">
      <c r="B3402" t="s">
        <v>1471</v>
      </c>
      <c r="C3402">
        <v>2014</v>
      </c>
      <c r="D3402" s="1">
        <v>600000</v>
      </c>
      <c r="E3402">
        <v>100000</v>
      </c>
      <c r="F3402" t="s">
        <v>15</v>
      </c>
      <c r="G3402" t="s">
        <v>10</v>
      </c>
      <c r="H3402" t="s">
        <v>11</v>
      </c>
      <c r="I3402" t="s">
        <v>18</v>
      </c>
      <c r="J3402">
        <f t="shared" si="106"/>
        <v>12</v>
      </c>
      <c r="K3402" t="str">
        <f t="shared" si="107"/>
        <v>Mid Range</v>
      </c>
    </row>
    <row r="3403" spans="2:11" x14ac:dyDescent="0.25">
      <c r="B3403" t="s">
        <v>753</v>
      </c>
      <c r="C3403">
        <v>2019</v>
      </c>
      <c r="D3403" s="1">
        <v>525000</v>
      </c>
      <c r="E3403">
        <v>9400</v>
      </c>
      <c r="F3403" t="s">
        <v>9</v>
      </c>
      <c r="G3403" t="s">
        <v>10</v>
      </c>
      <c r="H3403" t="s">
        <v>11</v>
      </c>
      <c r="I3403" t="s">
        <v>12</v>
      </c>
      <c r="J3403">
        <f t="shared" si="106"/>
        <v>7</v>
      </c>
      <c r="K3403" t="str">
        <f t="shared" si="107"/>
        <v>Mid Range</v>
      </c>
    </row>
    <row r="3404" spans="2:11" x14ac:dyDescent="0.25">
      <c r="B3404" t="s">
        <v>132</v>
      </c>
      <c r="C3404">
        <v>2017</v>
      </c>
      <c r="D3404" s="1">
        <v>930000</v>
      </c>
      <c r="E3404">
        <v>12000</v>
      </c>
      <c r="F3404" t="s">
        <v>15</v>
      </c>
      <c r="G3404" t="s">
        <v>10</v>
      </c>
      <c r="H3404" t="s">
        <v>11</v>
      </c>
      <c r="I3404" t="s">
        <v>12</v>
      </c>
      <c r="J3404">
        <f t="shared" si="106"/>
        <v>9</v>
      </c>
      <c r="K3404" t="str">
        <f t="shared" si="107"/>
        <v>Mid Range</v>
      </c>
    </row>
    <row r="3405" spans="2:11" x14ac:dyDescent="0.25">
      <c r="B3405" t="s">
        <v>297</v>
      </c>
      <c r="C3405">
        <v>2017</v>
      </c>
      <c r="D3405" s="1">
        <v>440000</v>
      </c>
      <c r="E3405">
        <v>14100</v>
      </c>
      <c r="F3405" t="s">
        <v>24</v>
      </c>
      <c r="G3405" t="s">
        <v>27</v>
      </c>
      <c r="H3405" t="s">
        <v>11</v>
      </c>
      <c r="I3405" t="s">
        <v>12</v>
      </c>
      <c r="J3405">
        <f t="shared" si="106"/>
        <v>9</v>
      </c>
      <c r="K3405" t="str">
        <f t="shared" si="107"/>
        <v>Budget</v>
      </c>
    </row>
    <row r="3406" spans="2:11" x14ac:dyDescent="0.25">
      <c r="B3406" t="s">
        <v>1043</v>
      </c>
      <c r="C3406">
        <v>2016</v>
      </c>
      <c r="D3406" s="1">
        <v>434999</v>
      </c>
      <c r="E3406">
        <v>21000</v>
      </c>
      <c r="F3406" t="s">
        <v>9</v>
      </c>
      <c r="G3406" t="s">
        <v>27</v>
      </c>
      <c r="H3406" t="s">
        <v>11</v>
      </c>
      <c r="I3406" t="s">
        <v>12</v>
      </c>
      <c r="J3406">
        <f t="shared" si="106"/>
        <v>10</v>
      </c>
      <c r="K3406" t="str">
        <f t="shared" si="107"/>
        <v>Budget</v>
      </c>
    </row>
    <row r="3407" spans="2:11" x14ac:dyDescent="0.25">
      <c r="B3407" t="s">
        <v>426</v>
      </c>
      <c r="C3407">
        <v>2011</v>
      </c>
      <c r="D3407" s="1">
        <v>250000</v>
      </c>
      <c r="E3407">
        <v>28000</v>
      </c>
      <c r="F3407" t="s">
        <v>9</v>
      </c>
      <c r="G3407" t="s">
        <v>27</v>
      </c>
      <c r="H3407" t="s">
        <v>11</v>
      </c>
      <c r="I3407" t="s">
        <v>12</v>
      </c>
      <c r="J3407">
        <f t="shared" si="106"/>
        <v>15</v>
      </c>
      <c r="K3407" t="str">
        <f t="shared" si="107"/>
        <v>Budget</v>
      </c>
    </row>
    <row r="3408" spans="2:11" x14ac:dyDescent="0.25">
      <c r="B3408" t="s">
        <v>234</v>
      </c>
      <c r="C3408">
        <v>2017</v>
      </c>
      <c r="D3408" s="1">
        <v>940000</v>
      </c>
      <c r="E3408">
        <v>35000</v>
      </c>
      <c r="F3408" t="s">
        <v>15</v>
      </c>
      <c r="G3408" t="s">
        <v>27</v>
      </c>
      <c r="H3408" t="s">
        <v>11</v>
      </c>
      <c r="I3408" t="s">
        <v>12</v>
      </c>
      <c r="J3408">
        <f t="shared" si="106"/>
        <v>9</v>
      </c>
      <c r="K3408" t="str">
        <f t="shared" si="107"/>
        <v>Mid Range</v>
      </c>
    </row>
    <row r="3409" spans="2:11" x14ac:dyDescent="0.25">
      <c r="B3409" t="s">
        <v>1472</v>
      </c>
      <c r="C3409">
        <v>2017</v>
      </c>
      <c r="D3409" s="1">
        <v>1050000</v>
      </c>
      <c r="E3409">
        <v>31000</v>
      </c>
      <c r="F3409" t="s">
        <v>15</v>
      </c>
      <c r="G3409" t="s">
        <v>27</v>
      </c>
      <c r="H3409" t="s">
        <v>28</v>
      </c>
      <c r="I3409" t="s">
        <v>12</v>
      </c>
      <c r="J3409">
        <f t="shared" si="106"/>
        <v>9</v>
      </c>
      <c r="K3409" t="str">
        <f t="shared" si="107"/>
        <v>Premium</v>
      </c>
    </row>
    <row r="3410" spans="2:11" x14ac:dyDescent="0.25">
      <c r="B3410" t="s">
        <v>197</v>
      </c>
      <c r="C3410">
        <v>2016</v>
      </c>
      <c r="D3410" s="1">
        <v>825000</v>
      </c>
      <c r="E3410">
        <v>58000</v>
      </c>
      <c r="F3410" t="s">
        <v>15</v>
      </c>
      <c r="G3410" t="s">
        <v>27</v>
      </c>
      <c r="H3410" t="s">
        <v>11</v>
      </c>
      <c r="I3410" t="s">
        <v>12</v>
      </c>
      <c r="J3410">
        <f t="shared" si="106"/>
        <v>10</v>
      </c>
      <c r="K3410" t="str">
        <f t="shared" si="107"/>
        <v>Mid Range</v>
      </c>
    </row>
    <row r="3411" spans="2:11" x14ac:dyDescent="0.25">
      <c r="B3411" t="s">
        <v>996</v>
      </c>
      <c r="C3411">
        <v>2012</v>
      </c>
      <c r="D3411" s="1">
        <v>229999</v>
      </c>
      <c r="E3411">
        <v>25000</v>
      </c>
      <c r="F3411" t="s">
        <v>9</v>
      </c>
      <c r="G3411" t="s">
        <v>10</v>
      </c>
      <c r="H3411" t="s">
        <v>11</v>
      </c>
      <c r="I3411" t="s">
        <v>12</v>
      </c>
      <c r="J3411">
        <f t="shared" si="106"/>
        <v>14</v>
      </c>
      <c r="K3411" t="str">
        <f t="shared" si="107"/>
        <v>Budget</v>
      </c>
    </row>
    <row r="3412" spans="2:11" x14ac:dyDescent="0.25">
      <c r="B3412" t="s">
        <v>142</v>
      </c>
      <c r="C3412">
        <v>2011</v>
      </c>
      <c r="D3412" s="1">
        <v>375000</v>
      </c>
      <c r="E3412">
        <v>72000</v>
      </c>
      <c r="F3412" t="s">
        <v>9</v>
      </c>
      <c r="G3412" t="s">
        <v>27</v>
      </c>
      <c r="H3412" t="s">
        <v>11</v>
      </c>
      <c r="I3412" t="s">
        <v>12</v>
      </c>
      <c r="J3412">
        <f t="shared" si="106"/>
        <v>15</v>
      </c>
      <c r="K3412" t="str">
        <f t="shared" si="107"/>
        <v>Budget</v>
      </c>
    </row>
    <row r="3413" spans="2:11" x14ac:dyDescent="0.25">
      <c r="B3413" t="s">
        <v>483</v>
      </c>
      <c r="C3413">
        <v>2013</v>
      </c>
      <c r="D3413" s="1">
        <v>640000</v>
      </c>
      <c r="E3413">
        <v>89000</v>
      </c>
      <c r="F3413" t="s">
        <v>15</v>
      </c>
      <c r="G3413" t="s">
        <v>27</v>
      </c>
      <c r="H3413" t="s">
        <v>11</v>
      </c>
      <c r="I3413" t="s">
        <v>12</v>
      </c>
      <c r="J3413">
        <f t="shared" si="106"/>
        <v>13</v>
      </c>
      <c r="K3413" t="str">
        <f t="shared" si="107"/>
        <v>Mid Range</v>
      </c>
    </row>
    <row r="3414" spans="2:11" x14ac:dyDescent="0.25">
      <c r="B3414" t="s">
        <v>74</v>
      </c>
      <c r="C3414">
        <v>2012</v>
      </c>
      <c r="D3414" s="1">
        <v>800000</v>
      </c>
      <c r="E3414">
        <v>160000</v>
      </c>
      <c r="F3414" t="s">
        <v>15</v>
      </c>
      <c r="G3414" t="s">
        <v>27</v>
      </c>
      <c r="H3414" t="s">
        <v>11</v>
      </c>
      <c r="I3414" t="s">
        <v>12</v>
      </c>
      <c r="J3414">
        <f t="shared" si="106"/>
        <v>14</v>
      </c>
      <c r="K3414" t="str">
        <f t="shared" si="107"/>
        <v>Mid Range</v>
      </c>
    </row>
    <row r="3415" spans="2:11" x14ac:dyDescent="0.25">
      <c r="B3415" t="s">
        <v>989</v>
      </c>
      <c r="C3415">
        <v>2012</v>
      </c>
      <c r="D3415" s="1">
        <v>130000</v>
      </c>
      <c r="E3415">
        <v>30000</v>
      </c>
      <c r="F3415" t="s">
        <v>9</v>
      </c>
      <c r="G3415" t="s">
        <v>10</v>
      </c>
      <c r="H3415" t="s">
        <v>11</v>
      </c>
      <c r="I3415" t="s">
        <v>49</v>
      </c>
      <c r="J3415">
        <f t="shared" si="106"/>
        <v>14</v>
      </c>
      <c r="K3415" t="str">
        <f t="shared" si="107"/>
        <v>Budget</v>
      </c>
    </row>
    <row r="3416" spans="2:11" x14ac:dyDescent="0.25">
      <c r="B3416" t="s">
        <v>133</v>
      </c>
      <c r="C3416">
        <v>2014</v>
      </c>
      <c r="D3416" s="1">
        <v>300000</v>
      </c>
      <c r="E3416">
        <v>37555</v>
      </c>
      <c r="F3416" t="s">
        <v>9</v>
      </c>
      <c r="G3416" t="s">
        <v>27</v>
      </c>
      <c r="H3416" t="s">
        <v>11</v>
      </c>
      <c r="I3416" t="s">
        <v>12</v>
      </c>
      <c r="J3416">
        <f t="shared" si="106"/>
        <v>12</v>
      </c>
      <c r="K3416" t="str">
        <f t="shared" si="107"/>
        <v>Budget</v>
      </c>
    </row>
    <row r="3417" spans="2:11" x14ac:dyDescent="0.25">
      <c r="B3417" t="s">
        <v>54</v>
      </c>
      <c r="C3417">
        <v>2018</v>
      </c>
      <c r="D3417" s="1">
        <v>440000</v>
      </c>
      <c r="E3417">
        <v>14000</v>
      </c>
      <c r="F3417" t="s">
        <v>9</v>
      </c>
      <c r="G3417" t="s">
        <v>27</v>
      </c>
      <c r="H3417" t="s">
        <v>11</v>
      </c>
      <c r="I3417" t="s">
        <v>12</v>
      </c>
      <c r="J3417">
        <f t="shared" si="106"/>
        <v>8</v>
      </c>
      <c r="K3417" t="str">
        <f t="shared" si="107"/>
        <v>Budget</v>
      </c>
    </row>
    <row r="3418" spans="2:11" x14ac:dyDescent="0.25">
      <c r="B3418" t="s">
        <v>473</v>
      </c>
      <c r="C3418">
        <v>2014</v>
      </c>
      <c r="D3418" s="1">
        <v>595000</v>
      </c>
      <c r="E3418">
        <v>56600</v>
      </c>
      <c r="F3418" t="s">
        <v>24</v>
      </c>
      <c r="G3418" t="s">
        <v>27</v>
      </c>
      <c r="H3418" t="s">
        <v>11</v>
      </c>
      <c r="I3418" t="s">
        <v>12</v>
      </c>
      <c r="J3418">
        <f t="shared" si="106"/>
        <v>12</v>
      </c>
      <c r="K3418" t="str">
        <f t="shared" si="107"/>
        <v>Mid Range</v>
      </c>
    </row>
    <row r="3419" spans="2:11" x14ac:dyDescent="0.25">
      <c r="B3419" t="s">
        <v>750</v>
      </c>
      <c r="C3419">
        <v>2013</v>
      </c>
      <c r="D3419" s="1">
        <v>450000</v>
      </c>
      <c r="E3419">
        <v>110000</v>
      </c>
      <c r="F3419" t="s">
        <v>15</v>
      </c>
      <c r="G3419" t="s">
        <v>10</v>
      </c>
      <c r="H3419" t="s">
        <v>11</v>
      </c>
      <c r="I3419" t="s">
        <v>12</v>
      </c>
      <c r="J3419">
        <f t="shared" si="106"/>
        <v>13</v>
      </c>
      <c r="K3419" t="str">
        <f t="shared" si="107"/>
        <v>Budget</v>
      </c>
    </row>
    <row r="3420" spans="2:11" x14ac:dyDescent="0.25">
      <c r="B3420" t="s">
        <v>606</v>
      </c>
      <c r="C3420">
        <v>2017</v>
      </c>
      <c r="D3420" s="1">
        <v>690000</v>
      </c>
      <c r="E3420">
        <v>50000</v>
      </c>
      <c r="F3420" t="s">
        <v>15</v>
      </c>
      <c r="G3420" t="s">
        <v>10</v>
      </c>
      <c r="H3420" t="s">
        <v>11</v>
      </c>
      <c r="I3420" t="s">
        <v>12</v>
      </c>
      <c r="J3420">
        <f t="shared" si="106"/>
        <v>9</v>
      </c>
      <c r="K3420" t="str">
        <f t="shared" si="107"/>
        <v>Mid Range</v>
      </c>
    </row>
    <row r="3421" spans="2:11" x14ac:dyDescent="0.25">
      <c r="B3421" t="s">
        <v>241</v>
      </c>
      <c r="C3421">
        <v>2019</v>
      </c>
      <c r="D3421" s="1">
        <v>300000</v>
      </c>
      <c r="E3421">
        <v>5000</v>
      </c>
      <c r="F3421" t="s">
        <v>9</v>
      </c>
      <c r="G3421" t="s">
        <v>10</v>
      </c>
      <c r="H3421" t="s">
        <v>11</v>
      </c>
      <c r="I3421" t="s">
        <v>12</v>
      </c>
      <c r="J3421">
        <f t="shared" si="106"/>
        <v>7</v>
      </c>
      <c r="K3421" t="str">
        <f t="shared" si="107"/>
        <v>Budget</v>
      </c>
    </row>
    <row r="3422" spans="2:11" x14ac:dyDescent="0.25">
      <c r="B3422" t="s">
        <v>25</v>
      </c>
      <c r="C3422">
        <v>2014</v>
      </c>
      <c r="D3422" s="1">
        <v>170000</v>
      </c>
      <c r="E3422">
        <v>100000</v>
      </c>
      <c r="F3422" t="s">
        <v>9</v>
      </c>
      <c r="G3422" t="s">
        <v>10</v>
      </c>
      <c r="H3422" t="s">
        <v>11</v>
      </c>
      <c r="I3422" t="s">
        <v>18</v>
      </c>
      <c r="J3422">
        <f t="shared" si="106"/>
        <v>12</v>
      </c>
      <c r="K3422" t="str">
        <f t="shared" si="107"/>
        <v>Budget</v>
      </c>
    </row>
    <row r="3423" spans="2:11" x14ac:dyDescent="0.25">
      <c r="B3423" t="s">
        <v>1473</v>
      </c>
      <c r="C3423">
        <v>2012</v>
      </c>
      <c r="D3423" s="1">
        <v>280000</v>
      </c>
      <c r="E3423">
        <v>120000</v>
      </c>
      <c r="F3423" t="s">
        <v>15</v>
      </c>
      <c r="G3423" t="s">
        <v>10</v>
      </c>
      <c r="H3423" t="s">
        <v>11</v>
      </c>
      <c r="I3423" t="s">
        <v>12</v>
      </c>
      <c r="J3423">
        <f t="shared" si="106"/>
        <v>14</v>
      </c>
      <c r="K3423" t="str">
        <f t="shared" si="107"/>
        <v>Budget</v>
      </c>
    </row>
    <row r="3424" spans="2:11" x14ac:dyDescent="0.25">
      <c r="B3424" t="s">
        <v>317</v>
      </c>
      <c r="C3424">
        <v>2009</v>
      </c>
      <c r="D3424" s="1">
        <v>220000</v>
      </c>
      <c r="E3424">
        <v>67580</v>
      </c>
      <c r="F3424" t="s">
        <v>9</v>
      </c>
      <c r="G3424" t="s">
        <v>10</v>
      </c>
      <c r="H3424" t="s">
        <v>11</v>
      </c>
      <c r="I3424" t="s">
        <v>18</v>
      </c>
      <c r="J3424">
        <f t="shared" si="106"/>
        <v>17</v>
      </c>
      <c r="K3424" t="str">
        <f t="shared" si="107"/>
        <v>Budget</v>
      </c>
    </row>
    <row r="3425" spans="2:11" x14ac:dyDescent="0.25">
      <c r="B3425" t="s">
        <v>56</v>
      </c>
      <c r="C3425">
        <v>2009</v>
      </c>
      <c r="D3425" s="1">
        <v>140000</v>
      </c>
      <c r="E3425">
        <v>100000</v>
      </c>
      <c r="F3425" t="s">
        <v>9</v>
      </c>
      <c r="G3425" t="s">
        <v>10</v>
      </c>
      <c r="H3425" t="s">
        <v>11</v>
      </c>
      <c r="I3425" t="s">
        <v>49</v>
      </c>
      <c r="J3425">
        <f t="shared" si="106"/>
        <v>17</v>
      </c>
      <c r="K3425" t="str">
        <f t="shared" si="107"/>
        <v>Budget</v>
      </c>
    </row>
    <row r="3426" spans="2:11" x14ac:dyDescent="0.25">
      <c r="B3426" t="s">
        <v>774</v>
      </c>
      <c r="C3426">
        <v>2004</v>
      </c>
      <c r="D3426" s="1">
        <v>45000</v>
      </c>
      <c r="E3426">
        <v>60000</v>
      </c>
      <c r="F3426" t="s">
        <v>9</v>
      </c>
      <c r="G3426" t="s">
        <v>10</v>
      </c>
      <c r="H3426" t="s">
        <v>11</v>
      </c>
      <c r="I3426" t="s">
        <v>12</v>
      </c>
      <c r="J3426">
        <f t="shared" si="106"/>
        <v>22</v>
      </c>
      <c r="K3426" t="str">
        <f t="shared" si="107"/>
        <v>Budget</v>
      </c>
    </row>
    <row r="3427" spans="2:11" x14ac:dyDescent="0.25">
      <c r="B3427" t="s">
        <v>180</v>
      </c>
      <c r="C3427">
        <v>2014</v>
      </c>
      <c r="D3427" s="1">
        <v>200000</v>
      </c>
      <c r="E3427">
        <v>125000</v>
      </c>
      <c r="F3427" t="s">
        <v>15</v>
      </c>
      <c r="G3427" t="s">
        <v>10</v>
      </c>
      <c r="H3427" t="s">
        <v>11</v>
      </c>
      <c r="I3427" t="s">
        <v>18</v>
      </c>
      <c r="J3427">
        <f t="shared" si="106"/>
        <v>12</v>
      </c>
      <c r="K3427" t="str">
        <f t="shared" si="107"/>
        <v>Budget</v>
      </c>
    </row>
    <row r="3428" spans="2:11" x14ac:dyDescent="0.25">
      <c r="B3428" t="s">
        <v>859</v>
      </c>
      <c r="C3428">
        <v>2008</v>
      </c>
      <c r="D3428" s="1">
        <v>325000</v>
      </c>
      <c r="E3428">
        <v>120000</v>
      </c>
      <c r="F3428" t="s">
        <v>15</v>
      </c>
      <c r="G3428" t="s">
        <v>10</v>
      </c>
      <c r="H3428" t="s">
        <v>11</v>
      </c>
      <c r="I3428" t="s">
        <v>18</v>
      </c>
      <c r="J3428">
        <f t="shared" si="106"/>
        <v>18</v>
      </c>
      <c r="K3428" t="str">
        <f t="shared" si="107"/>
        <v>Budget</v>
      </c>
    </row>
    <row r="3429" spans="2:11" x14ac:dyDescent="0.25">
      <c r="B3429" t="s">
        <v>1199</v>
      </c>
      <c r="C3429">
        <v>2010</v>
      </c>
      <c r="D3429" s="1">
        <v>300000</v>
      </c>
      <c r="E3429">
        <v>130000</v>
      </c>
      <c r="F3429" t="s">
        <v>15</v>
      </c>
      <c r="G3429" t="s">
        <v>10</v>
      </c>
      <c r="H3429" t="s">
        <v>11</v>
      </c>
      <c r="I3429" t="s">
        <v>18</v>
      </c>
      <c r="J3429">
        <f t="shared" si="106"/>
        <v>16</v>
      </c>
      <c r="K3429" t="str">
        <f t="shared" si="107"/>
        <v>Budget</v>
      </c>
    </row>
    <row r="3430" spans="2:11" x14ac:dyDescent="0.25">
      <c r="B3430" t="s">
        <v>8</v>
      </c>
      <c r="C3430">
        <v>2009</v>
      </c>
      <c r="D3430" s="1">
        <v>120000</v>
      </c>
      <c r="E3430">
        <v>250000</v>
      </c>
      <c r="F3430" t="s">
        <v>9</v>
      </c>
      <c r="G3430" t="s">
        <v>10</v>
      </c>
      <c r="H3430" t="s">
        <v>11</v>
      </c>
      <c r="I3430" t="s">
        <v>18</v>
      </c>
      <c r="J3430">
        <f t="shared" si="106"/>
        <v>17</v>
      </c>
      <c r="K3430" t="str">
        <f t="shared" si="107"/>
        <v>Budget</v>
      </c>
    </row>
    <row r="3431" spans="2:11" x14ac:dyDescent="0.25">
      <c r="B3431" t="s">
        <v>1474</v>
      </c>
      <c r="C3431">
        <v>2015</v>
      </c>
      <c r="D3431" s="1">
        <v>280000</v>
      </c>
      <c r="E3431">
        <v>40000</v>
      </c>
      <c r="F3431" t="s">
        <v>15</v>
      </c>
      <c r="G3431" t="s">
        <v>10</v>
      </c>
      <c r="H3431" t="s">
        <v>11</v>
      </c>
      <c r="I3431" t="s">
        <v>12</v>
      </c>
      <c r="J3431">
        <f t="shared" si="106"/>
        <v>11</v>
      </c>
      <c r="K3431" t="str">
        <f t="shared" si="107"/>
        <v>Budget</v>
      </c>
    </row>
    <row r="3432" spans="2:11" x14ac:dyDescent="0.25">
      <c r="B3432" t="s">
        <v>1427</v>
      </c>
      <c r="C3432">
        <v>2013</v>
      </c>
      <c r="D3432" s="1">
        <v>225000</v>
      </c>
      <c r="E3432">
        <v>78000</v>
      </c>
      <c r="F3432" t="s">
        <v>15</v>
      </c>
      <c r="G3432" t="s">
        <v>27</v>
      </c>
      <c r="H3432" t="s">
        <v>11</v>
      </c>
      <c r="I3432" t="s">
        <v>12</v>
      </c>
      <c r="J3432">
        <f t="shared" si="106"/>
        <v>13</v>
      </c>
      <c r="K3432" t="str">
        <f t="shared" si="107"/>
        <v>Budget</v>
      </c>
    </row>
    <row r="3433" spans="2:11" x14ac:dyDescent="0.25">
      <c r="B3433" t="s">
        <v>1475</v>
      </c>
      <c r="C3433">
        <v>2015</v>
      </c>
      <c r="D3433" s="1">
        <v>750000</v>
      </c>
      <c r="E3433">
        <v>48238</v>
      </c>
      <c r="F3433" t="s">
        <v>9</v>
      </c>
      <c r="G3433" t="s">
        <v>407</v>
      </c>
      <c r="H3433" t="s">
        <v>28</v>
      </c>
      <c r="I3433" t="s">
        <v>12</v>
      </c>
      <c r="J3433">
        <f t="shared" si="106"/>
        <v>11</v>
      </c>
      <c r="K3433" t="str">
        <f t="shared" si="107"/>
        <v>Mid Range</v>
      </c>
    </row>
    <row r="3434" spans="2:11" x14ac:dyDescent="0.25">
      <c r="B3434" t="s">
        <v>1355</v>
      </c>
      <c r="C3434">
        <v>2016</v>
      </c>
      <c r="D3434" s="1">
        <v>535000</v>
      </c>
      <c r="E3434">
        <v>38365</v>
      </c>
      <c r="F3434" t="s">
        <v>9</v>
      </c>
      <c r="G3434" t="s">
        <v>27</v>
      </c>
      <c r="H3434" t="s">
        <v>11</v>
      </c>
      <c r="I3434" t="s">
        <v>12</v>
      </c>
      <c r="J3434">
        <f t="shared" si="106"/>
        <v>10</v>
      </c>
      <c r="K3434" t="str">
        <f t="shared" si="107"/>
        <v>Mid Range</v>
      </c>
    </row>
    <row r="3435" spans="2:11" x14ac:dyDescent="0.25">
      <c r="B3435" t="s">
        <v>1111</v>
      </c>
      <c r="C3435">
        <v>2016</v>
      </c>
      <c r="D3435" s="1">
        <v>1250000</v>
      </c>
      <c r="E3435">
        <v>23670</v>
      </c>
      <c r="F3435" t="s">
        <v>15</v>
      </c>
      <c r="G3435" t="s">
        <v>407</v>
      </c>
      <c r="H3435" t="s">
        <v>11</v>
      </c>
      <c r="I3435" t="s">
        <v>12</v>
      </c>
      <c r="J3435">
        <f t="shared" si="106"/>
        <v>10</v>
      </c>
      <c r="K3435" t="str">
        <f t="shared" si="107"/>
        <v>Premium</v>
      </c>
    </row>
    <row r="3436" spans="2:11" x14ac:dyDescent="0.25">
      <c r="B3436" t="s">
        <v>909</v>
      </c>
      <c r="C3436">
        <v>2017</v>
      </c>
      <c r="D3436" s="1">
        <v>650000</v>
      </c>
      <c r="E3436">
        <v>49834</v>
      </c>
      <c r="F3436" t="s">
        <v>9</v>
      </c>
      <c r="G3436" t="s">
        <v>407</v>
      </c>
      <c r="H3436" t="s">
        <v>11</v>
      </c>
      <c r="I3436" t="s">
        <v>12</v>
      </c>
      <c r="J3436">
        <f t="shared" si="106"/>
        <v>9</v>
      </c>
      <c r="K3436" t="str">
        <f t="shared" si="107"/>
        <v>Mid Range</v>
      </c>
    </row>
    <row r="3437" spans="2:11" x14ac:dyDescent="0.25">
      <c r="B3437" t="s">
        <v>87</v>
      </c>
      <c r="C3437">
        <v>2013</v>
      </c>
      <c r="D3437" s="1">
        <v>295000</v>
      </c>
      <c r="E3437">
        <v>57353</v>
      </c>
      <c r="F3437" t="s">
        <v>9</v>
      </c>
      <c r="G3437" t="s">
        <v>407</v>
      </c>
      <c r="H3437" t="s">
        <v>11</v>
      </c>
      <c r="I3437" t="s">
        <v>12</v>
      </c>
      <c r="J3437">
        <f t="shared" si="106"/>
        <v>13</v>
      </c>
      <c r="K3437" t="str">
        <f t="shared" si="107"/>
        <v>Budget</v>
      </c>
    </row>
    <row r="3438" spans="2:11" x14ac:dyDescent="0.25">
      <c r="B3438" t="s">
        <v>1200</v>
      </c>
      <c r="C3438">
        <v>2015</v>
      </c>
      <c r="D3438" s="1">
        <v>480000</v>
      </c>
      <c r="E3438">
        <v>68308</v>
      </c>
      <c r="F3438" t="s">
        <v>15</v>
      </c>
      <c r="G3438" t="s">
        <v>407</v>
      </c>
      <c r="H3438" t="s">
        <v>11</v>
      </c>
      <c r="I3438" t="s">
        <v>12</v>
      </c>
      <c r="J3438">
        <f t="shared" si="106"/>
        <v>11</v>
      </c>
      <c r="K3438" t="str">
        <f t="shared" si="107"/>
        <v>Budget</v>
      </c>
    </row>
    <row r="3439" spans="2:11" x14ac:dyDescent="0.25">
      <c r="B3439" t="s">
        <v>764</v>
      </c>
      <c r="C3439">
        <v>2015</v>
      </c>
      <c r="D3439" s="1">
        <v>575000</v>
      </c>
      <c r="E3439">
        <v>63240</v>
      </c>
      <c r="F3439" t="s">
        <v>15</v>
      </c>
      <c r="G3439" t="s">
        <v>407</v>
      </c>
      <c r="H3439" t="s">
        <v>11</v>
      </c>
      <c r="I3439" t="s">
        <v>12</v>
      </c>
      <c r="J3439">
        <f t="shared" si="106"/>
        <v>11</v>
      </c>
      <c r="K3439" t="str">
        <f t="shared" si="107"/>
        <v>Mid Range</v>
      </c>
    </row>
    <row r="3440" spans="2:11" x14ac:dyDescent="0.25">
      <c r="B3440" t="s">
        <v>1476</v>
      </c>
      <c r="C3440">
        <v>2020</v>
      </c>
      <c r="D3440" s="1">
        <v>426000</v>
      </c>
      <c r="E3440">
        <v>1000</v>
      </c>
      <c r="F3440" t="s">
        <v>15</v>
      </c>
      <c r="G3440" t="s">
        <v>10</v>
      </c>
      <c r="H3440" t="s">
        <v>11</v>
      </c>
      <c r="I3440" t="s">
        <v>12</v>
      </c>
      <c r="J3440">
        <f t="shared" si="106"/>
        <v>6</v>
      </c>
      <c r="K3440" t="str">
        <f t="shared" si="107"/>
        <v>Budget</v>
      </c>
    </row>
    <row r="3441" spans="2:11" x14ac:dyDescent="0.25">
      <c r="B3441" t="s">
        <v>266</v>
      </c>
      <c r="C3441">
        <v>2015</v>
      </c>
      <c r="D3441" s="1">
        <v>295000</v>
      </c>
      <c r="E3441">
        <v>90000</v>
      </c>
      <c r="F3441" t="s">
        <v>15</v>
      </c>
      <c r="G3441" t="s">
        <v>10</v>
      </c>
      <c r="H3441" t="s">
        <v>11</v>
      </c>
      <c r="I3441" t="s">
        <v>49</v>
      </c>
      <c r="J3441">
        <f t="shared" si="106"/>
        <v>11</v>
      </c>
      <c r="K3441" t="str">
        <f t="shared" si="107"/>
        <v>Budget</v>
      </c>
    </row>
    <row r="3442" spans="2:11" x14ac:dyDescent="0.25">
      <c r="B3442" t="s">
        <v>182</v>
      </c>
      <c r="C3442">
        <v>2011</v>
      </c>
      <c r="D3442" s="1">
        <v>330000</v>
      </c>
      <c r="E3442">
        <v>100000</v>
      </c>
      <c r="F3442" t="s">
        <v>15</v>
      </c>
      <c r="G3442" t="s">
        <v>10</v>
      </c>
      <c r="H3442" t="s">
        <v>11</v>
      </c>
      <c r="I3442" t="s">
        <v>18</v>
      </c>
      <c r="J3442">
        <f t="shared" si="106"/>
        <v>15</v>
      </c>
      <c r="K3442" t="str">
        <f t="shared" si="107"/>
        <v>Budget</v>
      </c>
    </row>
    <row r="3443" spans="2:11" x14ac:dyDescent="0.25">
      <c r="B3443" t="s">
        <v>1271</v>
      </c>
      <c r="C3443">
        <v>2009</v>
      </c>
      <c r="D3443" s="1">
        <v>150000</v>
      </c>
      <c r="E3443">
        <v>80000</v>
      </c>
      <c r="F3443" t="s">
        <v>9</v>
      </c>
      <c r="G3443" t="s">
        <v>10</v>
      </c>
      <c r="H3443" t="s">
        <v>11</v>
      </c>
      <c r="I3443" t="s">
        <v>12</v>
      </c>
      <c r="J3443">
        <f t="shared" si="106"/>
        <v>17</v>
      </c>
      <c r="K3443" t="str">
        <f t="shared" si="107"/>
        <v>Budget</v>
      </c>
    </row>
    <row r="3444" spans="2:11" x14ac:dyDescent="0.25">
      <c r="B3444" t="s">
        <v>126</v>
      </c>
      <c r="C3444">
        <v>2016</v>
      </c>
      <c r="D3444" s="1">
        <v>927999</v>
      </c>
      <c r="E3444">
        <v>90000</v>
      </c>
      <c r="F3444" t="s">
        <v>15</v>
      </c>
      <c r="G3444" t="s">
        <v>10</v>
      </c>
      <c r="H3444" t="s">
        <v>11</v>
      </c>
      <c r="I3444" t="s">
        <v>12</v>
      </c>
      <c r="J3444">
        <f t="shared" si="106"/>
        <v>10</v>
      </c>
      <c r="K3444" t="str">
        <f t="shared" si="107"/>
        <v>Mid Range</v>
      </c>
    </row>
    <row r="3445" spans="2:11" x14ac:dyDescent="0.25">
      <c r="B3445" t="s">
        <v>507</v>
      </c>
      <c r="C3445">
        <v>2003</v>
      </c>
      <c r="D3445" s="1">
        <v>70000</v>
      </c>
      <c r="E3445">
        <v>60000</v>
      </c>
      <c r="F3445" t="s">
        <v>9</v>
      </c>
      <c r="G3445" t="s">
        <v>10</v>
      </c>
      <c r="H3445" t="s">
        <v>11</v>
      </c>
      <c r="I3445" t="s">
        <v>46</v>
      </c>
      <c r="J3445">
        <f t="shared" si="106"/>
        <v>23</v>
      </c>
      <c r="K3445" t="str">
        <f t="shared" si="107"/>
        <v>Budget</v>
      </c>
    </row>
    <row r="3446" spans="2:11" x14ac:dyDescent="0.25">
      <c r="B3446" t="s">
        <v>1477</v>
      </c>
      <c r="C3446">
        <v>2015</v>
      </c>
      <c r="D3446" s="1">
        <v>399000</v>
      </c>
      <c r="E3446">
        <v>55000</v>
      </c>
      <c r="F3446" t="s">
        <v>15</v>
      </c>
      <c r="G3446" t="s">
        <v>27</v>
      </c>
      <c r="H3446" t="s">
        <v>11</v>
      </c>
      <c r="I3446" t="s">
        <v>12</v>
      </c>
      <c r="J3446">
        <f t="shared" si="106"/>
        <v>11</v>
      </c>
      <c r="K3446" t="str">
        <f t="shared" si="107"/>
        <v>Budget</v>
      </c>
    </row>
    <row r="3447" spans="2:11" x14ac:dyDescent="0.25">
      <c r="B3447" t="s">
        <v>907</v>
      </c>
      <c r="C3447">
        <v>2015</v>
      </c>
      <c r="D3447" s="1">
        <v>350000</v>
      </c>
      <c r="E3447">
        <v>90000</v>
      </c>
      <c r="F3447" t="s">
        <v>15</v>
      </c>
      <c r="G3447" t="s">
        <v>10</v>
      </c>
      <c r="H3447" t="s">
        <v>11</v>
      </c>
      <c r="I3447" t="s">
        <v>12</v>
      </c>
      <c r="J3447">
        <f t="shared" si="106"/>
        <v>11</v>
      </c>
      <c r="K3447" t="str">
        <f t="shared" si="107"/>
        <v>Budget</v>
      </c>
    </row>
    <row r="3448" spans="2:11" x14ac:dyDescent="0.25">
      <c r="B3448" t="s">
        <v>1097</v>
      </c>
      <c r="C3448">
        <v>2006</v>
      </c>
      <c r="D3448" s="1">
        <v>125000</v>
      </c>
      <c r="E3448">
        <v>50000</v>
      </c>
      <c r="F3448" t="s">
        <v>15</v>
      </c>
      <c r="G3448" t="s">
        <v>10</v>
      </c>
      <c r="H3448" t="s">
        <v>11</v>
      </c>
      <c r="I3448" t="s">
        <v>18</v>
      </c>
      <c r="J3448">
        <f t="shared" si="106"/>
        <v>20</v>
      </c>
      <c r="K3448" t="str">
        <f t="shared" si="107"/>
        <v>Budget</v>
      </c>
    </row>
    <row r="3449" spans="2:11" x14ac:dyDescent="0.25">
      <c r="B3449" t="s">
        <v>663</v>
      </c>
      <c r="C3449">
        <v>2008</v>
      </c>
      <c r="D3449" s="1">
        <v>150000</v>
      </c>
      <c r="E3449">
        <v>90000</v>
      </c>
      <c r="F3449" t="s">
        <v>9</v>
      </c>
      <c r="G3449" t="s">
        <v>10</v>
      </c>
      <c r="H3449" t="s">
        <v>11</v>
      </c>
      <c r="I3449" t="s">
        <v>18</v>
      </c>
      <c r="J3449">
        <f t="shared" si="106"/>
        <v>18</v>
      </c>
      <c r="K3449" t="str">
        <f t="shared" si="107"/>
        <v>Budget</v>
      </c>
    </row>
    <row r="3450" spans="2:11" x14ac:dyDescent="0.25">
      <c r="B3450" t="s">
        <v>136</v>
      </c>
      <c r="C3450">
        <v>2015</v>
      </c>
      <c r="D3450" s="1">
        <v>250000</v>
      </c>
      <c r="E3450">
        <v>25000</v>
      </c>
      <c r="F3450" t="s">
        <v>9</v>
      </c>
      <c r="G3450" t="s">
        <v>10</v>
      </c>
      <c r="H3450" t="s">
        <v>11</v>
      </c>
      <c r="I3450" t="s">
        <v>12</v>
      </c>
      <c r="J3450">
        <f t="shared" si="106"/>
        <v>11</v>
      </c>
      <c r="K3450" t="str">
        <f t="shared" si="107"/>
        <v>Budget</v>
      </c>
    </row>
    <row r="3451" spans="2:11" x14ac:dyDescent="0.25">
      <c r="B3451" t="s">
        <v>243</v>
      </c>
      <c r="C3451">
        <v>2014</v>
      </c>
      <c r="D3451" s="1">
        <v>675000</v>
      </c>
      <c r="E3451">
        <v>61000</v>
      </c>
      <c r="F3451" t="s">
        <v>15</v>
      </c>
      <c r="G3451" t="s">
        <v>27</v>
      </c>
      <c r="H3451" t="s">
        <v>11</v>
      </c>
      <c r="I3451" t="s">
        <v>12</v>
      </c>
      <c r="J3451">
        <f t="shared" si="106"/>
        <v>12</v>
      </c>
      <c r="K3451" t="str">
        <f t="shared" si="107"/>
        <v>Mid Range</v>
      </c>
    </row>
    <row r="3452" spans="2:11" x14ac:dyDescent="0.25">
      <c r="B3452" t="s">
        <v>1233</v>
      </c>
      <c r="C3452">
        <v>2018</v>
      </c>
      <c r="D3452" s="1">
        <v>950000</v>
      </c>
      <c r="E3452">
        <v>30000</v>
      </c>
      <c r="F3452" t="s">
        <v>15</v>
      </c>
      <c r="G3452" t="s">
        <v>10</v>
      </c>
      <c r="H3452" t="s">
        <v>11</v>
      </c>
      <c r="I3452" t="s">
        <v>12</v>
      </c>
      <c r="J3452">
        <f t="shared" si="106"/>
        <v>8</v>
      </c>
      <c r="K3452" t="str">
        <f t="shared" si="107"/>
        <v>Mid Range</v>
      </c>
    </row>
    <row r="3453" spans="2:11" x14ac:dyDescent="0.25">
      <c r="B3453" t="s">
        <v>297</v>
      </c>
      <c r="C3453">
        <v>2018</v>
      </c>
      <c r="D3453" s="1">
        <v>409999</v>
      </c>
      <c r="E3453">
        <v>45000</v>
      </c>
      <c r="F3453" t="s">
        <v>24</v>
      </c>
      <c r="G3453" t="s">
        <v>10</v>
      </c>
      <c r="H3453" t="s">
        <v>11</v>
      </c>
      <c r="I3453" t="s">
        <v>12</v>
      </c>
      <c r="J3453">
        <f t="shared" si="106"/>
        <v>8</v>
      </c>
      <c r="K3453" t="str">
        <f t="shared" si="107"/>
        <v>Budget</v>
      </c>
    </row>
    <row r="3454" spans="2:11" x14ac:dyDescent="0.25">
      <c r="B3454" t="s">
        <v>1478</v>
      </c>
      <c r="C3454">
        <v>2011</v>
      </c>
      <c r="D3454" s="1">
        <v>225000</v>
      </c>
      <c r="E3454">
        <v>60000</v>
      </c>
      <c r="F3454" t="s">
        <v>15</v>
      </c>
      <c r="G3454" t="s">
        <v>10</v>
      </c>
      <c r="H3454" t="s">
        <v>11</v>
      </c>
      <c r="I3454" t="s">
        <v>12</v>
      </c>
      <c r="J3454">
        <f t="shared" si="106"/>
        <v>15</v>
      </c>
      <c r="K3454" t="str">
        <f t="shared" si="107"/>
        <v>Budget</v>
      </c>
    </row>
    <row r="3455" spans="2:11" x14ac:dyDescent="0.25">
      <c r="B3455" t="s">
        <v>1337</v>
      </c>
      <c r="C3455">
        <v>2008</v>
      </c>
      <c r="D3455" s="1">
        <v>350000</v>
      </c>
      <c r="E3455">
        <v>75000</v>
      </c>
      <c r="F3455" t="s">
        <v>9</v>
      </c>
      <c r="G3455" t="s">
        <v>10</v>
      </c>
      <c r="H3455" t="s">
        <v>11</v>
      </c>
      <c r="I3455" t="s">
        <v>18</v>
      </c>
      <c r="J3455">
        <f t="shared" si="106"/>
        <v>18</v>
      </c>
      <c r="K3455" t="str">
        <f t="shared" si="107"/>
        <v>Budget</v>
      </c>
    </row>
    <row r="3456" spans="2:11" x14ac:dyDescent="0.25">
      <c r="B3456" t="s">
        <v>286</v>
      </c>
      <c r="C3456">
        <v>2005</v>
      </c>
      <c r="D3456" s="1">
        <v>51111</v>
      </c>
      <c r="E3456">
        <v>140000</v>
      </c>
      <c r="F3456" t="s">
        <v>9</v>
      </c>
      <c r="G3456" t="s">
        <v>10</v>
      </c>
      <c r="H3456" t="s">
        <v>11</v>
      </c>
      <c r="I3456" t="s">
        <v>49</v>
      </c>
      <c r="J3456">
        <f t="shared" si="106"/>
        <v>21</v>
      </c>
      <c r="K3456" t="str">
        <f t="shared" si="107"/>
        <v>Budget</v>
      </c>
    </row>
    <row r="3457" spans="2:11" x14ac:dyDescent="0.25">
      <c r="B3457" t="s">
        <v>1479</v>
      </c>
      <c r="C3457">
        <v>2013</v>
      </c>
      <c r="D3457" s="1">
        <v>290000</v>
      </c>
      <c r="E3457">
        <v>56000</v>
      </c>
      <c r="F3457" t="s">
        <v>15</v>
      </c>
      <c r="G3457" t="s">
        <v>27</v>
      </c>
      <c r="H3457" t="s">
        <v>11</v>
      </c>
      <c r="I3457" t="s">
        <v>12</v>
      </c>
      <c r="J3457">
        <f t="shared" si="106"/>
        <v>13</v>
      </c>
      <c r="K3457" t="str">
        <f t="shared" si="107"/>
        <v>Budget</v>
      </c>
    </row>
    <row r="3458" spans="2:11" x14ac:dyDescent="0.25">
      <c r="B3458" t="s">
        <v>1480</v>
      </c>
      <c r="C3458">
        <v>2006</v>
      </c>
      <c r="D3458" s="1">
        <v>310000</v>
      </c>
      <c r="E3458">
        <v>62000</v>
      </c>
      <c r="F3458" t="s">
        <v>1481</v>
      </c>
      <c r="G3458" t="s">
        <v>27</v>
      </c>
      <c r="H3458" t="s">
        <v>28</v>
      </c>
      <c r="I3458" t="s">
        <v>18</v>
      </c>
      <c r="J3458">
        <f t="shared" si="106"/>
        <v>20</v>
      </c>
      <c r="K3458" t="str">
        <f t="shared" si="107"/>
        <v>Budget</v>
      </c>
    </row>
    <row r="3459" spans="2:11" x14ac:dyDescent="0.25">
      <c r="B3459" t="s">
        <v>1199</v>
      </c>
      <c r="C3459">
        <v>2007</v>
      </c>
      <c r="D3459" s="1">
        <v>212000</v>
      </c>
      <c r="E3459">
        <v>58000</v>
      </c>
      <c r="F3459" t="s">
        <v>15</v>
      </c>
      <c r="G3459" t="s">
        <v>27</v>
      </c>
      <c r="H3459" t="s">
        <v>11</v>
      </c>
      <c r="I3459" t="s">
        <v>18</v>
      </c>
      <c r="J3459">
        <f t="shared" si="106"/>
        <v>19</v>
      </c>
      <c r="K3459" t="str">
        <f t="shared" si="107"/>
        <v>Budget</v>
      </c>
    </row>
    <row r="3460" spans="2:11" x14ac:dyDescent="0.25">
      <c r="B3460" t="s">
        <v>629</v>
      </c>
      <c r="C3460">
        <v>2013</v>
      </c>
      <c r="D3460" s="1">
        <v>900000</v>
      </c>
      <c r="E3460">
        <v>49000</v>
      </c>
      <c r="F3460" t="s">
        <v>15</v>
      </c>
      <c r="G3460" t="s">
        <v>27</v>
      </c>
      <c r="H3460" t="s">
        <v>28</v>
      </c>
      <c r="I3460" t="s">
        <v>18</v>
      </c>
      <c r="J3460">
        <f t="shared" si="106"/>
        <v>13</v>
      </c>
      <c r="K3460" t="str">
        <f t="shared" si="107"/>
        <v>Mid Range</v>
      </c>
    </row>
    <row r="3461" spans="2:11" x14ac:dyDescent="0.25">
      <c r="B3461" t="s">
        <v>185</v>
      </c>
      <c r="C3461">
        <v>2011</v>
      </c>
      <c r="D3461" s="1">
        <v>221000</v>
      </c>
      <c r="E3461">
        <v>56000</v>
      </c>
      <c r="F3461" t="s">
        <v>15</v>
      </c>
      <c r="G3461" t="s">
        <v>27</v>
      </c>
      <c r="H3461" t="s">
        <v>11</v>
      </c>
      <c r="I3461" t="s">
        <v>18</v>
      </c>
      <c r="J3461">
        <f t="shared" si="106"/>
        <v>15</v>
      </c>
      <c r="K3461" t="str">
        <f t="shared" si="107"/>
        <v>Budget</v>
      </c>
    </row>
    <row r="3462" spans="2:11" x14ac:dyDescent="0.25">
      <c r="B3462" t="s">
        <v>42</v>
      </c>
      <c r="C3462">
        <v>2013</v>
      </c>
      <c r="D3462" s="1">
        <v>675000</v>
      </c>
      <c r="E3462">
        <v>73000</v>
      </c>
      <c r="F3462" t="s">
        <v>15</v>
      </c>
      <c r="G3462" t="s">
        <v>27</v>
      </c>
      <c r="H3462" t="s">
        <v>11</v>
      </c>
      <c r="I3462" t="s">
        <v>12</v>
      </c>
      <c r="J3462">
        <f t="shared" ref="J3462:J3525" si="108">2026 - C3462</f>
        <v>13</v>
      </c>
      <c r="K3462" t="str">
        <f t="shared" ref="K3462:K3525" si="109">IF(D3462&lt;500000,"Budget",IF(D3462&lt;=1000000,"Mid Range","Premium"))</f>
        <v>Mid Range</v>
      </c>
    </row>
    <row r="3463" spans="2:11" x14ac:dyDescent="0.25">
      <c r="B3463" t="s">
        <v>665</v>
      </c>
      <c r="C3463">
        <v>2014</v>
      </c>
      <c r="D3463" s="1">
        <v>421000</v>
      </c>
      <c r="E3463">
        <v>69000</v>
      </c>
      <c r="F3463" t="s">
        <v>15</v>
      </c>
      <c r="G3463" t="s">
        <v>27</v>
      </c>
      <c r="H3463" t="s">
        <v>11</v>
      </c>
      <c r="I3463" t="s">
        <v>12</v>
      </c>
      <c r="J3463">
        <f t="shared" si="108"/>
        <v>12</v>
      </c>
      <c r="K3463" t="str">
        <f t="shared" si="109"/>
        <v>Budget</v>
      </c>
    </row>
    <row r="3464" spans="2:11" x14ac:dyDescent="0.25">
      <c r="B3464" t="s">
        <v>103</v>
      </c>
      <c r="C3464">
        <v>2008</v>
      </c>
      <c r="D3464" s="1">
        <v>350000</v>
      </c>
      <c r="E3464">
        <v>10000</v>
      </c>
      <c r="F3464" t="s">
        <v>9</v>
      </c>
      <c r="G3464" t="s">
        <v>10</v>
      </c>
      <c r="H3464" t="s">
        <v>11</v>
      </c>
      <c r="I3464" t="s">
        <v>12</v>
      </c>
      <c r="J3464">
        <f t="shared" si="108"/>
        <v>18</v>
      </c>
      <c r="K3464" t="str">
        <f t="shared" si="109"/>
        <v>Budget</v>
      </c>
    </row>
    <row r="3465" spans="2:11" x14ac:dyDescent="0.25">
      <c r="B3465" t="s">
        <v>1410</v>
      </c>
      <c r="C3465">
        <v>2010</v>
      </c>
      <c r="D3465" s="1">
        <v>140000</v>
      </c>
      <c r="E3465">
        <v>110000</v>
      </c>
      <c r="F3465" t="s">
        <v>24</v>
      </c>
      <c r="G3465" t="s">
        <v>10</v>
      </c>
      <c r="H3465" t="s">
        <v>11</v>
      </c>
      <c r="I3465" t="s">
        <v>12</v>
      </c>
      <c r="J3465">
        <f t="shared" si="108"/>
        <v>16</v>
      </c>
      <c r="K3465" t="str">
        <f t="shared" si="109"/>
        <v>Budget</v>
      </c>
    </row>
    <row r="3466" spans="2:11" x14ac:dyDescent="0.25">
      <c r="B3466" t="s">
        <v>1482</v>
      </c>
      <c r="C3466">
        <v>2002</v>
      </c>
      <c r="D3466" s="1">
        <v>90000</v>
      </c>
      <c r="E3466">
        <v>116000</v>
      </c>
      <c r="F3466" t="s">
        <v>15</v>
      </c>
      <c r="G3466" t="s">
        <v>10</v>
      </c>
      <c r="H3466" t="s">
        <v>11</v>
      </c>
      <c r="I3466" t="s">
        <v>18</v>
      </c>
      <c r="J3466">
        <f t="shared" si="108"/>
        <v>24</v>
      </c>
      <c r="K3466" t="str">
        <f t="shared" si="109"/>
        <v>Budget</v>
      </c>
    </row>
    <row r="3467" spans="2:11" x14ac:dyDescent="0.25">
      <c r="B3467" t="s">
        <v>1483</v>
      </c>
      <c r="C3467">
        <v>2018</v>
      </c>
      <c r="D3467" s="1">
        <v>830000</v>
      </c>
      <c r="E3467">
        <v>40000</v>
      </c>
      <c r="F3467" t="s">
        <v>15</v>
      </c>
      <c r="G3467" t="s">
        <v>10</v>
      </c>
      <c r="H3467" t="s">
        <v>11</v>
      </c>
      <c r="I3467" t="s">
        <v>12</v>
      </c>
      <c r="J3467">
        <f t="shared" si="108"/>
        <v>8</v>
      </c>
      <c r="K3467" t="str">
        <f t="shared" si="109"/>
        <v>Mid Range</v>
      </c>
    </row>
    <row r="3468" spans="2:11" x14ac:dyDescent="0.25">
      <c r="B3468" t="s">
        <v>13</v>
      </c>
      <c r="C3468">
        <v>2009</v>
      </c>
      <c r="D3468" s="1">
        <v>180000</v>
      </c>
      <c r="E3468">
        <v>30000</v>
      </c>
      <c r="F3468" t="s">
        <v>9</v>
      </c>
      <c r="G3468" t="s">
        <v>10</v>
      </c>
      <c r="H3468" t="s">
        <v>11</v>
      </c>
      <c r="I3468" t="s">
        <v>12</v>
      </c>
      <c r="J3468">
        <f t="shared" si="108"/>
        <v>17</v>
      </c>
      <c r="K3468" t="str">
        <f t="shared" si="109"/>
        <v>Budget</v>
      </c>
    </row>
    <row r="3469" spans="2:11" x14ac:dyDescent="0.25">
      <c r="B3469" t="s">
        <v>122</v>
      </c>
      <c r="C3469">
        <v>2009</v>
      </c>
      <c r="D3469" s="1">
        <v>210000</v>
      </c>
      <c r="E3469">
        <v>109000</v>
      </c>
      <c r="F3469" t="s">
        <v>15</v>
      </c>
      <c r="G3469" t="s">
        <v>10</v>
      </c>
      <c r="H3469" t="s">
        <v>11</v>
      </c>
      <c r="I3469" t="s">
        <v>18</v>
      </c>
      <c r="J3469">
        <f t="shared" si="108"/>
        <v>17</v>
      </c>
      <c r="K3469" t="str">
        <f t="shared" si="109"/>
        <v>Budget</v>
      </c>
    </row>
    <row r="3470" spans="2:11" x14ac:dyDescent="0.25">
      <c r="B3470" t="s">
        <v>857</v>
      </c>
      <c r="C3470">
        <v>2017</v>
      </c>
      <c r="D3470" s="1">
        <v>700000</v>
      </c>
      <c r="E3470">
        <v>90000</v>
      </c>
      <c r="F3470" t="s">
        <v>15</v>
      </c>
      <c r="G3470" t="s">
        <v>10</v>
      </c>
      <c r="H3470" t="s">
        <v>11</v>
      </c>
      <c r="I3470" t="s">
        <v>12</v>
      </c>
      <c r="J3470">
        <f t="shared" si="108"/>
        <v>9</v>
      </c>
      <c r="K3470" t="str">
        <f t="shared" si="109"/>
        <v>Mid Range</v>
      </c>
    </row>
    <row r="3471" spans="2:11" x14ac:dyDescent="0.25">
      <c r="B3471" t="s">
        <v>612</v>
      </c>
      <c r="C3471">
        <v>2012</v>
      </c>
      <c r="D3471" s="1">
        <v>125000</v>
      </c>
      <c r="E3471">
        <v>120000</v>
      </c>
      <c r="F3471" t="s">
        <v>15</v>
      </c>
      <c r="G3471" t="s">
        <v>10</v>
      </c>
      <c r="H3471" t="s">
        <v>11</v>
      </c>
      <c r="I3471" t="s">
        <v>12</v>
      </c>
      <c r="J3471">
        <f t="shared" si="108"/>
        <v>14</v>
      </c>
      <c r="K3471" t="str">
        <f t="shared" si="109"/>
        <v>Budget</v>
      </c>
    </row>
    <row r="3472" spans="2:11" x14ac:dyDescent="0.25">
      <c r="B3472" t="s">
        <v>805</v>
      </c>
      <c r="C3472">
        <v>2017</v>
      </c>
      <c r="D3472" s="1">
        <v>530000</v>
      </c>
      <c r="E3472">
        <v>64916</v>
      </c>
      <c r="F3472" t="s">
        <v>9</v>
      </c>
      <c r="G3472" t="s">
        <v>10</v>
      </c>
      <c r="H3472" t="s">
        <v>11</v>
      </c>
      <c r="I3472" t="s">
        <v>12</v>
      </c>
      <c r="J3472">
        <f t="shared" si="108"/>
        <v>9</v>
      </c>
      <c r="K3472" t="str">
        <f t="shared" si="109"/>
        <v>Mid Range</v>
      </c>
    </row>
    <row r="3473" spans="2:11" x14ac:dyDescent="0.25">
      <c r="B3473" t="s">
        <v>1484</v>
      </c>
      <c r="C3473">
        <v>2018</v>
      </c>
      <c r="D3473" s="1">
        <v>800000</v>
      </c>
      <c r="E3473">
        <v>37161</v>
      </c>
      <c r="F3473" t="s">
        <v>15</v>
      </c>
      <c r="G3473" t="s">
        <v>27</v>
      </c>
      <c r="H3473" t="s">
        <v>11</v>
      </c>
      <c r="I3473" t="s">
        <v>12</v>
      </c>
      <c r="J3473">
        <f t="shared" si="108"/>
        <v>8</v>
      </c>
      <c r="K3473" t="str">
        <f t="shared" si="109"/>
        <v>Mid Range</v>
      </c>
    </row>
    <row r="3474" spans="2:11" x14ac:dyDescent="0.25">
      <c r="B3474" t="s">
        <v>909</v>
      </c>
      <c r="C3474">
        <v>2016</v>
      </c>
      <c r="D3474" s="1">
        <v>580000</v>
      </c>
      <c r="E3474">
        <v>15000</v>
      </c>
      <c r="F3474" t="s">
        <v>9</v>
      </c>
      <c r="G3474" t="s">
        <v>10</v>
      </c>
      <c r="H3474" t="s">
        <v>11</v>
      </c>
      <c r="I3474" t="s">
        <v>12</v>
      </c>
      <c r="J3474">
        <f t="shared" si="108"/>
        <v>10</v>
      </c>
      <c r="K3474" t="str">
        <f t="shared" si="109"/>
        <v>Mid Range</v>
      </c>
    </row>
    <row r="3475" spans="2:11" x14ac:dyDescent="0.25">
      <c r="B3475" t="s">
        <v>643</v>
      </c>
      <c r="C3475">
        <v>2012</v>
      </c>
      <c r="D3475" s="1">
        <v>1400000</v>
      </c>
      <c r="E3475">
        <v>118000</v>
      </c>
      <c r="F3475" t="s">
        <v>15</v>
      </c>
      <c r="G3475" t="s">
        <v>10</v>
      </c>
      <c r="H3475" t="s">
        <v>28</v>
      </c>
      <c r="I3475" t="s">
        <v>18</v>
      </c>
      <c r="J3475">
        <f t="shared" si="108"/>
        <v>14</v>
      </c>
      <c r="K3475" t="str">
        <f t="shared" si="109"/>
        <v>Premium</v>
      </c>
    </row>
    <row r="3476" spans="2:11" x14ac:dyDescent="0.25">
      <c r="B3476" t="s">
        <v>1170</v>
      </c>
      <c r="C3476">
        <v>2018</v>
      </c>
      <c r="D3476" s="1">
        <v>300000</v>
      </c>
      <c r="E3476">
        <v>50852</v>
      </c>
      <c r="F3476" t="s">
        <v>9</v>
      </c>
      <c r="G3476" t="s">
        <v>10</v>
      </c>
      <c r="H3476" t="s">
        <v>11</v>
      </c>
      <c r="I3476" t="s">
        <v>12</v>
      </c>
      <c r="J3476">
        <f t="shared" si="108"/>
        <v>8</v>
      </c>
      <c r="K3476" t="str">
        <f t="shared" si="109"/>
        <v>Budget</v>
      </c>
    </row>
    <row r="3477" spans="2:11" x14ac:dyDescent="0.25">
      <c r="B3477" t="s">
        <v>305</v>
      </c>
      <c r="C3477">
        <v>2016</v>
      </c>
      <c r="D3477" s="1">
        <v>300000</v>
      </c>
      <c r="E3477">
        <v>30000</v>
      </c>
      <c r="F3477" t="s">
        <v>9</v>
      </c>
      <c r="G3477" t="s">
        <v>10</v>
      </c>
      <c r="H3477" t="s">
        <v>11</v>
      </c>
      <c r="I3477" t="s">
        <v>12</v>
      </c>
      <c r="J3477">
        <f t="shared" si="108"/>
        <v>10</v>
      </c>
      <c r="K3477" t="str">
        <f t="shared" si="109"/>
        <v>Budget</v>
      </c>
    </row>
    <row r="3478" spans="2:11" x14ac:dyDescent="0.25">
      <c r="B3478" t="s">
        <v>193</v>
      </c>
      <c r="C3478">
        <v>2015</v>
      </c>
      <c r="D3478" s="1">
        <v>700000</v>
      </c>
      <c r="E3478">
        <v>77000</v>
      </c>
      <c r="F3478" t="s">
        <v>15</v>
      </c>
      <c r="G3478" t="s">
        <v>10</v>
      </c>
      <c r="H3478" t="s">
        <v>11</v>
      </c>
      <c r="I3478" t="s">
        <v>12</v>
      </c>
      <c r="J3478">
        <f t="shared" si="108"/>
        <v>11</v>
      </c>
      <c r="K3478" t="str">
        <f t="shared" si="109"/>
        <v>Mid Range</v>
      </c>
    </row>
    <row r="3479" spans="2:11" x14ac:dyDescent="0.25">
      <c r="B3479" t="s">
        <v>700</v>
      </c>
      <c r="C3479">
        <v>2012</v>
      </c>
      <c r="D3479" s="1">
        <v>250000</v>
      </c>
      <c r="E3479">
        <v>70000</v>
      </c>
      <c r="F3479" t="s">
        <v>9</v>
      </c>
      <c r="G3479" t="s">
        <v>10</v>
      </c>
      <c r="H3479" t="s">
        <v>11</v>
      </c>
      <c r="I3479" t="s">
        <v>49</v>
      </c>
      <c r="J3479">
        <f t="shared" si="108"/>
        <v>14</v>
      </c>
      <c r="K3479" t="str">
        <f t="shared" si="109"/>
        <v>Budget</v>
      </c>
    </row>
    <row r="3480" spans="2:11" x14ac:dyDescent="0.25">
      <c r="B3480" t="s">
        <v>1485</v>
      </c>
      <c r="C3480">
        <v>2016</v>
      </c>
      <c r="D3480" s="1">
        <v>500000</v>
      </c>
      <c r="E3480">
        <v>120000</v>
      </c>
      <c r="F3480" t="s">
        <v>15</v>
      </c>
      <c r="G3480" t="s">
        <v>10</v>
      </c>
      <c r="H3480" t="s">
        <v>11</v>
      </c>
      <c r="I3480" t="s">
        <v>12</v>
      </c>
      <c r="J3480">
        <f t="shared" si="108"/>
        <v>10</v>
      </c>
      <c r="K3480" t="str">
        <f t="shared" si="109"/>
        <v>Mid Range</v>
      </c>
    </row>
    <row r="3481" spans="2:11" x14ac:dyDescent="0.25">
      <c r="B3481" t="s">
        <v>1486</v>
      </c>
      <c r="C3481">
        <v>2009</v>
      </c>
      <c r="D3481" s="1">
        <v>428000</v>
      </c>
      <c r="E3481">
        <v>40000</v>
      </c>
      <c r="F3481" t="s">
        <v>9</v>
      </c>
      <c r="G3481" t="s">
        <v>10</v>
      </c>
      <c r="H3481" t="s">
        <v>28</v>
      </c>
      <c r="I3481" t="s">
        <v>49</v>
      </c>
      <c r="J3481">
        <f t="shared" si="108"/>
        <v>17</v>
      </c>
      <c r="K3481" t="str">
        <f t="shared" si="109"/>
        <v>Budget</v>
      </c>
    </row>
    <row r="3482" spans="2:11" x14ac:dyDescent="0.25">
      <c r="B3482" t="s">
        <v>990</v>
      </c>
      <c r="C3482">
        <v>2019</v>
      </c>
      <c r="D3482" s="1">
        <v>1400000</v>
      </c>
      <c r="E3482">
        <v>33000</v>
      </c>
      <c r="F3482" t="s">
        <v>15</v>
      </c>
      <c r="G3482" t="s">
        <v>10</v>
      </c>
      <c r="H3482" t="s">
        <v>11</v>
      </c>
      <c r="I3482" t="s">
        <v>12</v>
      </c>
      <c r="J3482">
        <f t="shared" si="108"/>
        <v>7</v>
      </c>
      <c r="K3482" t="str">
        <f t="shared" si="109"/>
        <v>Premium</v>
      </c>
    </row>
    <row r="3483" spans="2:11" x14ac:dyDescent="0.25">
      <c r="B3483" t="s">
        <v>136</v>
      </c>
      <c r="C3483">
        <v>2013</v>
      </c>
      <c r="D3483" s="1">
        <v>219000</v>
      </c>
      <c r="E3483">
        <v>53500</v>
      </c>
      <c r="F3483" t="s">
        <v>9</v>
      </c>
      <c r="G3483" t="s">
        <v>10</v>
      </c>
      <c r="H3483" t="s">
        <v>11</v>
      </c>
      <c r="I3483" t="s">
        <v>49</v>
      </c>
      <c r="J3483">
        <f t="shared" si="108"/>
        <v>13</v>
      </c>
      <c r="K3483" t="str">
        <f t="shared" si="109"/>
        <v>Budget</v>
      </c>
    </row>
    <row r="3484" spans="2:11" x14ac:dyDescent="0.25">
      <c r="B3484" t="s">
        <v>1487</v>
      </c>
      <c r="C3484">
        <v>2017</v>
      </c>
      <c r="D3484" s="1">
        <v>500000</v>
      </c>
      <c r="E3484">
        <v>40000</v>
      </c>
      <c r="F3484" t="s">
        <v>15</v>
      </c>
      <c r="G3484" t="s">
        <v>10</v>
      </c>
      <c r="H3484" t="s">
        <v>11</v>
      </c>
      <c r="I3484" t="s">
        <v>12</v>
      </c>
      <c r="J3484">
        <f t="shared" si="108"/>
        <v>9</v>
      </c>
      <c r="K3484" t="str">
        <f t="shared" si="109"/>
        <v>Mid Range</v>
      </c>
    </row>
    <row r="3485" spans="2:11" x14ac:dyDescent="0.25">
      <c r="B3485" t="s">
        <v>1104</v>
      </c>
      <c r="C3485">
        <v>2010</v>
      </c>
      <c r="D3485" s="1">
        <v>409999</v>
      </c>
      <c r="E3485">
        <v>60000</v>
      </c>
      <c r="F3485" t="s">
        <v>9</v>
      </c>
      <c r="G3485" t="s">
        <v>10</v>
      </c>
      <c r="H3485" t="s">
        <v>11</v>
      </c>
      <c r="I3485" t="s">
        <v>12</v>
      </c>
      <c r="J3485">
        <f t="shared" si="108"/>
        <v>16</v>
      </c>
      <c r="K3485" t="str">
        <f t="shared" si="109"/>
        <v>Budget</v>
      </c>
    </row>
    <row r="3486" spans="2:11" x14ac:dyDescent="0.25">
      <c r="B3486" t="s">
        <v>1144</v>
      </c>
      <c r="C3486">
        <v>2018</v>
      </c>
      <c r="D3486" s="1">
        <v>570000</v>
      </c>
      <c r="E3486">
        <v>5000</v>
      </c>
      <c r="F3486" t="s">
        <v>9</v>
      </c>
      <c r="G3486" t="s">
        <v>10</v>
      </c>
      <c r="H3486" t="s">
        <v>11</v>
      </c>
      <c r="I3486" t="s">
        <v>12</v>
      </c>
      <c r="J3486">
        <f t="shared" si="108"/>
        <v>8</v>
      </c>
      <c r="K3486" t="str">
        <f t="shared" si="109"/>
        <v>Mid Range</v>
      </c>
    </row>
    <row r="3487" spans="2:11" x14ac:dyDescent="0.25">
      <c r="B3487" t="s">
        <v>103</v>
      </c>
      <c r="C3487">
        <v>2007</v>
      </c>
      <c r="D3487" s="1">
        <v>160000</v>
      </c>
      <c r="E3487">
        <v>80000</v>
      </c>
      <c r="F3487" t="s">
        <v>9</v>
      </c>
      <c r="G3487" t="s">
        <v>10</v>
      </c>
      <c r="H3487" t="s">
        <v>11</v>
      </c>
      <c r="I3487" t="s">
        <v>49</v>
      </c>
      <c r="J3487">
        <f t="shared" si="108"/>
        <v>19</v>
      </c>
      <c r="K3487" t="str">
        <f t="shared" si="109"/>
        <v>Budget</v>
      </c>
    </row>
    <row r="3488" spans="2:11" x14ac:dyDescent="0.25">
      <c r="B3488" t="s">
        <v>1254</v>
      </c>
      <c r="C3488">
        <v>2017</v>
      </c>
      <c r="D3488" s="1">
        <v>749000</v>
      </c>
      <c r="E3488">
        <v>51500</v>
      </c>
      <c r="F3488" t="s">
        <v>15</v>
      </c>
      <c r="G3488" t="s">
        <v>10</v>
      </c>
      <c r="H3488" t="s">
        <v>11</v>
      </c>
      <c r="I3488" t="s">
        <v>18</v>
      </c>
      <c r="J3488">
        <f t="shared" si="108"/>
        <v>9</v>
      </c>
      <c r="K3488" t="str">
        <f t="shared" si="109"/>
        <v>Mid Range</v>
      </c>
    </row>
    <row r="3489" spans="2:11" x14ac:dyDescent="0.25">
      <c r="B3489" t="s">
        <v>181</v>
      </c>
      <c r="C3489">
        <v>2010</v>
      </c>
      <c r="D3489" s="1">
        <v>300000</v>
      </c>
      <c r="E3489">
        <v>120000</v>
      </c>
      <c r="F3489" t="s">
        <v>15</v>
      </c>
      <c r="G3489" t="s">
        <v>10</v>
      </c>
      <c r="H3489" t="s">
        <v>11</v>
      </c>
      <c r="I3489" t="s">
        <v>49</v>
      </c>
      <c r="J3489">
        <f t="shared" si="108"/>
        <v>16</v>
      </c>
      <c r="K3489" t="str">
        <f t="shared" si="109"/>
        <v>Budget</v>
      </c>
    </row>
    <row r="3490" spans="2:11" x14ac:dyDescent="0.25">
      <c r="B3490" t="s">
        <v>132</v>
      </c>
      <c r="C3490">
        <v>2014</v>
      </c>
      <c r="D3490" s="1">
        <v>550000</v>
      </c>
      <c r="E3490">
        <v>79800</v>
      </c>
      <c r="F3490" t="s">
        <v>15</v>
      </c>
      <c r="G3490" t="s">
        <v>27</v>
      </c>
      <c r="H3490" t="s">
        <v>11</v>
      </c>
      <c r="I3490" t="s">
        <v>12</v>
      </c>
      <c r="J3490">
        <f t="shared" si="108"/>
        <v>12</v>
      </c>
      <c r="K3490" t="str">
        <f t="shared" si="109"/>
        <v>Mid Range</v>
      </c>
    </row>
    <row r="3491" spans="2:11" x14ac:dyDescent="0.25">
      <c r="B3491" t="s">
        <v>132</v>
      </c>
      <c r="C3491">
        <v>2015</v>
      </c>
      <c r="D3491" s="1">
        <v>550000</v>
      </c>
      <c r="E3491">
        <v>97000</v>
      </c>
      <c r="F3491" t="s">
        <v>15</v>
      </c>
      <c r="G3491" t="s">
        <v>27</v>
      </c>
      <c r="H3491" t="s">
        <v>11</v>
      </c>
      <c r="I3491" t="s">
        <v>18</v>
      </c>
      <c r="J3491">
        <f t="shared" si="108"/>
        <v>11</v>
      </c>
      <c r="K3491" t="str">
        <f t="shared" si="109"/>
        <v>Mid Range</v>
      </c>
    </row>
    <row r="3492" spans="2:11" x14ac:dyDescent="0.25">
      <c r="B3492" t="s">
        <v>1488</v>
      </c>
      <c r="C3492">
        <v>2019</v>
      </c>
      <c r="D3492" s="1">
        <v>1250000</v>
      </c>
      <c r="E3492">
        <v>6590</v>
      </c>
      <c r="F3492" t="s">
        <v>15</v>
      </c>
      <c r="G3492" t="s">
        <v>27</v>
      </c>
      <c r="H3492" t="s">
        <v>11</v>
      </c>
      <c r="I3492" t="s">
        <v>12</v>
      </c>
      <c r="J3492">
        <f t="shared" si="108"/>
        <v>7</v>
      </c>
      <c r="K3492" t="str">
        <f t="shared" si="109"/>
        <v>Premium</v>
      </c>
    </row>
    <row r="3493" spans="2:11" x14ac:dyDescent="0.25">
      <c r="B3493" t="s">
        <v>281</v>
      </c>
      <c r="C3493">
        <v>2017</v>
      </c>
      <c r="D3493" s="1">
        <v>700000</v>
      </c>
      <c r="E3493">
        <v>49957</v>
      </c>
      <c r="F3493" t="s">
        <v>15</v>
      </c>
      <c r="G3493" t="s">
        <v>27</v>
      </c>
      <c r="H3493" t="s">
        <v>11</v>
      </c>
      <c r="I3493" t="s">
        <v>12</v>
      </c>
      <c r="J3493">
        <f t="shared" si="108"/>
        <v>9</v>
      </c>
      <c r="K3493" t="str">
        <f t="shared" si="109"/>
        <v>Mid Range</v>
      </c>
    </row>
    <row r="3494" spans="2:11" x14ac:dyDescent="0.25">
      <c r="B3494" t="s">
        <v>1489</v>
      </c>
      <c r="C3494">
        <v>2017</v>
      </c>
      <c r="D3494" s="1">
        <v>600000</v>
      </c>
      <c r="E3494">
        <v>43235</v>
      </c>
      <c r="F3494" t="s">
        <v>15</v>
      </c>
      <c r="G3494" t="s">
        <v>27</v>
      </c>
      <c r="H3494" t="s">
        <v>11</v>
      </c>
      <c r="I3494" t="s">
        <v>12</v>
      </c>
      <c r="J3494">
        <f t="shared" si="108"/>
        <v>9</v>
      </c>
      <c r="K3494" t="str">
        <f t="shared" si="109"/>
        <v>Mid Range</v>
      </c>
    </row>
    <row r="3495" spans="2:11" x14ac:dyDescent="0.25">
      <c r="B3495" t="s">
        <v>1490</v>
      </c>
      <c r="C3495">
        <v>2018</v>
      </c>
      <c r="D3495" s="1">
        <v>925000</v>
      </c>
      <c r="E3495">
        <v>50699</v>
      </c>
      <c r="F3495" t="s">
        <v>15</v>
      </c>
      <c r="G3495" t="s">
        <v>27</v>
      </c>
      <c r="H3495" t="s">
        <v>11</v>
      </c>
      <c r="I3495" t="s">
        <v>12</v>
      </c>
      <c r="J3495">
        <f t="shared" si="108"/>
        <v>8</v>
      </c>
      <c r="K3495" t="str">
        <f t="shared" si="109"/>
        <v>Mid Range</v>
      </c>
    </row>
    <row r="3496" spans="2:11" x14ac:dyDescent="0.25">
      <c r="B3496" t="s">
        <v>621</v>
      </c>
      <c r="C3496">
        <v>2016</v>
      </c>
      <c r="D3496" s="1">
        <v>1800000</v>
      </c>
      <c r="E3496">
        <v>126000</v>
      </c>
      <c r="F3496" t="s">
        <v>15</v>
      </c>
      <c r="G3496" t="s">
        <v>27</v>
      </c>
      <c r="H3496" t="s">
        <v>28</v>
      </c>
      <c r="I3496" t="s">
        <v>12</v>
      </c>
      <c r="J3496">
        <f t="shared" si="108"/>
        <v>10</v>
      </c>
      <c r="K3496" t="str">
        <f t="shared" si="109"/>
        <v>Premium</v>
      </c>
    </row>
    <row r="3497" spans="2:11" x14ac:dyDescent="0.25">
      <c r="B3497" t="s">
        <v>1491</v>
      </c>
      <c r="C3497">
        <v>2015</v>
      </c>
      <c r="D3497" s="1">
        <v>459999</v>
      </c>
      <c r="E3497">
        <v>140730</v>
      </c>
      <c r="F3497" t="s">
        <v>15</v>
      </c>
      <c r="G3497" t="s">
        <v>27</v>
      </c>
      <c r="H3497" t="s">
        <v>11</v>
      </c>
      <c r="I3497" t="s">
        <v>18</v>
      </c>
      <c r="J3497">
        <f t="shared" si="108"/>
        <v>11</v>
      </c>
      <c r="K3497" t="str">
        <f t="shared" si="109"/>
        <v>Budget</v>
      </c>
    </row>
    <row r="3498" spans="2:11" x14ac:dyDescent="0.25">
      <c r="B3498" t="s">
        <v>208</v>
      </c>
      <c r="C3498">
        <v>2015</v>
      </c>
      <c r="D3498" s="1">
        <v>565000</v>
      </c>
      <c r="E3498">
        <v>46000</v>
      </c>
      <c r="F3498" t="s">
        <v>9</v>
      </c>
      <c r="G3498" t="s">
        <v>10</v>
      </c>
      <c r="H3498" t="s">
        <v>11</v>
      </c>
      <c r="I3498" t="s">
        <v>12</v>
      </c>
      <c r="J3498">
        <f t="shared" si="108"/>
        <v>11</v>
      </c>
      <c r="K3498" t="str">
        <f t="shared" si="109"/>
        <v>Mid Range</v>
      </c>
    </row>
    <row r="3499" spans="2:11" x14ac:dyDescent="0.25">
      <c r="B3499" t="s">
        <v>136</v>
      </c>
      <c r="C3499">
        <v>2013</v>
      </c>
      <c r="D3499" s="1">
        <v>170000</v>
      </c>
      <c r="E3499">
        <v>80000</v>
      </c>
      <c r="F3499" t="s">
        <v>9</v>
      </c>
      <c r="G3499" t="s">
        <v>10</v>
      </c>
      <c r="H3499" t="s">
        <v>11</v>
      </c>
      <c r="I3499" t="s">
        <v>49</v>
      </c>
      <c r="J3499">
        <f t="shared" si="108"/>
        <v>13</v>
      </c>
      <c r="K3499" t="str">
        <f t="shared" si="109"/>
        <v>Budget</v>
      </c>
    </row>
    <row r="3500" spans="2:11" x14ac:dyDescent="0.25">
      <c r="B3500" t="s">
        <v>1492</v>
      </c>
      <c r="C3500">
        <v>2001</v>
      </c>
      <c r="D3500" s="1">
        <v>150000</v>
      </c>
      <c r="E3500">
        <v>256000</v>
      </c>
      <c r="F3500" t="s">
        <v>15</v>
      </c>
      <c r="G3500" t="s">
        <v>27</v>
      </c>
      <c r="H3500" t="s">
        <v>11</v>
      </c>
      <c r="I3500" t="s">
        <v>12</v>
      </c>
      <c r="J3500">
        <f t="shared" si="108"/>
        <v>25</v>
      </c>
      <c r="K3500" t="str">
        <f t="shared" si="109"/>
        <v>Budget</v>
      </c>
    </row>
    <row r="3501" spans="2:11" x14ac:dyDescent="0.25">
      <c r="B3501" t="s">
        <v>1493</v>
      </c>
      <c r="C3501">
        <v>2008</v>
      </c>
      <c r="D3501" s="1">
        <v>295000</v>
      </c>
      <c r="E3501">
        <v>120000</v>
      </c>
      <c r="F3501" t="s">
        <v>15</v>
      </c>
      <c r="G3501" t="s">
        <v>10</v>
      </c>
      <c r="H3501" t="s">
        <v>11</v>
      </c>
      <c r="I3501" t="s">
        <v>12</v>
      </c>
      <c r="J3501">
        <f t="shared" si="108"/>
        <v>18</v>
      </c>
      <c r="K3501" t="str">
        <f t="shared" si="109"/>
        <v>Budget</v>
      </c>
    </row>
    <row r="3502" spans="2:11" x14ac:dyDescent="0.25">
      <c r="B3502" t="s">
        <v>1099</v>
      </c>
      <c r="C3502">
        <v>2018</v>
      </c>
      <c r="D3502" s="1">
        <v>819999</v>
      </c>
      <c r="E3502">
        <v>40000</v>
      </c>
      <c r="F3502" t="s">
        <v>15</v>
      </c>
      <c r="G3502" t="s">
        <v>10</v>
      </c>
      <c r="H3502" t="s">
        <v>11</v>
      </c>
      <c r="I3502" t="s">
        <v>12</v>
      </c>
      <c r="J3502">
        <f t="shared" si="108"/>
        <v>8</v>
      </c>
      <c r="K3502" t="str">
        <f t="shared" si="109"/>
        <v>Mid Range</v>
      </c>
    </row>
    <row r="3503" spans="2:11" x14ac:dyDescent="0.25">
      <c r="B3503" t="s">
        <v>1232</v>
      </c>
      <c r="C3503">
        <v>2019</v>
      </c>
      <c r="D3503" s="1">
        <v>819999</v>
      </c>
      <c r="E3503">
        <v>40000</v>
      </c>
      <c r="F3503" t="s">
        <v>15</v>
      </c>
      <c r="G3503" t="s">
        <v>10</v>
      </c>
      <c r="H3503" t="s">
        <v>11</v>
      </c>
      <c r="I3503" t="s">
        <v>12</v>
      </c>
      <c r="J3503">
        <f t="shared" si="108"/>
        <v>7</v>
      </c>
      <c r="K3503" t="str">
        <f t="shared" si="109"/>
        <v>Mid Range</v>
      </c>
    </row>
    <row r="3504" spans="2:11" x14ac:dyDescent="0.25">
      <c r="B3504" t="s">
        <v>966</v>
      </c>
      <c r="C3504">
        <v>2015</v>
      </c>
      <c r="D3504" s="1">
        <v>320000</v>
      </c>
      <c r="E3504">
        <v>40000</v>
      </c>
      <c r="F3504" t="s">
        <v>9</v>
      </c>
      <c r="G3504" t="s">
        <v>10</v>
      </c>
      <c r="H3504" t="s">
        <v>11</v>
      </c>
      <c r="I3504" t="s">
        <v>12</v>
      </c>
      <c r="J3504">
        <f t="shared" si="108"/>
        <v>11</v>
      </c>
      <c r="K3504" t="str">
        <f t="shared" si="109"/>
        <v>Budget</v>
      </c>
    </row>
    <row r="3505" spans="2:11" x14ac:dyDescent="0.25">
      <c r="B3505" t="s">
        <v>325</v>
      </c>
      <c r="C3505">
        <v>2015</v>
      </c>
      <c r="D3505" s="1">
        <v>550000</v>
      </c>
      <c r="E3505">
        <v>135000</v>
      </c>
      <c r="F3505" t="s">
        <v>15</v>
      </c>
      <c r="G3505" t="s">
        <v>10</v>
      </c>
      <c r="H3505" t="s">
        <v>11</v>
      </c>
      <c r="I3505" t="s">
        <v>18</v>
      </c>
      <c r="J3505">
        <f t="shared" si="108"/>
        <v>11</v>
      </c>
      <c r="K3505" t="str">
        <f t="shared" si="109"/>
        <v>Mid Range</v>
      </c>
    </row>
    <row r="3506" spans="2:11" x14ac:dyDescent="0.25">
      <c r="B3506" t="s">
        <v>572</v>
      </c>
      <c r="C3506">
        <v>2015</v>
      </c>
      <c r="D3506" s="1">
        <v>550000</v>
      </c>
      <c r="E3506">
        <v>50000</v>
      </c>
      <c r="F3506" t="s">
        <v>15</v>
      </c>
      <c r="G3506" t="s">
        <v>10</v>
      </c>
      <c r="H3506" t="s">
        <v>11</v>
      </c>
      <c r="I3506" t="s">
        <v>12</v>
      </c>
      <c r="J3506">
        <f t="shared" si="108"/>
        <v>11</v>
      </c>
      <c r="K3506" t="str">
        <f t="shared" si="109"/>
        <v>Mid Range</v>
      </c>
    </row>
    <row r="3507" spans="2:11" x14ac:dyDescent="0.25">
      <c r="B3507" t="s">
        <v>735</v>
      </c>
      <c r="C3507">
        <v>2017</v>
      </c>
      <c r="D3507" s="1">
        <v>590000</v>
      </c>
      <c r="E3507">
        <v>98000</v>
      </c>
      <c r="F3507" t="s">
        <v>15</v>
      </c>
      <c r="G3507" t="s">
        <v>10</v>
      </c>
      <c r="H3507" t="s">
        <v>11</v>
      </c>
      <c r="I3507" t="s">
        <v>12</v>
      </c>
      <c r="J3507">
        <f t="shared" si="108"/>
        <v>9</v>
      </c>
      <c r="K3507" t="str">
        <f t="shared" si="109"/>
        <v>Mid Range</v>
      </c>
    </row>
    <row r="3508" spans="2:11" x14ac:dyDescent="0.25">
      <c r="B3508" t="s">
        <v>1494</v>
      </c>
      <c r="C3508">
        <v>2017</v>
      </c>
      <c r="D3508" s="1">
        <v>950000</v>
      </c>
      <c r="E3508">
        <v>50000</v>
      </c>
      <c r="F3508" t="s">
        <v>15</v>
      </c>
      <c r="G3508" t="s">
        <v>10</v>
      </c>
      <c r="H3508" t="s">
        <v>11</v>
      </c>
      <c r="I3508" t="s">
        <v>12</v>
      </c>
      <c r="J3508">
        <f t="shared" si="108"/>
        <v>9</v>
      </c>
      <c r="K3508" t="str">
        <f t="shared" si="109"/>
        <v>Mid Range</v>
      </c>
    </row>
    <row r="3509" spans="2:11" x14ac:dyDescent="0.25">
      <c r="B3509" t="s">
        <v>1495</v>
      </c>
      <c r="C3509">
        <v>2017</v>
      </c>
      <c r="D3509" s="1">
        <v>1000000</v>
      </c>
      <c r="E3509">
        <v>30000</v>
      </c>
      <c r="F3509" t="s">
        <v>15</v>
      </c>
      <c r="G3509" t="s">
        <v>10</v>
      </c>
      <c r="H3509" t="s">
        <v>11</v>
      </c>
      <c r="I3509" t="s">
        <v>12</v>
      </c>
      <c r="J3509">
        <f t="shared" si="108"/>
        <v>9</v>
      </c>
      <c r="K3509" t="str">
        <f t="shared" si="109"/>
        <v>Mid Range</v>
      </c>
    </row>
    <row r="3510" spans="2:11" x14ac:dyDescent="0.25">
      <c r="B3510" t="s">
        <v>1496</v>
      </c>
      <c r="C3510">
        <v>2013</v>
      </c>
      <c r="D3510" s="1">
        <v>500000</v>
      </c>
      <c r="E3510">
        <v>120000</v>
      </c>
      <c r="F3510" t="s">
        <v>15</v>
      </c>
      <c r="G3510" t="s">
        <v>10</v>
      </c>
      <c r="H3510" t="s">
        <v>11</v>
      </c>
      <c r="I3510" t="s">
        <v>12</v>
      </c>
      <c r="J3510">
        <f t="shared" si="108"/>
        <v>13</v>
      </c>
      <c r="K3510" t="str">
        <f t="shared" si="109"/>
        <v>Mid Range</v>
      </c>
    </row>
    <row r="3511" spans="2:11" x14ac:dyDescent="0.25">
      <c r="B3511" t="s">
        <v>1497</v>
      </c>
      <c r="C3511">
        <v>2017</v>
      </c>
      <c r="D3511" s="1">
        <v>450000</v>
      </c>
      <c r="E3511">
        <v>70000</v>
      </c>
      <c r="F3511" t="s">
        <v>15</v>
      </c>
      <c r="G3511" t="s">
        <v>10</v>
      </c>
      <c r="H3511" t="s">
        <v>11</v>
      </c>
      <c r="I3511" t="s">
        <v>12</v>
      </c>
      <c r="J3511">
        <f t="shared" si="108"/>
        <v>9</v>
      </c>
      <c r="K3511" t="str">
        <f t="shared" si="109"/>
        <v>Budget</v>
      </c>
    </row>
    <row r="3512" spans="2:11" x14ac:dyDescent="0.25">
      <c r="B3512" t="s">
        <v>59</v>
      </c>
      <c r="C3512">
        <v>2017</v>
      </c>
      <c r="D3512" s="1">
        <v>720000</v>
      </c>
      <c r="E3512">
        <v>35000</v>
      </c>
      <c r="F3512" t="s">
        <v>15</v>
      </c>
      <c r="G3512" t="s">
        <v>10</v>
      </c>
      <c r="H3512" t="s">
        <v>11</v>
      </c>
      <c r="I3512" t="s">
        <v>12</v>
      </c>
      <c r="J3512">
        <f t="shared" si="108"/>
        <v>9</v>
      </c>
      <c r="K3512" t="str">
        <f t="shared" si="109"/>
        <v>Mid Range</v>
      </c>
    </row>
    <row r="3513" spans="2:11" x14ac:dyDescent="0.25">
      <c r="B3513" t="s">
        <v>1158</v>
      </c>
      <c r="C3513">
        <v>2015</v>
      </c>
      <c r="D3513" s="1">
        <v>390000</v>
      </c>
      <c r="E3513">
        <v>70000</v>
      </c>
      <c r="F3513" t="s">
        <v>15</v>
      </c>
      <c r="G3513" t="s">
        <v>10</v>
      </c>
      <c r="H3513" t="s">
        <v>11</v>
      </c>
      <c r="I3513" t="s">
        <v>18</v>
      </c>
      <c r="J3513">
        <f t="shared" si="108"/>
        <v>11</v>
      </c>
      <c r="K3513" t="str">
        <f t="shared" si="109"/>
        <v>Budget</v>
      </c>
    </row>
    <row r="3514" spans="2:11" x14ac:dyDescent="0.25">
      <c r="B3514" t="s">
        <v>1416</v>
      </c>
      <c r="C3514">
        <v>2014</v>
      </c>
      <c r="D3514" s="1">
        <v>500000</v>
      </c>
      <c r="E3514">
        <v>35000</v>
      </c>
      <c r="F3514" t="s">
        <v>15</v>
      </c>
      <c r="G3514" t="s">
        <v>10</v>
      </c>
      <c r="H3514" t="s">
        <v>11</v>
      </c>
      <c r="I3514" t="s">
        <v>12</v>
      </c>
      <c r="J3514">
        <f t="shared" si="108"/>
        <v>12</v>
      </c>
      <c r="K3514" t="str">
        <f t="shared" si="109"/>
        <v>Mid Range</v>
      </c>
    </row>
    <row r="3515" spans="2:11" x14ac:dyDescent="0.25">
      <c r="B3515" t="s">
        <v>1498</v>
      </c>
      <c r="C3515">
        <v>2016</v>
      </c>
      <c r="D3515" s="1">
        <v>2500000</v>
      </c>
      <c r="E3515">
        <v>70000</v>
      </c>
      <c r="F3515" t="s">
        <v>9</v>
      </c>
      <c r="G3515" t="s">
        <v>10</v>
      </c>
      <c r="H3515" t="s">
        <v>28</v>
      </c>
      <c r="I3515" t="s">
        <v>18</v>
      </c>
      <c r="J3515">
        <f t="shared" si="108"/>
        <v>10</v>
      </c>
      <c r="K3515" t="str">
        <f t="shared" si="109"/>
        <v>Premium</v>
      </c>
    </row>
    <row r="3516" spans="2:11" x14ac:dyDescent="0.25">
      <c r="B3516" t="s">
        <v>533</v>
      </c>
      <c r="C3516">
        <v>2017</v>
      </c>
      <c r="D3516" s="1">
        <v>780000</v>
      </c>
      <c r="E3516">
        <v>50000</v>
      </c>
      <c r="F3516" t="s">
        <v>15</v>
      </c>
      <c r="G3516" t="s">
        <v>10</v>
      </c>
      <c r="H3516" t="s">
        <v>11</v>
      </c>
      <c r="I3516" t="s">
        <v>12</v>
      </c>
      <c r="J3516">
        <f t="shared" si="108"/>
        <v>9</v>
      </c>
      <c r="K3516" t="str">
        <f t="shared" si="109"/>
        <v>Mid Range</v>
      </c>
    </row>
    <row r="3517" spans="2:11" x14ac:dyDescent="0.25">
      <c r="B3517" t="s">
        <v>366</v>
      </c>
      <c r="C3517">
        <v>2015</v>
      </c>
      <c r="D3517" s="1">
        <v>484999</v>
      </c>
      <c r="E3517">
        <v>90000</v>
      </c>
      <c r="F3517" t="s">
        <v>15</v>
      </c>
      <c r="G3517" t="s">
        <v>10</v>
      </c>
      <c r="H3517" t="s">
        <v>11</v>
      </c>
      <c r="I3517" t="s">
        <v>18</v>
      </c>
      <c r="J3517">
        <f t="shared" si="108"/>
        <v>11</v>
      </c>
      <c r="K3517" t="str">
        <f t="shared" si="109"/>
        <v>Budget</v>
      </c>
    </row>
    <row r="3518" spans="2:11" x14ac:dyDescent="0.25">
      <c r="B3518" t="s">
        <v>370</v>
      </c>
      <c r="C3518">
        <v>2012</v>
      </c>
      <c r="D3518" s="1">
        <v>420000</v>
      </c>
      <c r="E3518">
        <v>90000</v>
      </c>
      <c r="F3518" t="s">
        <v>15</v>
      </c>
      <c r="G3518" t="s">
        <v>10</v>
      </c>
      <c r="H3518" t="s">
        <v>11</v>
      </c>
      <c r="I3518" t="s">
        <v>18</v>
      </c>
      <c r="J3518">
        <f t="shared" si="108"/>
        <v>14</v>
      </c>
      <c r="K3518" t="str">
        <f t="shared" si="109"/>
        <v>Budget</v>
      </c>
    </row>
    <row r="3519" spans="2:11" x14ac:dyDescent="0.25">
      <c r="B3519" t="s">
        <v>1499</v>
      </c>
      <c r="C3519">
        <v>2015</v>
      </c>
      <c r="D3519" s="1">
        <v>1225000</v>
      </c>
      <c r="E3519">
        <v>70000</v>
      </c>
      <c r="F3519" t="s">
        <v>15</v>
      </c>
      <c r="G3519" t="s">
        <v>10</v>
      </c>
      <c r="H3519" t="s">
        <v>11</v>
      </c>
      <c r="I3519" t="s">
        <v>12</v>
      </c>
      <c r="J3519">
        <f t="shared" si="108"/>
        <v>11</v>
      </c>
      <c r="K3519" t="str">
        <f t="shared" si="109"/>
        <v>Premium</v>
      </c>
    </row>
    <row r="3520" spans="2:11" x14ac:dyDescent="0.25">
      <c r="B3520" t="s">
        <v>960</v>
      </c>
      <c r="C3520">
        <v>2015</v>
      </c>
      <c r="D3520" s="1">
        <v>350000</v>
      </c>
      <c r="E3520">
        <v>50000</v>
      </c>
      <c r="F3520" t="s">
        <v>15</v>
      </c>
      <c r="G3520" t="s">
        <v>10</v>
      </c>
      <c r="H3520" t="s">
        <v>11</v>
      </c>
      <c r="I3520" t="s">
        <v>18</v>
      </c>
      <c r="J3520">
        <f t="shared" si="108"/>
        <v>11</v>
      </c>
      <c r="K3520" t="str">
        <f t="shared" si="109"/>
        <v>Budget</v>
      </c>
    </row>
    <row r="3521" spans="2:11" x14ac:dyDescent="0.25">
      <c r="B3521" t="s">
        <v>432</v>
      </c>
      <c r="C3521">
        <v>2015</v>
      </c>
      <c r="D3521" s="1">
        <v>350000</v>
      </c>
      <c r="E3521">
        <v>120000</v>
      </c>
      <c r="F3521" t="s">
        <v>15</v>
      </c>
      <c r="G3521" t="s">
        <v>10</v>
      </c>
      <c r="H3521" t="s">
        <v>11</v>
      </c>
      <c r="I3521" t="s">
        <v>49</v>
      </c>
      <c r="J3521">
        <f t="shared" si="108"/>
        <v>11</v>
      </c>
      <c r="K3521" t="str">
        <f t="shared" si="109"/>
        <v>Budget</v>
      </c>
    </row>
    <row r="3522" spans="2:11" x14ac:dyDescent="0.25">
      <c r="B3522" t="s">
        <v>314</v>
      </c>
      <c r="C3522">
        <v>2011</v>
      </c>
      <c r="D3522" s="1">
        <v>800000</v>
      </c>
      <c r="E3522">
        <v>230000</v>
      </c>
      <c r="F3522" t="s">
        <v>15</v>
      </c>
      <c r="G3522" t="s">
        <v>10</v>
      </c>
      <c r="H3522" t="s">
        <v>11</v>
      </c>
      <c r="I3522" t="s">
        <v>12</v>
      </c>
      <c r="J3522">
        <f t="shared" si="108"/>
        <v>15</v>
      </c>
      <c r="K3522" t="str">
        <f t="shared" si="109"/>
        <v>Mid Range</v>
      </c>
    </row>
    <row r="3523" spans="2:11" x14ac:dyDescent="0.25">
      <c r="B3523" t="s">
        <v>666</v>
      </c>
      <c r="C3523">
        <v>2004</v>
      </c>
      <c r="D3523" s="1">
        <v>125000</v>
      </c>
      <c r="E3523">
        <v>70000</v>
      </c>
      <c r="F3523" t="s">
        <v>9</v>
      </c>
      <c r="G3523" t="s">
        <v>10</v>
      </c>
      <c r="H3523" t="s">
        <v>28</v>
      </c>
      <c r="I3523" t="s">
        <v>18</v>
      </c>
      <c r="J3523">
        <f t="shared" si="108"/>
        <v>22</v>
      </c>
      <c r="K3523" t="str">
        <f t="shared" si="109"/>
        <v>Budget</v>
      </c>
    </row>
    <row r="3524" spans="2:11" x14ac:dyDescent="0.25">
      <c r="B3524" t="s">
        <v>1500</v>
      </c>
      <c r="C3524">
        <v>2010</v>
      </c>
      <c r="D3524" s="1">
        <v>75000</v>
      </c>
      <c r="E3524">
        <v>100000</v>
      </c>
      <c r="F3524" t="s">
        <v>15</v>
      </c>
      <c r="G3524" t="s">
        <v>10</v>
      </c>
      <c r="H3524" t="s">
        <v>11</v>
      </c>
      <c r="I3524" t="s">
        <v>49</v>
      </c>
      <c r="J3524">
        <f t="shared" si="108"/>
        <v>16</v>
      </c>
      <c r="K3524" t="str">
        <f t="shared" si="109"/>
        <v>Budget</v>
      </c>
    </row>
    <row r="3525" spans="2:11" x14ac:dyDescent="0.25">
      <c r="B3525" t="s">
        <v>1501</v>
      </c>
      <c r="C3525">
        <v>2018</v>
      </c>
      <c r="D3525" s="1">
        <v>509999</v>
      </c>
      <c r="E3525">
        <v>15000</v>
      </c>
      <c r="F3525" t="s">
        <v>9</v>
      </c>
      <c r="G3525" t="s">
        <v>10</v>
      </c>
      <c r="H3525" t="s">
        <v>11</v>
      </c>
      <c r="I3525" t="s">
        <v>12</v>
      </c>
      <c r="J3525">
        <f t="shared" si="108"/>
        <v>8</v>
      </c>
      <c r="K3525" t="str">
        <f t="shared" si="109"/>
        <v>Mid Range</v>
      </c>
    </row>
    <row r="3526" spans="2:11" x14ac:dyDescent="0.25">
      <c r="B3526" t="s">
        <v>73</v>
      </c>
      <c r="C3526">
        <v>2014</v>
      </c>
      <c r="D3526" s="1">
        <v>215000</v>
      </c>
      <c r="E3526">
        <v>80000</v>
      </c>
      <c r="F3526" t="s">
        <v>15</v>
      </c>
      <c r="G3526" t="s">
        <v>10</v>
      </c>
      <c r="H3526" t="s">
        <v>11</v>
      </c>
      <c r="I3526" t="s">
        <v>49</v>
      </c>
      <c r="J3526">
        <f t="shared" ref="J3526:J3581" si="110">2026 - C3526</f>
        <v>12</v>
      </c>
      <c r="K3526" t="str">
        <f t="shared" ref="K3526:K3581" si="111">IF(D3526&lt;500000,"Budget",IF(D3526&lt;=1000000,"Mid Range","Premium"))</f>
        <v>Budget</v>
      </c>
    </row>
    <row r="3527" spans="2:11" x14ac:dyDescent="0.25">
      <c r="B3527" t="s">
        <v>114</v>
      </c>
      <c r="C3527">
        <v>2014</v>
      </c>
      <c r="D3527" s="1">
        <v>480000</v>
      </c>
      <c r="E3527">
        <v>101000</v>
      </c>
      <c r="F3527" t="s">
        <v>15</v>
      </c>
      <c r="G3527" t="s">
        <v>27</v>
      </c>
      <c r="H3527" t="s">
        <v>11</v>
      </c>
      <c r="I3527" t="s">
        <v>12</v>
      </c>
      <c r="J3527">
        <f t="shared" si="110"/>
        <v>12</v>
      </c>
      <c r="K3527" t="str">
        <f t="shared" si="111"/>
        <v>Budget</v>
      </c>
    </row>
    <row r="3528" spans="2:11" x14ac:dyDescent="0.25">
      <c r="B3528" t="s">
        <v>354</v>
      </c>
      <c r="C3528">
        <v>2016</v>
      </c>
      <c r="D3528" s="1">
        <v>630000</v>
      </c>
      <c r="E3528">
        <v>55000</v>
      </c>
      <c r="F3528" t="s">
        <v>15</v>
      </c>
      <c r="G3528" t="s">
        <v>27</v>
      </c>
      <c r="H3528" t="s">
        <v>11</v>
      </c>
      <c r="I3528" t="s">
        <v>12</v>
      </c>
      <c r="J3528">
        <f t="shared" si="110"/>
        <v>10</v>
      </c>
      <c r="K3528" t="str">
        <f t="shared" si="111"/>
        <v>Mid Range</v>
      </c>
    </row>
    <row r="3529" spans="2:11" x14ac:dyDescent="0.25">
      <c r="B3529" t="s">
        <v>787</v>
      </c>
      <c r="C3529">
        <v>2007</v>
      </c>
      <c r="D3529" s="1">
        <v>190000</v>
      </c>
      <c r="E3529">
        <v>115000</v>
      </c>
      <c r="F3529" t="s">
        <v>9</v>
      </c>
      <c r="G3529" t="s">
        <v>27</v>
      </c>
      <c r="H3529" t="s">
        <v>11</v>
      </c>
      <c r="I3529" t="s">
        <v>18</v>
      </c>
      <c r="J3529">
        <f t="shared" si="110"/>
        <v>19</v>
      </c>
      <c r="K3529" t="str">
        <f t="shared" si="111"/>
        <v>Budget</v>
      </c>
    </row>
    <row r="3530" spans="2:11" x14ac:dyDescent="0.25">
      <c r="B3530" t="s">
        <v>354</v>
      </c>
      <c r="C3530">
        <v>2015</v>
      </c>
      <c r="D3530" s="1">
        <v>500000</v>
      </c>
      <c r="E3530">
        <v>100000</v>
      </c>
      <c r="F3530" t="s">
        <v>15</v>
      </c>
      <c r="G3530" t="s">
        <v>27</v>
      </c>
      <c r="H3530" t="s">
        <v>11</v>
      </c>
      <c r="I3530" t="s">
        <v>12</v>
      </c>
      <c r="J3530">
        <f t="shared" si="110"/>
        <v>11</v>
      </c>
      <c r="K3530" t="str">
        <f t="shared" si="111"/>
        <v>Mid Range</v>
      </c>
    </row>
    <row r="3531" spans="2:11" x14ac:dyDescent="0.25">
      <c r="B3531" t="s">
        <v>1262</v>
      </c>
      <c r="C3531">
        <v>2014</v>
      </c>
      <c r="D3531" s="1">
        <v>850000</v>
      </c>
      <c r="E3531">
        <v>52000</v>
      </c>
      <c r="F3531" t="s">
        <v>15</v>
      </c>
      <c r="G3531" t="s">
        <v>27</v>
      </c>
      <c r="H3531" t="s">
        <v>11</v>
      </c>
      <c r="I3531" t="s">
        <v>18</v>
      </c>
      <c r="J3531">
        <f t="shared" si="110"/>
        <v>12</v>
      </c>
      <c r="K3531" t="str">
        <f t="shared" si="111"/>
        <v>Mid Range</v>
      </c>
    </row>
    <row r="3532" spans="2:11" x14ac:dyDescent="0.25">
      <c r="B3532" t="s">
        <v>516</v>
      </c>
      <c r="C3532">
        <v>2011</v>
      </c>
      <c r="D3532" s="1">
        <v>350000</v>
      </c>
      <c r="E3532">
        <v>105000</v>
      </c>
      <c r="F3532" t="s">
        <v>15</v>
      </c>
      <c r="G3532" t="s">
        <v>27</v>
      </c>
      <c r="H3532" t="s">
        <v>11</v>
      </c>
      <c r="I3532" t="s">
        <v>12</v>
      </c>
      <c r="J3532">
        <f t="shared" si="110"/>
        <v>15</v>
      </c>
      <c r="K3532" t="str">
        <f t="shared" si="111"/>
        <v>Budget</v>
      </c>
    </row>
    <row r="3533" spans="2:11" x14ac:dyDescent="0.25">
      <c r="B3533" t="s">
        <v>344</v>
      </c>
      <c r="C3533">
        <v>2013</v>
      </c>
      <c r="D3533" s="1">
        <v>425000</v>
      </c>
      <c r="E3533">
        <v>170000</v>
      </c>
      <c r="F3533" t="s">
        <v>15</v>
      </c>
      <c r="G3533" t="s">
        <v>27</v>
      </c>
      <c r="H3533" t="s">
        <v>11</v>
      </c>
      <c r="I3533" t="s">
        <v>12</v>
      </c>
      <c r="J3533">
        <f t="shared" si="110"/>
        <v>13</v>
      </c>
      <c r="K3533" t="str">
        <f t="shared" si="111"/>
        <v>Budget</v>
      </c>
    </row>
    <row r="3534" spans="2:11" x14ac:dyDescent="0.25">
      <c r="B3534" t="s">
        <v>162</v>
      </c>
      <c r="C3534">
        <v>2015</v>
      </c>
      <c r="D3534" s="1">
        <v>495000</v>
      </c>
      <c r="E3534">
        <v>105000</v>
      </c>
      <c r="F3534" t="s">
        <v>15</v>
      </c>
      <c r="G3534" t="s">
        <v>27</v>
      </c>
      <c r="H3534" t="s">
        <v>11</v>
      </c>
      <c r="I3534" t="s">
        <v>12</v>
      </c>
      <c r="J3534">
        <f t="shared" si="110"/>
        <v>11</v>
      </c>
      <c r="K3534" t="str">
        <f t="shared" si="111"/>
        <v>Budget</v>
      </c>
    </row>
    <row r="3535" spans="2:11" x14ac:dyDescent="0.25">
      <c r="B3535" t="s">
        <v>125</v>
      </c>
      <c r="C3535">
        <v>2017</v>
      </c>
      <c r="D3535" s="1">
        <v>890000</v>
      </c>
      <c r="E3535">
        <v>60000</v>
      </c>
      <c r="F3535" t="s">
        <v>15</v>
      </c>
      <c r="G3535" t="s">
        <v>10</v>
      </c>
      <c r="H3535" t="s">
        <v>11</v>
      </c>
      <c r="I3535" t="s">
        <v>18</v>
      </c>
      <c r="J3535">
        <f t="shared" si="110"/>
        <v>9</v>
      </c>
      <c r="K3535" t="str">
        <f t="shared" si="111"/>
        <v>Mid Range</v>
      </c>
    </row>
    <row r="3536" spans="2:11" x14ac:dyDescent="0.25">
      <c r="B3536" t="s">
        <v>1502</v>
      </c>
      <c r="C3536">
        <v>2018</v>
      </c>
      <c r="D3536" s="1">
        <v>1100000</v>
      </c>
      <c r="E3536">
        <v>25000</v>
      </c>
      <c r="F3536" t="s">
        <v>15</v>
      </c>
      <c r="G3536" t="s">
        <v>10</v>
      </c>
      <c r="H3536" t="s">
        <v>28</v>
      </c>
      <c r="I3536" t="s">
        <v>18</v>
      </c>
      <c r="J3536">
        <f t="shared" si="110"/>
        <v>8</v>
      </c>
      <c r="K3536" t="str">
        <f t="shared" si="111"/>
        <v>Premium</v>
      </c>
    </row>
    <row r="3537" spans="2:11" x14ac:dyDescent="0.25">
      <c r="B3537" t="s">
        <v>90</v>
      </c>
      <c r="C3537">
        <v>2014</v>
      </c>
      <c r="D3537" s="1">
        <v>650000</v>
      </c>
      <c r="E3537">
        <v>218000</v>
      </c>
      <c r="F3537" t="s">
        <v>15</v>
      </c>
      <c r="G3537" t="s">
        <v>10</v>
      </c>
      <c r="H3537" t="s">
        <v>11</v>
      </c>
      <c r="I3537" t="s">
        <v>18</v>
      </c>
      <c r="J3537">
        <f t="shared" si="110"/>
        <v>12</v>
      </c>
      <c r="K3537" t="str">
        <f t="shared" si="111"/>
        <v>Mid Range</v>
      </c>
    </row>
    <row r="3538" spans="2:11" x14ac:dyDescent="0.25">
      <c r="B3538" t="s">
        <v>309</v>
      </c>
      <c r="C3538">
        <v>2009</v>
      </c>
      <c r="D3538" s="1">
        <v>233000</v>
      </c>
      <c r="E3538">
        <v>58000</v>
      </c>
      <c r="F3538" t="s">
        <v>9</v>
      </c>
      <c r="G3538" t="s">
        <v>10</v>
      </c>
      <c r="H3538" t="s">
        <v>11</v>
      </c>
      <c r="I3538" t="s">
        <v>49</v>
      </c>
      <c r="J3538">
        <f t="shared" si="110"/>
        <v>17</v>
      </c>
      <c r="K3538" t="str">
        <f t="shared" si="111"/>
        <v>Budget</v>
      </c>
    </row>
    <row r="3539" spans="2:11" x14ac:dyDescent="0.25">
      <c r="B3539" t="s">
        <v>1503</v>
      </c>
      <c r="C3539">
        <v>2015</v>
      </c>
      <c r="D3539" s="1">
        <v>300000</v>
      </c>
      <c r="E3539">
        <v>110000</v>
      </c>
      <c r="F3539" t="s">
        <v>15</v>
      </c>
      <c r="G3539" t="s">
        <v>10</v>
      </c>
      <c r="H3539" t="s">
        <v>11</v>
      </c>
      <c r="I3539" t="s">
        <v>18</v>
      </c>
      <c r="J3539">
        <f t="shared" si="110"/>
        <v>11</v>
      </c>
      <c r="K3539" t="str">
        <f t="shared" si="111"/>
        <v>Budget</v>
      </c>
    </row>
    <row r="3540" spans="2:11" x14ac:dyDescent="0.25">
      <c r="B3540" t="s">
        <v>1504</v>
      </c>
      <c r="C3540">
        <v>2020</v>
      </c>
      <c r="D3540" s="1">
        <v>614000</v>
      </c>
      <c r="E3540">
        <v>1000</v>
      </c>
      <c r="F3540" t="s">
        <v>9</v>
      </c>
      <c r="G3540" t="s">
        <v>10</v>
      </c>
      <c r="H3540" t="s">
        <v>11</v>
      </c>
      <c r="I3540" t="s">
        <v>12</v>
      </c>
      <c r="J3540">
        <f t="shared" si="110"/>
        <v>6</v>
      </c>
      <c r="K3540" t="str">
        <f t="shared" si="111"/>
        <v>Mid Range</v>
      </c>
    </row>
    <row r="3541" spans="2:11" x14ac:dyDescent="0.25">
      <c r="B3541" t="s">
        <v>80</v>
      </c>
      <c r="C3541">
        <v>2010</v>
      </c>
      <c r="D3541" s="1">
        <v>250000</v>
      </c>
      <c r="E3541">
        <v>100000</v>
      </c>
      <c r="F3541" t="s">
        <v>9</v>
      </c>
      <c r="G3541" t="s">
        <v>10</v>
      </c>
      <c r="H3541" t="s">
        <v>11</v>
      </c>
      <c r="I3541" t="s">
        <v>18</v>
      </c>
      <c r="J3541">
        <f t="shared" si="110"/>
        <v>16</v>
      </c>
      <c r="K3541" t="str">
        <f t="shared" si="111"/>
        <v>Budget</v>
      </c>
    </row>
    <row r="3542" spans="2:11" x14ac:dyDescent="0.25">
      <c r="B3542" t="s">
        <v>80</v>
      </c>
      <c r="C3542">
        <v>2010</v>
      </c>
      <c r="D3542" s="1">
        <v>250000</v>
      </c>
      <c r="E3542">
        <v>110000</v>
      </c>
      <c r="F3542" t="s">
        <v>9</v>
      </c>
      <c r="G3542" t="s">
        <v>10</v>
      </c>
      <c r="H3542" t="s">
        <v>11</v>
      </c>
      <c r="I3542" t="s">
        <v>18</v>
      </c>
      <c r="J3542">
        <f t="shared" si="110"/>
        <v>16</v>
      </c>
      <c r="K3542" t="str">
        <f t="shared" si="111"/>
        <v>Budget</v>
      </c>
    </row>
    <row r="3543" spans="2:11" x14ac:dyDescent="0.25">
      <c r="B3543" t="s">
        <v>58</v>
      </c>
      <c r="C3543">
        <v>2011</v>
      </c>
      <c r="D3543" s="1">
        <v>200000</v>
      </c>
      <c r="E3543">
        <v>40000</v>
      </c>
      <c r="F3543" t="s">
        <v>9</v>
      </c>
      <c r="G3543" t="s">
        <v>10</v>
      </c>
      <c r="H3543" t="s">
        <v>11</v>
      </c>
      <c r="I3543" t="s">
        <v>12</v>
      </c>
      <c r="J3543">
        <f t="shared" si="110"/>
        <v>15</v>
      </c>
      <c r="K3543" t="str">
        <f t="shared" si="111"/>
        <v>Budget</v>
      </c>
    </row>
    <row r="3544" spans="2:11" x14ac:dyDescent="0.25">
      <c r="B3544" t="s">
        <v>462</v>
      </c>
      <c r="C3544">
        <v>2013</v>
      </c>
      <c r="D3544" s="1">
        <v>290000</v>
      </c>
      <c r="E3544">
        <v>52000</v>
      </c>
      <c r="F3544" t="s">
        <v>9</v>
      </c>
      <c r="G3544" t="s">
        <v>10</v>
      </c>
      <c r="H3544" t="s">
        <v>11</v>
      </c>
      <c r="I3544" t="s">
        <v>12</v>
      </c>
      <c r="J3544">
        <f t="shared" si="110"/>
        <v>13</v>
      </c>
      <c r="K3544" t="str">
        <f t="shared" si="111"/>
        <v>Budget</v>
      </c>
    </row>
    <row r="3545" spans="2:11" x14ac:dyDescent="0.25">
      <c r="B3545" t="s">
        <v>500</v>
      </c>
      <c r="C3545">
        <v>2013</v>
      </c>
      <c r="D3545" s="1">
        <v>320000</v>
      </c>
      <c r="E3545">
        <v>80000</v>
      </c>
      <c r="F3545" t="s">
        <v>9</v>
      </c>
      <c r="G3545" t="s">
        <v>10</v>
      </c>
      <c r="H3545" t="s">
        <v>11</v>
      </c>
      <c r="I3545" t="s">
        <v>18</v>
      </c>
      <c r="J3545">
        <f t="shared" si="110"/>
        <v>13</v>
      </c>
      <c r="K3545" t="str">
        <f t="shared" si="111"/>
        <v>Budget</v>
      </c>
    </row>
    <row r="3546" spans="2:11" x14ac:dyDescent="0.25">
      <c r="B3546" t="s">
        <v>1505</v>
      </c>
      <c r="C3546">
        <v>2006</v>
      </c>
      <c r="D3546" s="1">
        <v>145000</v>
      </c>
      <c r="E3546">
        <v>52000</v>
      </c>
      <c r="F3546" t="s">
        <v>9</v>
      </c>
      <c r="G3546" t="s">
        <v>10</v>
      </c>
      <c r="H3546" t="s">
        <v>11</v>
      </c>
      <c r="I3546" t="s">
        <v>18</v>
      </c>
      <c r="J3546">
        <f t="shared" si="110"/>
        <v>20</v>
      </c>
      <c r="K3546" t="str">
        <f t="shared" si="111"/>
        <v>Budget</v>
      </c>
    </row>
    <row r="3547" spans="2:11" x14ac:dyDescent="0.25">
      <c r="B3547" t="s">
        <v>927</v>
      </c>
      <c r="C3547">
        <v>2005</v>
      </c>
      <c r="D3547" s="1">
        <v>100000</v>
      </c>
      <c r="E3547">
        <v>124000</v>
      </c>
      <c r="F3547" t="s">
        <v>9</v>
      </c>
      <c r="G3547" t="s">
        <v>10</v>
      </c>
      <c r="H3547" t="s">
        <v>11</v>
      </c>
      <c r="I3547" t="s">
        <v>18</v>
      </c>
      <c r="J3547">
        <f t="shared" si="110"/>
        <v>21</v>
      </c>
      <c r="K3547" t="str">
        <f t="shared" si="111"/>
        <v>Budget</v>
      </c>
    </row>
    <row r="3548" spans="2:11" x14ac:dyDescent="0.25">
      <c r="B3548" t="s">
        <v>386</v>
      </c>
      <c r="C3548">
        <v>2010</v>
      </c>
      <c r="D3548" s="1">
        <v>130000</v>
      </c>
      <c r="E3548">
        <v>210000</v>
      </c>
      <c r="F3548" t="s">
        <v>15</v>
      </c>
      <c r="G3548" t="s">
        <v>10</v>
      </c>
      <c r="H3548" t="s">
        <v>11</v>
      </c>
      <c r="I3548" t="s">
        <v>18</v>
      </c>
      <c r="J3548">
        <f t="shared" si="110"/>
        <v>16</v>
      </c>
      <c r="K3548" t="str">
        <f t="shared" si="111"/>
        <v>Budget</v>
      </c>
    </row>
    <row r="3549" spans="2:11" x14ac:dyDescent="0.25">
      <c r="B3549" t="s">
        <v>1506</v>
      </c>
      <c r="C3549">
        <v>2006</v>
      </c>
      <c r="D3549" s="1">
        <v>145000</v>
      </c>
      <c r="E3549">
        <v>66000</v>
      </c>
      <c r="F3549" t="s">
        <v>9</v>
      </c>
      <c r="G3549" t="s">
        <v>10</v>
      </c>
      <c r="H3549" t="s">
        <v>28</v>
      </c>
      <c r="I3549" t="s">
        <v>18</v>
      </c>
      <c r="J3549">
        <f t="shared" si="110"/>
        <v>20</v>
      </c>
      <c r="K3549" t="str">
        <f t="shared" si="111"/>
        <v>Budget</v>
      </c>
    </row>
    <row r="3550" spans="2:11" x14ac:dyDescent="0.25">
      <c r="B3550" t="s">
        <v>19</v>
      </c>
      <c r="C3550">
        <v>2008</v>
      </c>
      <c r="D3550" s="1">
        <v>110000</v>
      </c>
      <c r="E3550">
        <v>120000</v>
      </c>
      <c r="F3550" t="s">
        <v>9</v>
      </c>
      <c r="G3550" t="s">
        <v>10</v>
      </c>
      <c r="H3550" t="s">
        <v>11</v>
      </c>
      <c r="I3550" t="s">
        <v>49</v>
      </c>
      <c r="J3550">
        <f t="shared" si="110"/>
        <v>18</v>
      </c>
      <c r="K3550" t="str">
        <f t="shared" si="111"/>
        <v>Budget</v>
      </c>
    </row>
    <row r="3551" spans="2:11" x14ac:dyDescent="0.25">
      <c r="B3551" t="s">
        <v>114</v>
      </c>
      <c r="C3551">
        <v>2019</v>
      </c>
      <c r="D3551" s="1">
        <v>680000</v>
      </c>
      <c r="E3551">
        <v>40000</v>
      </c>
      <c r="F3551" t="s">
        <v>15</v>
      </c>
      <c r="G3551" t="s">
        <v>10</v>
      </c>
      <c r="H3551" t="s">
        <v>11</v>
      </c>
      <c r="I3551" t="s">
        <v>12</v>
      </c>
      <c r="J3551">
        <f t="shared" si="110"/>
        <v>7</v>
      </c>
      <c r="K3551" t="str">
        <f t="shared" si="111"/>
        <v>Mid Range</v>
      </c>
    </row>
    <row r="3552" spans="2:11" x14ac:dyDescent="0.25">
      <c r="B3552" t="s">
        <v>134</v>
      </c>
      <c r="C3552">
        <v>2004</v>
      </c>
      <c r="D3552" s="1">
        <v>37500</v>
      </c>
      <c r="E3552">
        <v>90000</v>
      </c>
      <c r="F3552" t="s">
        <v>9</v>
      </c>
      <c r="G3552" t="s">
        <v>10</v>
      </c>
      <c r="H3552" t="s">
        <v>11</v>
      </c>
      <c r="I3552" t="s">
        <v>18</v>
      </c>
      <c r="J3552">
        <f t="shared" si="110"/>
        <v>22</v>
      </c>
      <c r="K3552" t="str">
        <f t="shared" si="111"/>
        <v>Budget</v>
      </c>
    </row>
    <row r="3553" spans="2:11" x14ac:dyDescent="0.25">
      <c r="B3553" t="s">
        <v>295</v>
      </c>
      <c r="C3553">
        <v>2011</v>
      </c>
      <c r="D3553" s="1">
        <v>200000</v>
      </c>
      <c r="E3553">
        <v>120000</v>
      </c>
      <c r="F3553" t="s">
        <v>15</v>
      </c>
      <c r="G3553" t="s">
        <v>10</v>
      </c>
      <c r="H3553" t="s">
        <v>11</v>
      </c>
      <c r="I3553" t="s">
        <v>18</v>
      </c>
      <c r="J3553">
        <f t="shared" si="110"/>
        <v>15</v>
      </c>
      <c r="K3553" t="str">
        <f t="shared" si="111"/>
        <v>Budget</v>
      </c>
    </row>
    <row r="3554" spans="2:11" x14ac:dyDescent="0.25">
      <c r="B3554" t="s">
        <v>1032</v>
      </c>
      <c r="C3554">
        <v>2019</v>
      </c>
      <c r="D3554" s="1">
        <v>1000000</v>
      </c>
      <c r="E3554">
        <v>15000</v>
      </c>
      <c r="F3554" t="s">
        <v>15</v>
      </c>
      <c r="G3554" t="s">
        <v>10</v>
      </c>
      <c r="H3554" t="s">
        <v>11</v>
      </c>
      <c r="I3554" t="s">
        <v>12</v>
      </c>
      <c r="J3554">
        <f t="shared" si="110"/>
        <v>7</v>
      </c>
      <c r="K3554" t="str">
        <f t="shared" si="111"/>
        <v>Mid Range</v>
      </c>
    </row>
    <row r="3555" spans="2:11" x14ac:dyDescent="0.25">
      <c r="B3555" t="s">
        <v>1507</v>
      </c>
      <c r="C3555">
        <v>2019</v>
      </c>
      <c r="D3555" s="1">
        <v>2800000</v>
      </c>
      <c r="E3555">
        <v>10000</v>
      </c>
      <c r="F3555" t="s">
        <v>15</v>
      </c>
      <c r="G3555" t="s">
        <v>10</v>
      </c>
      <c r="H3555" t="s">
        <v>28</v>
      </c>
      <c r="I3555" t="s">
        <v>12</v>
      </c>
      <c r="J3555">
        <f t="shared" si="110"/>
        <v>7</v>
      </c>
      <c r="K3555" t="str">
        <f t="shared" si="111"/>
        <v>Premium</v>
      </c>
    </row>
    <row r="3556" spans="2:11" x14ac:dyDescent="0.25">
      <c r="B3556" t="s">
        <v>114</v>
      </c>
      <c r="C3556">
        <v>2015</v>
      </c>
      <c r="D3556" s="1">
        <v>470000</v>
      </c>
      <c r="E3556">
        <v>170000</v>
      </c>
      <c r="F3556" t="s">
        <v>15</v>
      </c>
      <c r="G3556" t="s">
        <v>10</v>
      </c>
      <c r="H3556" t="s">
        <v>11</v>
      </c>
      <c r="I3556" t="s">
        <v>12</v>
      </c>
      <c r="J3556">
        <f t="shared" si="110"/>
        <v>11</v>
      </c>
      <c r="K3556" t="str">
        <f t="shared" si="111"/>
        <v>Budget</v>
      </c>
    </row>
    <row r="3557" spans="2:11" x14ac:dyDescent="0.25">
      <c r="B3557" t="s">
        <v>1043</v>
      </c>
      <c r="C3557">
        <v>2017</v>
      </c>
      <c r="D3557" s="1">
        <v>415000</v>
      </c>
      <c r="E3557">
        <v>20000</v>
      </c>
      <c r="F3557" t="s">
        <v>9</v>
      </c>
      <c r="G3557" t="s">
        <v>10</v>
      </c>
      <c r="H3557" t="s">
        <v>11</v>
      </c>
      <c r="I3557" t="s">
        <v>12</v>
      </c>
      <c r="J3557">
        <f t="shared" si="110"/>
        <v>9</v>
      </c>
      <c r="K3557" t="str">
        <f t="shared" si="111"/>
        <v>Budget</v>
      </c>
    </row>
    <row r="3558" spans="2:11" x14ac:dyDescent="0.25">
      <c r="B3558" t="s">
        <v>675</v>
      </c>
      <c r="C3558">
        <v>2014</v>
      </c>
      <c r="D3558" s="1">
        <v>500000</v>
      </c>
      <c r="E3558">
        <v>82000</v>
      </c>
      <c r="F3558" t="s">
        <v>15</v>
      </c>
      <c r="G3558" t="s">
        <v>10</v>
      </c>
      <c r="H3558" t="s">
        <v>11</v>
      </c>
      <c r="I3558" t="s">
        <v>12</v>
      </c>
      <c r="J3558">
        <f t="shared" si="110"/>
        <v>12</v>
      </c>
      <c r="K3558" t="str">
        <f t="shared" si="111"/>
        <v>Mid Range</v>
      </c>
    </row>
    <row r="3559" spans="2:11" x14ac:dyDescent="0.25">
      <c r="B3559" t="s">
        <v>1508</v>
      </c>
      <c r="C3559">
        <v>2013</v>
      </c>
      <c r="D3559" s="1">
        <v>150000</v>
      </c>
      <c r="E3559">
        <v>60000</v>
      </c>
      <c r="F3559" t="s">
        <v>9</v>
      </c>
      <c r="G3559" t="s">
        <v>10</v>
      </c>
      <c r="H3559" t="s">
        <v>11</v>
      </c>
      <c r="I3559" t="s">
        <v>18</v>
      </c>
      <c r="J3559">
        <f t="shared" si="110"/>
        <v>13</v>
      </c>
      <c r="K3559" t="str">
        <f t="shared" si="111"/>
        <v>Budget</v>
      </c>
    </row>
    <row r="3560" spans="2:11" x14ac:dyDescent="0.25">
      <c r="B3560" t="s">
        <v>1157</v>
      </c>
      <c r="C3560">
        <v>2005</v>
      </c>
      <c r="D3560" s="1">
        <v>95000</v>
      </c>
      <c r="E3560">
        <v>50000</v>
      </c>
      <c r="F3560" t="s">
        <v>9</v>
      </c>
      <c r="G3560" t="s">
        <v>10</v>
      </c>
      <c r="H3560" t="s">
        <v>11</v>
      </c>
      <c r="I3560" t="s">
        <v>18</v>
      </c>
      <c r="J3560">
        <f t="shared" si="110"/>
        <v>21</v>
      </c>
      <c r="K3560" t="str">
        <f t="shared" si="111"/>
        <v>Budget</v>
      </c>
    </row>
    <row r="3561" spans="2:11" x14ac:dyDescent="0.25">
      <c r="B3561" t="s">
        <v>1509</v>
      </c>
      <c r="C3561">
        <v>2012</v>
      </c>
      <c r="D3561" s="1">
        <v>400000</v>
      </c>
      <c r="E3561">
        <v>70000</v>
      </c>
      <c r="F3561" t="s">
        <v>15</v>
      </c>
      <c r="G3561" t="s">
        <v>10</v>
      </c>
      <c r="H3561" t="s">
        <v>11</v>
      </c>
      <c r="I3561" t="s">
        <v>12</v>
      </c>
      <c r="J3561">
        <f t="shared" si="110"/>
        <v>14</v>
      </c>
      <c r="K3561" t="str">
        <f t="shared" si="111"/>
        <v>Budget</v>
      </c>
    </row>
    <row r="3562" spans="2:11" x14ac:dyDescent="0.25">
      <c r="B3562" t="s">
        <v>172</v>
      </c>
      <c r="C3562">
        <v>2008</v>
      </c>
      <c r="D3562" s="1">
        <v>114999</v>
      </c>
      <c r="E3562">
        <v>66782</v>
      </c>
      <c r="F3562" t="s">
        <v>9</v>
      </c>
      <c r="G3562" t="s">
        <v>10</v>
      </c>
      <c r="H3562" t="s">
        <v>11</v>
      </c>
      <c r="I3562" t="s">
        <v>18</v>
      </c>
      <c r="J3562">
        <f t="shared" si="110"/>
        <v>18</v>
      </c>
      <c r="K3562" t="str">
        <f t="shared" si="111"/>
        <v>Budget</v>
      </c>
    </row>
    <row r="3563" spans="2:11" x14ac:dyDescent="0.25">
      <c r="B3563" t="s">
        <v>172</v>
      </c>
      <c r="C3563">
        <v>2006</v>
      </c>
      <c r="D3563" s="1">
        <v>75000</v>
      </c>
      <c r="E3563">
        <v>130000</v>
      </c>
      <c r="F3563" t="s">
        <v>9</v>
      </c>
      <c r="G3563" t="s">
        <v>10</v>
      </c>
      <c r="H3563" t="s">
        <v>11</v>
      </c>
      <c r="I3563" t="s">
        <v>12</v>
      </c>
      <c r="J3563">
        <f t="shared" si="110"/>
        <v>20</v>
      </c>
      <c r="K3563" t="str">
        <f t="shared" si="111"/>
        <v>Budget</v>
      </c>
    </row>
    <row r="3564" spans="2:11" x14ac:dyDescent="0.25">
      <c r="B3564" t="s">
        <v>243</v>
      </c>
      <c r="C3564">
        <v>2013</v>
      </c>
      <c r="D3564" s="1">
        <v>500000</v>
      </c>
      <c r="E3564">
        <v>120000</v>
      </c>
      <c r="F3564" t="s">
        <v>15</v>
      </c>
      <c r="G3564" t="s">
        <v>10</v>
      </c>
      <c r="H3564" t="s">
        <v>11</v>
      </c>
      <c r="I3564" t="s">
        <v>12</v>
      </c>
      <c r="J3564">
        <f t="shared" si="110"/>
        <v>13</v>
      </c>
      <c r="K3564" t="str">
        <f t="shared" si="111"/>
        <v>Mid Range</v>
      </c>
    </row>
    <row r="3565" spans="2:11" x14ac:dyDescent="0.25">
      <c r="B3565" t="s">
        <v>8</v>
      </c>
      <c r="C3565">
        <v>2014</v>
      </c>
      <c r="D3565" s="1">
        <v>195000</v>
      </c>
      <c r="E3565">
        <v>75000</v>
      </c>
      <c r="F3565" t="s">
        <v>9</v>
      </c>
      <c r="G3565" t="s">
        <v>10</v>
      </c>
      <c r="H3565" t="s">
        <v>11</v>
      </c>
      <c r="I3565" t="s">
        <v>18</v>
      </c>
      <c r="J3565">
        <f t="shared" si="110"/>
        <v>12</v>
      </c>
      <c r="K3565" t="str">
        <f t="shared" si="111"/>
        <v>Budget</v>
      </c>
    </row>
    <row r="3566" spans="2:11" x14ac:dyDescent="0.25">
      <c r="B3566" t="s">
        <v>1035</v>
      </c>
      <c r="C3566">
        <v>2015</v>
      </c>
      <c r="D3566" s="1">
        <v>155000</v>
      </c>
      <c r="E3566">
        <v>40000</v>
      </c>
      <c r="F3566" t="s">
        <v>9</v>
      </c>
      <c r="G3566" t="s">
        <v>10</v>
      </c>
      <c r="H3566" t="s">
        <v>11</v>
      </c>
      <c r="I3566" t="s">
        <v>12</v>
      </c>
      <c r="J3566">
        <f t="shared" si="110"/>
        <v>11</v>
      </c>
      <c r="K3566" t="str">
        <f t="shared" si="111"/>
        <v>Budget</v>
      </c>
    </row>
    <row r="3567" spans="2:11" x14ac:dyDescent="0.25">
      <c r="B3567" t="s">
        <v>58</v>
      </c>
      <c r="C3567">
        <v>2000</v>
      </c>
      <c r="D3567" s="1">
        <v>65000</v>
      </c>
      <c r="E3567">
        <v>90000</v>
      </c>
      <c r="F3567" t="s">
        <v>9</v>
      </c>
      <c r="G3567" t="s">
        <v>10</v>
      </c>
      <c r="H3567" t="s">
        <v>11</v>
      </c>
      <c r="I3567" t="s">
        <v>18</v>
      </c>
      <c r="J3567">
        <f t="shared" si="110"/>
        <v>26</v>
      </c>
      <c r="K3567" t="str">
        <f t="shared" si="111"/>
        <v>Budget</v>
      </c>
    </row>
    <row r="3568" spans="2:11" x14ac:dyDescent="0.25">
      <c r="B3568" t="s">
        <v>787</v>
      </c>
      <c r="C3568">
        <v>2005</v>
      </c>
      <c r="D3568" s="1">
        <v>65000</v>
      </c>
      <c r="E3568">
        <v>150000</v>
      </c>
      <c r="F3568" t="s">
        <v>9</v>
      </c>
      <c r="G3568" t="s">
        <v>10</v>
      </c>
      <c r="H3568" t="s">
        <v>11</v>
      </c>
      <c r="I3568" t="s">
        <v>49</v>
      </c>
      <c r="J3568">
        <f t="shared" si="110"/>
        <v>21</v>
      </c>
      <c r="K3568" t="str">
        <f t="shared" si="111"/>
        <v>Budget</v>
      </c>
    </row>
    <row r="3569" spans="2:11" x14ac:dyDescent="0.25">
      <c r="B3569" t="s">
        <v>1510</v>
      </c>
      <c r="C3569">
        <v>2015</v>
      </c>
      <c r="D3569" s="1">
        <v>190000</v>
      </c>
      <c r="E3569">
        <v>60000</v>
      </c>
      <c r="F3569" t="s">
        <v>9</v>
      </c>
      <c r="G3569" t="s">
        <v>10</v>
      </c>
      <c r="H3569" t="s">
        <v>11</v>
      </c>
      <c r="I3569" t="s">
        <v>18</v>
      </c>
      <c r="J3569">
        <f t="shared" si="110"/>
        <v>11</v>
      </c>
      <c r="K3569" t="str">
        <f t="shared" si="111"/>
        <v>Budget</v>
      </c>
    </row>
    <row r="3570" spans="2:11" x14ac:dyDescent="0.25">
      <c r="B3570" t="s">
        <v>1511</v>
      </c>
      <c r="C3570">
        <v>2012</v>
      </c>
      <c r="D3570" s="1">
        <v>200000</v>
      </c>
      <c r="E3570">
        <v>112198</v>
      </c>
      <c r="F3570" t="s">
        <v>15</v>
      </c>
      <c r="G3570" t="s">
        <v>10</v>
      </c>
      <c r="H3570" t="s">
        <v>11</v>
      </c>
      <c r="I3570" t="s">
        <v>18</v>
      </c>
      <c r="J3570">
        <f t="shared" si="110"/>
        <v>14</v>
      </c>
      <c r="K3570" t="str">
        <f t="shared" si="111"/>
        <v>Budget</v>
      </c>
    </row>
    <row r="3571" spans="2:11" x14ac:dyDescent="0.25">
      <c r="B3571" t="s">
        <v>1190</v>
      </c>
      <c r="C3571">
        <v>2010</v>
      </c>
      <c r="D3571" s="1">
        <v>160000</v>
      </c>
      <c r="E3571">
        <v>60000</v>
      </c>
      <c r="F3571" t="s">
        <v>9</v>
      </c>
      <c r="G3571" t="s">
        <v>10</v>
      </c>
      <c r="H3571" t="s">
        <v>11</v>
      </c>
      <c r="I3571" t="s">
        <v>18</v>
      </c>
      <c r="J3571">
        <f t="shared" si="110"/>
        <v>16</v>
      </c>
      <c r="K3571" t="str">
        <f t="shared" si="111"/>
        <v>Budget</v>
      </c>
    </row>
    <row r="3572" spans="2:11" x14ac:dyDescent="0.25">
      <c r="B3572" t="s">
        <v>128</v>
      </c>
      <c r="C3572">
        <v>2010</v>
      </c>
      <c r="D3572" s="1">
        <v>150000</v>
      </c>
      <c r="E3572">
        <v>130000</v>
      </c>
      <c r="F3572" t="s">
        <v>15</v>
      </c>
      <c r="G3572" t="s">
        <v>10</v>
      </c>
      <c r="H3572" t="s">
        <v>11</v>
      </c>
      <c r="I3572" t="s">
        <v>18</v>
      </c>
      <c r="J3572">
        <f t="shared" si="110"/>
        <v>16</v>
      </c>
      <c r="K3572" t="str">
        <f t="shared" si="111"/>
        <v>Budget</v>
      </c>
    </row>
    <row r="3573" spans="2:11" x14ac:dyDescent="0.25">
      <c r="B3573" t="s">
        <v>381</v>
      </c>
      <c r="C3573">
        <v>2015</v>
      </c>
      <c r="D3573" s="1">
        <v>530000</v>
      </c>
      <c r="E3573">
        <v>175000</v>
      </c>
      <c r="F3573" t="s">
        <v>15</v>
      </c>
      <c r="G3573" t="s">
        <v>10</v>
      </c>
      <c r="H3573" t="s">
        <v>11</v>
      </c>
      <c r="I3573" t="s">
        <v>49</v>
      </c>
      <c r="J3573">
        <f t="shared" si="110"/>
        <v>11</v>
      </c>
      <c r="K3573" t="str">
        <f t="shared" si="111"/>
        <v>Mid Range</v>
      </c>
    </row>
    <row r="3574" spans="2:11" x14ac:dyDescent="0.25">
      <c r="B3574" t="s">
        <v>660</v>
      </c>
      <c r="C3574">
        <v>2015</v>
      </c>
      <c r="D3574" s="1">
        <v>750000</v>
      </c>
      <c r="E3574">
        <v>120000</v>
      </c>
      <c r="F3574" t="s">
        <v>15</v>
      </c>
      <c r="G3574" t="s">
        <v>10</v>
      </c>
      <c r="H3574" t="s">
        <v>11</v>
      </c>
      <c r="I3574" t="s">
        <v>12</v>
      </c>
      <c r="J3574">
        <f t="shared" si="110"/>
        <v>11</v>
      </c>
      <c r="K3574" t="str">
        <f t="shared" si="111"/>
        <v>Mid Range</v>
      </c>
    </row>
    <row r="3575" spans="2:11" x14ac:dyDescent="0.25">
      <c r="B3575" t="s">
        <v>295</v>
      </c>
      <c r="C3575">
        <v>2012</v>
      </c>
      <c r="D3575" s="1">
        <v>225000</v>
      </c>
      <c r="E3575">
        <v>90000</v>
      </c>
      <c r="F3575" t="s">
        <v>15</v>
      </c>
      <c r="G3575" t="s">
        <v>10</v>
      </c>
      <c r="H3575" t="s">
        <v>11</v>
      </c>
      <c r="I3575" t="s">
        <v>18</v>
      </c>
      <c r="J3575">
        <f t="shared" si="110"/>
        <v>14</v>
      </c>
      <c r="K3575" t="str">
        <f t="shared" si="111"/>
        <v>Budget</v>
      </c>
    </row>
    <row r="3576" spans="2:11" x14ac:dyDescent="0.25">
      <c r="B3576" t="s">
        <v>1512</v>
      </c>
      <c r="C3576">
        <v>2012</v>
      </c>
      <c r="D3576" s="1">
        <v>600000</v>
      </c>
      <c r="E3576">
        <v>170000</v>
      </c>
      <c r="F3576" t="s">
        <v>15</v>
      </c>
      <c r="G3576" t="s">
        <v>10</v>
      </c>
      <c r="H3576" t="s">
        <v>11</v>
      </c>
      <c r="I3576" t="s">
        <v>12</v>
      </c>
      <c r="J3576">
        <f t="shared" si="110"/>
        <v>14</v>
      </c>
      <c r="K3576" t="str">
        <f t="shared" si="111"/>
        <v>Mid Range</v>
      </c>
    </row>
    <row r="3577" spans="2:11" x14ac:dyDescent="0.25">
      <c r="B3577" t="s">
        <v>200</v>
      </c>
      <c r="C3577">
        <v>2014</v>
      </c>
      <c r="D3577" s="1">
        <v>409999</v>
      </c>
      <c r="E3577">
        <v>80000</v>
      </c>
      <c r="F3577" t="s">
        <v>15</v>
      </c>
      <c r="G3577" t="s">
        <v>10</v>
      </c>
      <c r="H3577" t="s">
        <v>11</v>
      </c>
      <c r="I3577" t="s">
        <v>18</v>
      </c>
      <c r="J3577">
        <f t="shared" si="110"/>
        <v>12</v>
      </c>
      <c r="K3577" t="str">
        <f t="shared" si="111"/>
        <v>Budget</v>
      </c>
    </row>
    <row r="3578" spans="2:11" x14ac:dyDescent="0.25">
      <c r="B3578" t="s">
        <v>1513</v>
      </c>
      <c r="C3578">
        <v>2014</v>
      </c>
      <c r="D3578" s="1">
        <v>409999</v>
      </c>
      <c r="E3578">
        <v>80000</v>
      </c>
      <c r="F3578" t="s">
        <v>15</v>
      </c>
      <c r="G3578" t="s">
        <v>10</v>
      </c>
      <c r="H3578" t="s">
        <v>11</v>
      </c>
      <c r="I3578" t="s">
        <v>18</v>
      </c>
      <c r="J3578">
        <f t="shared" si="110"/>
        <v>12</v>
      </c>
      <c r="K3578" t="str">
        <f t="shared" si="111"/>
        <v>Budget</v>
      </c>
    </row>
    <row r="3579" spans="2:11" x14ac:dyDescent="0.25">
      <c r="B3579" t="s">
        <v>140</v>
      </c>
      <c r="C3579">
        <v>2009</v>
      </c>
      <c r="D3579" s="1">
        <v>110000</v>
      </c>
      <c r="E3579">
        <v>83000</v>
      </c>
      <c r="F3579" t="s">
        <v>9</v>
      </c>
      <c r="G3579" t="s">
        <v>10</v>
      </c>
      <c r="H3579" t="s">
        <v>11</v>
      </c>
      <c r="I3579" t="s">
        <v>18</v>
      </c>
      <c r="J3579">
        <f t="shared" si="110"/>
        <v>17</v>
      </c>
      <c r="K3579" t="str">
        <f t="shared" si="111"/>
        <v>Budget</v>
      </c>
    </row>
    <row r="3580" spans="2:11" x14ac:dyDescent="0.25">
      <c r="B3580" t="s">
        <v>582</v>
      </c>
      <c r="C3580">
        <v>2016</v>
      </c>
      <c r="D3580" s="1">
        <v>865000</v>
      </c>
      <c r="E3580">
        <v>90000</v>
      </c>
      <c r="F3580" t="s">
        <v>15</v>
      </c>
      <c r="G3580" t="s">
        <v>10</v>
      </c>
      <c r="H3580" t="s">
        <v>11</v>
      </c>
      <c r="I3580" t="s">
        <v>12</v>
      </c>
      <c r="J3580">
        <f t="shared" si="110"/>
        <v>10</v>
      </c>
      <c r="K3580" t="str">
        <f t="shared" si="111"/>
        <v>Mid Range</v>
      </c>
    </row>
    <row r="3581" spans="2:11" x14ac:dyDescent="0.25">
      <c r="B3581" t="s">
        <v>110</v>
      </c>
      <c r="C3581">
        <v>2016</v>
      </c>
      <c r="D3581" s="1">
        <v>225000</v>
      </c>
      <c r="E3581">
        <v>40000</v>
      </c>
      <c r="F3581" t="s">
        <v>9</v>
      </c>
      <c r="G3581" t="s">
        <v>10</v>
      </c>
      <c r="H3581" t="s">
        <v>11</v>
      </c>
      <c r="I3581" t="s">
        <v>12</v>
      </c>
      <c r="J3581">
        <f t="shared" si="110"/>
        <v>10</v>
      </c>
      <c r="K3581" t="str">
        <f t="shared" si="111"/>
        <v>Budget</v>
      </c>
    </row>
  </sheetData>
  <mergeCells count="1">
    <mergeCell ref="B1: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8420-74EB-4D32-BA23-F9BEAD08BA82}">
  <dimension ref="B1:L27"/>
  <sheetViews>
    <sheetView workbookViewId="0">
      <selection activeCell="I19" sqref="I19"/>
    </sheetView>
  </sheetViews>
  <sheetFormatPr defaultRowHeight="15" x14ac:dyDescent="0.25"/>
  <cols>
    <col min="2" max="2" width="31.85546875" customWidth="1"/>
    <col min="3" max="3" width="13" style="2" customWidth="1"/>
  </cols>
  <sheetData>
    <row r="1" spans="2:12" x14ac:dyDescent="0.25">
      <c r="C1" s="12" t="s">
        <v>1555</v>
      </c>
      <c r="D1" s="11"/>
      <c r="E1" s="11"/>
      <c r="F1" s="11"/>
      <c r="G1" s="11"/>
      <c r="H1" s="11"/>
      <c r="I1" s="11"/>
      <c r="J1" s="11"/>
      <c r="K1" s="11"/>
      <c r="L1" s="11"/>
    </row>
    <row r="2" spans="2:12" x14ac:dyDescent="0.25">
      <c r="C2" s="11"/>
      <c r="D2" s="11"/>
      <c r="E2" s="11"/>
      <c r="F2" s="11"/>
      <c r="G2" s="11"/>
      <c r="H2" s="11"/>
      <c r="I2" s="11"/>
      <c r="J2" s="11"/>
      <c r="K2" s="11"/>
      <c r="L2" s="11"/>
    </row>
    <row r="3" spans="2:12" x14ac:dyDescent="0.25">
      <c r="C3"/>
      <c r="E3" s="1"/>
    </row>
    <row r="4" spans="2:12" x14ac:dyDescent="0.25">
      <c r="B4" s="8" t="s">
        <v>1516</v>
      </c>
      <c r="C4" s="3">
        <f>COUNTA(data!B:B)-1</f>
        <v>3578</v>
      </c>
    </row>
    <row r="5" spans="2:12" x14ac:dyDescent="0.25">
      <c r="B5" s="8"/>
    </row>
    <row r="6" spans="2:12" x14ac:dyDescent="0.25">
      <c r="B6" s="8" t="s">
        <v>1517</v>
      </c>
      <c r="C6" s="3">
        <f>AVERAGE(data!D:D)</f>
        <v>473912.54207436397</v>
      </c>
    </row>
    <row r="7" spans="2:12" x14ac:dyDescent="0.25">
      <c r="B7" s="8"/>
    </row>
    <row r="8" spans="2:12" x14ac:dyDescent="0.25">
      <c r="B8" s="8" t="s">
        <v>1519</v>
      </c>
      <c r="C8" s="3">
        <f>COUNTIF(data!F:F,"Petrol")</f>
        <v>1717</v>
      </c>
    </row>
    <row r="9" spans="2:12" x14ac:dyDescent="0.25">
      <c r="B9" s="8" t="s">
        <v>1520</v>
      </c>
      <c r="C9" s="3">
        <f>COUNTIF(data!F:F,"Diesel")</f>
        <v>1800</v>
      </c>
    </row>
    <row r="10" spans="2:12" x14ac:dyDescent="0.25">
      <c r="B10" s="8" t="s">
        <v>1521</v>
      </c>
      <c r="C10" s="3">
        <f>COUNTIF(data!F:F,"CNG")</f>
        <v>37</v>
      </c>
    </row>
    <row r="11" spans="2:12" x14ac:dyDescent="0.25">
      <c r="B11" s="8" t="s">
        <v>1518</v>
      </c>
      <c r="C11" s="2" t="str">
        <f>B9</f>
        <v>diesel</v>
      </c>
    </row>
    <row r="12" spans="2:12" x14ac:dyDescent="0.25">
      <c r="B12" s="8"/>
    </row>
    <row r="13" spans="2:12" x14ac:dyDescent="0.25">
      <c r="B13" s="8" t="s">
        <v>1522</v>
      </c>
      <c r="C13" s="3">
        <f>COUNTIF(data!H:H,"Automatic")</f>
        <v>312</v>
      </c>
    </row>
    <row r="14" spans="2:12" x14ac:dyDescent="0.25">
      <c r="B14" s="8" t="s">
        <v>1523</v>
      </c>
      <c r="C14" s="3">
        <f>COUNTIF(data!H:H,"Manual")</f>
        <v>3265</v>
      </c>
    </row>
    <row r="15" spans="2:12" x14ac:dyDescent="0.25">
      <c r="B15" s="8" t="s">
        <v>1524</v>
      </c>
      <c r="C15" s="2" t="str">
        <f>B14</f>
        <v>manual</v>
      </c>
    </row>
    <row r="16" spans="2:12" x14ac:dyDescent="0.25">
      <c r="B16" s="8"/>
    </row>
    <row r="17" spans="2:3" x14ac:dyDescent="0.25">
      <c r="B17" s="8" t="s">
        <v>1525</v>
      </c>
      <c r="C17" s="3">
        <f>COUNTIF(data!G:G,"Dealer")</f>
        <v>712</v>
      </c>
    </row>
    <row r="18" spans="2:3" x14ac:dyDescent="0.25">
      <c r="B18" s="8" t="s">
        <v>1526</v>
      </c>
      <c r="C18" s="3">
        <f>COUNTIF(data!G:G,"Individual")</f>
        <v>2832</v>
      </c>
    </row>
    <row r="19" spans="2:3" x14ac:dyDescent="0.25">
      <c r="B19" s="8" t="s">
        <v>1527</v>
      </c>
      <c r="C19" s="2" t="str">
        <f>B18</f>
        <v>individual</v>
      </c>
    </row>
    <row r="20" spans="2:3" x14ac:dyDescent="0.25">
      <c r="B20" s="8"/>
    </row>
    <row r="21" spans="2:3" x14ac:dyDescent="0.25">
      <c r="B21" s="8" t="s">
        <v>1528</v>
      </c>
      <c r="C21" s="3">
        <f>AVERAGEIF(data!F:F,"Petrol",data!D:D)</f>
        <v>335344.34012813045</v>
      </c>
    </row>
    <row r="22" spans="2:3" x14ac:dyDescent="0.25">
      <c r="B22" s="8" t="s">
        <v>1529</v>
      </c>
      <c r="C22" s="3">
        <f>AVERAGEIF(data!F:F,"Diesel",data!D:D)</f>
        <v>614001.07499999995</v>
      </c>
    </row>
    <row r="23" spans="2:3" x14ac:dyDescent="0.25">
      <c r="B23" s="8" t="s">
        <v>1530</v>
      </c>
      <c r="C23" s="3">
        <f>AVERAGEIF(data!F:F,"CNG",data!D:D)</f>
        <v>273162.08108108107</v>
      </c>
    </row>
    <row r="24" spans="2:3" x14ac:dyDescent="0.25">
      <c r="B24" s="8"/>
    </row>
    <row r="25" spans="2:3" x14ac:dyDescent="0.25">
      <c r="B25" s="8" t="s">
        <v>1531</v>
      </c>
      <c r="C25" s="3">
        <f>COUNTIF(data!J:J,"&gt;10")</f>
        <v>2446</v>
      </c>
    </row>
    <row r="26" spans="2:3" x14ac:dyDescent="0.25">
      <c r="B26" s="8"/>
    </row>
    <row r="27" spans="2:3" x14ac:dyDescent="0.25">
      <c r="B27" s="8" t="s">
        <v>1532</v>
      </c>
      <c r="C27" s="4">
        <f>COUNTIF(data!I:I,"First Owner")/COUNTA(data!I:I)</f>
        <v>0.61989938513135834</v>
      </c>
    </row>
  </sheetData>
  <mergeCells count="1">
    <mergeCell ref="C1: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434B-E564-406F-8C4E-47E34284B0FF}">
  <dimension ref="B1:L53"/>
  <sheetViews>
    <sheetView workbookViewId="0">
      <selection activeCell="C1" sqref="C1:L2"/>
    </sheetView>
  </sheetViews>
  <sheetFormatPr defaultRowHeight="15" x14ac:dyDescent="0.25"/>
  <cols>
    <col min="2" max="2" width="13.140625" bestFit="1" customWidth="1"/>
    <col min="3" max="3" width="12.85546875" bestFit="1" customWidth="1"/>
    <col min="4" max="4" width="13.140625" bestFit="1" customWidth="1"/>
    <col min="5" max="5" width="16.28515625" bestFit="1" customWidth="1"/>
    <col min="6" max="6" width="22.7109375" bestFit="1" customWidth="1"/>
    <col min="8" max="8" width="13.140625" bestFit="1" customWidth="1"/>
    <col min="9" max="9" width="12.85546875" bestFit="1" customWidth="1"/>
  </cols>
  <sheetData>
    <row r="1" spans="2:12" x14ac:dyDescent="0.25">
      <c r="C1" s="12" t="s">
        <v>1556</v>
      </c>
      <c r="D1" s="11"/>
      <c r="E1" s="11"/>
      <c r="F1" s="11"/>
      <c r="G1" s="11"/>
      <c r="H1" s="11"/>
      <c r="I1" s="11"/>
      <c r="J1" s="11"/>
      <c r="K1" s="11"/>
      <c r="L1" s="11"/>
    </row>
    <row r="2" spans="2:12" x14ac:dyDescent="0.25">
      <c r="C2" s="11"/>
      <c r="D2" s="11"/>
      <c r="E2" s="11"/>
      <c r="F2" s="11"/>
      <c r="G2" s="11"/>
      <c r="H2" s="11"/>
      <c r="I2" s="11"/>
      <c r="J2" s="11"/>
      <c r="K2" s="11"/>
      <c r="L2" s="11"/>
    </row>
    <row r="3" spans="2:12" x14ac:dyDescent="0.25">
      <c r="E3" s="1"/>
    </row>
    <row r="4" spans="2:12" x14ac:dyDescent="0.25">
      <c r="B4" s="8" t="s">
        <v>1538</v>
      </c>
      <c r="E4" s="8" t="s">
        <v>1539</v>
      </c>
    </row>
    <row r="5" spans="2:12" x14ac:dyDescent="0.25">
      <c r="B5" s="5" t="s">
        <v>1533</v>
      </c>
      <c r="C5" t="s">
        <v>1535</v>
      </c>
      <c r="E5" s="5" t="s">
        <v>1533</v>
      </c>
      <c r="F5" t="s">
        <v>1536</v>
      </c>
    </row>
    <row r="6" spans="2:12" x14ac:dyDescent="0.25">
      <c r="B6" s="6" t="s">
        <v>24</v>
      </c>
      <c r="C6" s="1">
        <v>273162.08108108107</v>
      </c>
      <c r="E6" s="6" t="s">
        <v>28</v>
      </c>
      <c r="F6" s="7">
        <v>312</v>
      </c>
    </row>
    <row r="7" spans="2:12" x14ac:dyDescent="0.25">
      <c r="B7" s="6" t="s">
        <v>15</v>
      </c>
      <c r="C7" s="1">
        <v>614001.07499999995</v>
      </c>
      <c r="E7" s="6" t="s">
        <v>11</v>
      </c>
      <c r="F7" s="7">
        <v>3265</v>
      </c>
    </row>
    <row r="8" spans="2:12" x14ac:dyDescent="0.25">
      <c r="B8" s="6" t="s">
        <v>1481</v>
      </c>
      <c r="C8" s="1">
        <v>310000</v>
      </c>
      <c r="E8" s="6" t="s">
        <v>1534</v>
      </c>
      <c r="F8" s="7">
        <v>3577</v>
      </c>
    </row>
    <row r="9" spans="2:12" x14ac:dyDescent="0.25">
      <c r="B9" s="6" t="s">
        <v>152</v>
      </c>
      <c r="C9" s="1">
        <v>171818.13636363635</v>
      </c>
    </row>
    <row r="10" spans="2:12" x14ac:dyDescent="0.25">
      <c r="B10" s="6" t="s">
        <v>9</v>
      </c>
      <c r="C10" s="1">
        <v>335344.34012813045</v>
      </c>
    </row>
    <row r="11" spans="2:12" x14ac:dyDescent="0.25">
      <c r="B11" s="6" t="s">
        <v>1534</v>
      </c>
      <c r="C11" s="1">
        <v>473912.54207436397</v>
      </c>
    </row>
    <row r="14" spans="2:12" x14ac:dyDescent="0.25">
      <c r="B14" s="8" t="s">
        <v>1540</v>
      </c>
      <c r="E14" s="8" t="s">
        <v>1541</v>
      </c>
    </row>
    <row r="15" spans="2:12" x14ac:dyDescent="0.25">
      <c r="B15" s="5" t="s">
        <v>1533</v>
      </c>
      <c r="C15" t="s">
        <v>1537</v>
      </c>
      <c r="E15" s="5" t="s">
        <v>1533</v>
      </c>
      <c r="F15" t="s">
        <v>1535</v>
      </c>
    </row>
    <row r="16" spans="2:12" x14ac:dyDescent="0.25">
      <c r="B16" s="6">
        <v>1992</v>
      </c>
      <c r="C16" s="7">
        <v>1</v>
      </c>
      <c r="E16" s="6" t="s">
        <v>27</v>
      </c>
      <c r="F16" s="1">
        <v>652699.39044943824</v>
      </c>
    </row>
    <row r="17" spans="2:6" x14ac:dyDescent="0.25">
      <c r="B17" s="6">
        <v>1995</v>
      </c>
      <c r="C17" s="7">
        <v>1</v>
      </c>
      <c r="E17" s="6" t="s">
        <v>10</v>
      </c>
      <c r="F17" s="1">
        <v>424904.02436440677</v>
      </c>
    </row>
    <row r="18" spans="2:6" x14ac:dyDescent="0.25">
      <c r="B18" s="6">
        <v>1996</v>
      </c>
      <c r="C18" s="7">
        <v>2</v>
      </c>
      <c r="E18" s="6" t="s">
        <v>407</v>
      </c>
      <c r="F18" s="1">
        <v>822272.72727272729</v>
      </c>
    </row>
    <row r="19" spans="2:6" x14ac:dyDescent="0.25">
      <c r="B19" s="6">
        <v>1997</v>
      </c>
      <c r="C19" s="7">
        <v>3</v>
      </c>
      <c r="E19" s="6" t="s">
        <v>1534</v>
      </c>
      <c r="F19" s="1">
        <v>473912.54207436397</v>
      </c>
    </row>
    <row r="20" spans="2:6" x14ac:dyDescent="0.25">
      <c r="B20" s="6">
        <v>1998</v>
      </c>
      <c r="C20" s="7">
        <v>9</v>
      </c>
    </row>
    <row r="21" spans="2:6" x14ac:dyDescent="0.25">
      <c r="B21" s="6">
        <v>1999</v>
      </c>
      <c r="C21" s="7">
        <v>9</v>
      </c>
    </row>
    <row r="22" spans="2:6" x14ac:dyDescent="0.25">
      <c r="B22" s="6">
        <v>2000</v>
      </c>
      <c r="C22" s="7">
        <v>12</v>
      </c>
    </row>
    <row r="23" spans="2:6" x14ac:dyDescent="0.25">
      <c r="B23" s="6">
        <v>2001</v>
      </c>
      <c r="C23" s="7">
        <v>16</v>
      </c>
    </row>
    <row r="24" spans="2:6" x14ac:dyDescent="0.25">
      <c r="B24" s="6">
        <v>2002</v>
      </c>
      <c r="C24" s="7">
        <v>18</v>
      </c>
    </row>
    <row r="25" spans="2:6" x14ac:dyDescent="0.25">
      <c r="B25" s="6">
        <v>2003</v>
      </c>
      <c r="C25" s="7">
        <v>22</v>
      </c>
    </row>
    <row r="26" spans="2:6" x14ac:dyDescent="0.25">
      <c r="B26" s="6">
        <v>2004</v>
      </c>
      <c r="C26" s="7">
        <v>38</v>
      </c>
    </row>
    <row r="27" spans="2:6" x14ac:dyDescent="0.25">
      <c r="B27" s="6">
        <v>2005</v>
      </c>
      <c r="C27" s="7">
        <v>61</v>
      </c>
    </row>
    <row r="28" spans="2:6" x14ac:dyDescent="0.25">
      <c r="B28" s="6">
        <v>2006</v>
      </c>
      <c r="C28" s="7">
        <v>93</v>
      </c>
    </row>
    <row r="29" spans="2:6" x14ac:dyDescent="0.25">
      <c r="B29" s="6">
        <v>2007</v>
      </c>
      <c r="C29" s="7">
        <v>117</v>
      </c>
    </row>
    <row r="30" spans="2:6" x14ac:dyDescent="0.25">
      <c r="B30" s="6">
        <v>2008</v>
      </c>
      <c r="C30" s="7">
        <v>129</v>
      </c>
    </row>
    <row r="31" spans="2:6" x14ac:dyDescent="0.25">
      <c r="B31" s="6">
        <v>2009</v>
      </c>
      <c r="C31" s="7">
        <v>169</v>
      </c>
    </row>
    <row r="32" spans="2:6" x14ac:dyDescent="0.25">
      <c r="B32" s="6">
        <v>2010</v>
      </c>
      <c r="C32" s="7">
        <v>210</v>
      </c>
    </row>
    <row r="33" spans="2:3" x14ac:dyDescent="0.25">
      <c r="B33" s="6">
        <v>2011</v>
      </c>
      <c r="C33" s="7">
        <v>247</v>
      </c>
    </row>
    <row r="34" spans="2:3" x14ac:dyDescent="0.25">
      <c r="B34" s="6">
        <v>2012</v>
      </c>
      <c r="C34" s="7">
        <v>338</v>
      </c>
    </row>
    <row r="35" spans="2:3" x14ac:dyDescent="0.25">
      <c r="B35" s="6">
        <v>2013</v>
      </c>
      <c r="C35" s="7">
        <v>298</v>
      </c>
    </row>
    <row r="36" spans="2:3" x14ac:dyDescent="0.25">
      <c r="B36" s="6">
        <v>2014</v>
      </c>
      <c r="C36" s="7">
        <v>321</v>
      </c>
    </row>
    <row r="37" spans="2:3" x14ac:dyDescent="0.25">
      <c r="B37" s="6">
        <v>2015</v>
      </c>
      <c r="C37" s="7">
        <v>332</v>
      </c>
    </row>
    <row r="38" spans="2:3" x14ac:dyDescent="0.25">
      <c r="B38" s="6">
        <v>2016</v>
      </c>
      <c r="C38" s="7">
        <v>283</v>
      </c>
    </row>
    <row r="39" spans="2:3" x14ac:dyDescent="0.25">
      <c r="B39" s="6">
        <v>2017</v>
      </c>
      <c r="C39" s="7">
        <v>346</v>
      </c>
    </row>
    <row r="40" spans="2:3" x14ac:dyDescent="0.25">
      <c r="B40" s="6">
        <v>2018</v>
      </c>
      <c r="C40" s="7">
        <v>295</v>
      </c>
    </row>
    <row r="41" spans="2:3" x14ac:dyDescent="0.25">
      <c r="B41" s="6">
        <v>2019</v>
      </c>
      <c r="C41" s="7">
        <v>162</v>
      </c>
    </row>
    <row r="42" spans="2:3" x14ac:dyDescent="0.25">
      <c r="B42" s="6">
        <v>2020</v>
      </c>
      <c r="C42" s="7">
        <v>45</v>
      </c>
    </row>
    <row r="43" spans="2:3" x14ac:dyDescent="0.25">
      <c r="B43" s="6" t="s">
        <v>1534</v>
      </c>
      <c r="C43" s="7">
        <v>3577</v>
      </c>
    </row>
    <row r="53" spans="2:2" x14ac:dyDescent="0.25">
      <c r="B53" s="8" t="s">
        <v>1541</v>
      </c>
    </row>
  </sheetData>
  <mergeCells count="1">
    <mergeCell ref="C1: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2B3C-551C-4978-9EFD-8FD0C6AECC07}">
  <dimension ref="B1:R25"/>
  <sheetViews>
    <sheetView zoomScaleNormal="100" workbookViewId="0">
      <selection activeCell="Q20" sqref="Q20"/>
    </sheetView>
  </sheetViews>
  <sheetFormatPr defaultRowHeight="15" x14ac:dyDescent="0.25"/>
  <cols>
    <col min="2" max="2" width="18.7109375" customWidth="1"/>
    <col min="3" max="3" width="13.85546875" style="2" customWidth="1"/>
    <col min="4" max="4" width="15.140625" customWidth="1"/>
    <col min="5" max="5" width="22.42578125" customWidth="1"/>
    <col min="7" max="7" width="9.140625" customWidth="1"/>
    <col min="9" max="9" width="18.42578125" customWidth="1"/>
  </cols>
  <sheetData>
    <row r="1" spans="2:18" x14ac:dyDescent="0.25">
      <c r="C1" s="12" t="s">
        <v>1557</v>
      </c>
      <c r="D1" s="11"/>
      <c r="E1" s="11"/>
      <c r="F1" s="11"/>
      <c r="G1" s="11"/>
      <c r="H1" s="11"/>
      <c r="I1" s="11"/>
      <c r="J1" s="11"/>
      <c r="K1" s="11"/>
      <c r="L1" s="11"/>
    </row>
    <row r="2" spans="2:18" x14ac:dyDescent="0.25">
      <c r="C2" s="11"/>
      <c r="D2" s="11"/>
      <c r="E2" s="11"/>
      <c r="F2" s="11"/>
      <c r="G2" s="11"/>
      <c r="H2" s="11"/>
      <c r="I2" s="11"/>
      <c r="J2" s="11"/>
      <c r="K2" s="11"/>
      <c r="L2" s="11"/>
    </row>
    <row r="3" spans="2:18" x14ac:dyDescent="0.25">
      <c r="C3"/>
      <c r="E3" s="1"/>
    </row>
    <row r="4" spans="2:18" x14ac:dyDescent="0.25">
      <c r="B4" s="8" t="s">
        <v>1542</v>
      </c>
      <c r="C4" s="8" t="s">
        <v>1543</v>
      </c>
      <c r="D4" s="8" t="s">
        <v>1544</v>
      </c>
      <c r="E4" s="8" t="s">
        <v>1546</v>
      </c>
    </row>
    <row r="5" spans="2:18" x14ac:dyDescent="0.25">
      <c r="B5" s="3">
        <f>analysis!C4</f>
        <v>3578</v>
      </c>
      <c r="C5" s="3">
        <f>analysis!C6</f>
        <v>473912.54207436397</v>
      </c>
      <c r="D5" s="10" t="str">
        <f>analysis!C11</f>
        <v>diesel</v>
      </c>
      <c r="E5" s="4">
        <f>analysis!C27</f>
        <v>0.61989938513135834</v>
      </c>
    </row>
    <row r="8" spans="2:18" x14ac:dyDescent="0.25">
      <c r="B8" s="8" t="s">
        <v>1547</v>
      </c>
      <c r="I8" s="8" t="s">
        <v>1548</v>
      </c>
      <c r="R8" s="8" t="s">
        <v>1551</v>
      </c>
    </row>
    <row r="25" spans="2:9" x14ac:dyDescent="0.25">
      <c r="B25" s="8" t="s">
        <v>1549</v>
      </c>
      <c r="I25" s="8" t="s">
        <v>1550</v>
      </c>
    </row>
  </sheetData>
  <mergeCells count="1">
    <mergeCell ref="C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492E-DA08-490E-B919-1DE0E18576E0}">
  <dimension ref="B1:L6"/>
  <sheetViews>
    <sheetView workbookViewId="0">
      <selection activeCell="K8" sqref="K8"/>
    </sheetView>
  </sheetViews>
  <sheetFormatPr defaultRowHeight="15" x14ac:dyDescent="0.25"/>
  <sheetData>
    <row r="1" spans="2:12" x14ac:dyDescent="0.25">
      <c r="C1" s="12" t="s">
        <v>1558</v>
      </c>
      <c r="D1" s="11"/>
      <c r="E1" s="11"/>
      <c r="F1" s="11"/>
      <c r="G1" s="11"/>
      <c r="H1" s="11"/>
      <c r="I1" s="11"/>
      <c r="J1" s="11"/>
      <c r="K1" s="11"/>
      <c r="L1" s="11"/>
    </row>
    <row r="2" spans="2:12" x14ac:dyDescent="0.25">
      <c r="C2" s="11"/>
      <c r="D2" s="11"/>
      <c r="E2" s="11"/>
      <c r="F2" s="11"/>
      <c r="G2" s="11"/>
      <c r="H2" s="11"/>
      <c r="I2" s="11"/>
      <c r="J2" s="11"/>
      <c r="K2" s="11"/>
      <c r="L2" s="11"/>
    </row>
    <row r="3" spans="2:12" x14ac:dyDescent="0.25">
      <c r="E3" s="1"/>
    </row>
    <row r="4" spans="2:12" x14ac:dyDescent="0.25">
      <c r="B4" s="13" t="s">
        <v>1552</v>
      </c>
    </row>
    <row r="5" spans="2:12" x14ac:dyDescent="0.25">
      <c r="B5" s="13" t="s">
        <v>1553</v>
      </c>
    </row>
    <row r="6" spans="2:12" x14ac:dyDescent="0.25">
      <c r="B6" s="13" t="s">
        <v>1554</v>
      </c>
    </row>
  </sheetData>
  <mergeCells count="1">
    <mergeCell ref="C1: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vt:lpstr>
      <vt:lpstr>pivot_tables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J</dc:creator>
  <cp:lastModifiedBy>Pranav J</cp:lastModifiedBy>
  <dcterms:created xsi:type="dcterms:W3CDTF">2026-03-23T09:51:54Z</dcterms:created>
  <dcterms:modified xsi:type="dcterms:W3CDTF">2026-03-23T11:22:23Z</dcterms:modified>
</cp:coreProperties>
</file>